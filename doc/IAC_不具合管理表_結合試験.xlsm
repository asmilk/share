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6.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124226"/>
  <mc:AlternateContent xmlns:mc="http://schemas.openxmlformats.org/markup-compatibility/2006">
    <mc:Choice Requires="x15">
      <x15ac:absPath xmlns:x15ac="http://schemas.microsoft.com/office/spreadsheetml/2010/11/ac" url="\\172.16.1.52\大手町\次期wo\23_FW更改・基盤更改\152_アプリ\26_結合試験(iAC)\30_不具合管理\"/>
    </mc:Choice>
  </mc:AlternateContent>
  <xr:revisionPtr revIDLastSave="0" documentId="13_ncr:1_{DA23D931-B7FE-466A-90BB-95622C8F6952}" xr6:coauthVersionLast="47" xr6:coauthVersionMax="47" xr10:uidLastSave="{00000000-0000-0000-0000-000000000000}"/>
  <bookViews>
    <workbookView xWindow="-120" yWindow="-120" windowWidth="29040" windowHeight="15720" tabRatio="790" activeTab="1" xr2:uid="{00000000-000D-0000-FFFF-FFFF00000000}"/>
  </bookViews>
  <sheets>
    <sheet name="Test Management" sheetId="12" r:id="rId1"/>
    <sheet name="Failure Management" sheetId="1" r:id="rId2"/>
    <sheet name="Analysis report" sheetId="10" r:id="rId3"/>
    <sheet name="status report attachment" sheetId="24" r:id="rId4"/>
    <sheet name="Master" sheetId="6" r:id="rId5"/>
    <sheet name="Revision history" sheetId="19" r:id="rId6"/>
    <sheet name="W_Failure data" sheetId="9" r:id="rId7"/>
    <sheet name="W_Chart data" sheetId="23" r:id="rId8"/>
    <sheet name="W_Header" sheetId="8" r:id="rId9"/>
    <sheet name="analysis chart" sheetId="25" r:id="rId10"/>
    <sheet name="不具合管理表記載要領" sheetId="27" r:id="rId11"/>
    <sheet name="不具合記載要領（システムテスト追加）" sheetId="26" r:id="rId12"/>
  </sheets>
  <definedNames>
    <definedName name="_Fill" hidden="1">#REF!</definedName>
    <definedName name="_xlnm._FilterDatabase" localSheetId="1" hidden="1">'Failure Management'!$A$8:$BA$1183</definedName>
    <definedName name="_xlnm._FilterDatabase" localSheetId="0" hidden="1">'Test Management'!$A$8:$BF$403</definedName>
    <definedName name="_xleta.N" hidden="1" xlm="1">#NAME?</definedName>
    <definedName name="_xleta.YEAR" hidden="1" xlm="1">#NAME?</definedName>
    <definedName name="analysis_chart_1">'analysis chart'!$B$3:$E$6</definedName>
    <definedName name="analysis_chart_10">'analysis chart'!$AU$3:$AX$6</definedName>
    <definedName name="analysis_chart_11">'analysis chart'!$AZ$3:$BC$6</definedName>
    <definedName name="analysis_chart_2">'analysis chart'!$G$3:$J$6</definedName>
    <definedName name="analysis_chart_3">'analysis chart'!$L$3:$O$6</definedName>
    <definedName name="analysis_chart_4">'analysis chart'!$Q$3:$T$6</definedName>
    <definedName name="analysis_chart_5">'analysis chart'!$V$3:$Y$6</definedName>
    <definedName name="analysis_chart_6">'analysis chart'!$AA$3:$AD$6</definedName>
    <definedName name="analysis_chart_7">'analysis chart'!$AF$3:$AI$6</definedName>
    <definedName name="analysis_chart_8">'analysis chart'!$AK$3:$AN$6</definedName>
    <definedName name="analysis_chart_9">'analysis chart'!$AP$3:$AS$6</definedName>
    <definedName name="analysis_chart_TEST" localSheetId="10">INDIRECT(#REF!)</definedName>
    <definedName name="analysis_chart_TEST">INDIRECT(Master!$I$40)</definedName>
    <definedName name="AP基盤【共通部品】">Master!$AU$9:$AU$36</definedName>
    <definedName name="ChartArea_Category">'Failure Management'!$AQ$8:$AQ$1183</definedName>
    <definedName name="ChartArea_Cause_category">'Failure Management'!$AS$8:$AS$1183</definedName>
    <definedName name="ChartArea_Function">'Failure Management'!$AP$8:$AP$1183</definedName>
    <definedName name="ChartArea_In_charge_of_modification">'Failure Management'!$AT$8:$AT$1183</definedName>
    <definedName name="ChartArea_Root_cause">'Failure Management'!$AR$8:$AR$1183</definedName>
    <definedName name="ChartArea_SubSystem">'Failure Management'!$AO$8:$AO$1183</definedName>
    <definedName name="Datearea">'W_Failure data'!$D$4:$BA$4</definedName>
    <definedName name="Datearea_Analysis_Baseline">'Analysis report'!$L$1</definedName>
    <definedName name="Datearea_Attach_Baseline">'status report attachment'!$C$2</definedName>
    <definedName name="Datearea_Baseline">'Failure Management'!$AI$3</definedName>
    <definedName name="Datearea_Master">Master!$E$9:$F$9</definedName>
    <definedName name="Datearea_TEST">'Test Management'!$I$8:$BF$8</definedName>
    <definedName name="Datearea_TEST_Baseline">'Test Management'!$O$2:$P$4</definedName>
    <definedName name="Datearea1">'Failure Management'!$C$9:$C$1183</definedName>
    <definedName name="Datearea2">'Failure Management'!$M$9:$M$1183</definedName>
    <definedName name="Datearea3">'Failure Management'!$O$9:$O$1183</definedName>
    <definedName name="Datearea4">'Failure Management'!$Q$9:$Q$1183</definedName>
    <definedName name="Datearea5">'Failure Management'!$S$9:$S$1183</definedName>
    <definedName name="Datearea6">'Failure Management'!$AA$9:$AA$1183</definedName>
    <definedName name="Datearea7">'Failure Management'!$AC$9:$AC$1183</definedName>
    <definedName name="Datearea8">'Failure Management'!$AG$9:$AG$1183</definedName>
    <definedName name="Datearea9">'Failure Management'!$AI$9:$AI$1183</definedName>
    <definedName name="DateFormat1">Master!$I$13</definedName>
    <definedName name="DateFormat2">Master!$J$13</definedName>
    <definedName name="DateFormat3">Master!$K$13</definedName>
    <definedName name="Error_エラー画面【意向ナビ】">Master!$AT$9:$AT$31</definedName>
    <definedName name="IAC連動">Master!$AA$9:$AA$31</definedName>
    <definedName name="Master_Priorty" localSheetId="10">#REF!</definedName>
    <definedName name="Master_Priorty">Master!$N$9:$N$18</definedName>
    <definedName name="_xlnm.Print_Area" localSheetId="2">'Analysis report'!$B$1:$N$72</definedName>
    <definedName name="_xlnm.Print_Area" localSheetId="1">'Failure Management'!$B$2:$AK$1183</definedName>
    <definedName name="_xlnm.Print_Area" localSheetId="4">Master!$B$1:$K$37</definedName>
    <definedName name="_xlnm.Print_Area" localSheetId="5">'Revision history'!$A$1:$P$42</definedName>
    <definedName name="_xlnm.Print_Area" localSheetId="6">'W_Failure data'!$B$1:$BA$39</definedName>
    <definedName name="_xlnm.Print_Titles" localSheetId="2">'Analysis report'!$1:$4</definedName>
    <definedName name="RootCause">Master!$N$23:$U$23</definedName>
    <definedName name="RootCause2">Master!$N$52:$P$52</definedName>
    <definedName name="UT工程の申し送り">Master!$AB$9:$AB$31</definedName>
    <definedName name="エラー">Master!$AK$9:$AK$31</definedName>
    <definedName name="オンライン_バッチ連動">Master!$Z$9:$Z$31</definedName>
    <definedName name="オンライン内連動">Master!$Y$9:$Y$31</definedName>
    <definedName name="お客様管理【意向ナビ】">Master!$AP$9:$AP$31</definedName>
    <definedName name="ご相談プロセス【意向ナビ】">Master!$AO$9:$AO$31</definedName>
    <definedName name="ご相談管理【意向ナビ】">Master!$AQ$9:$AQ$31</definedName>
    <definedName name="サブシステム" localSheetId="10">#REF!</definedName>
    <definedName name="サブシステム">Master!$Q$9:$Q$18</definedName>
    <definedName name="スマデバ">Master!$AC$9:$AC$31</definedName>
    <definedName name="スマデバ画面">Master!$AL$9:$AL$31</definedName>
    <definedName name="その他">Master!$T$24:$T$33</definedName>
    <definedName name="テスト">Master!$R$24:$R$33</definedName>
    <definedName name="テスト観点">Master!$Y$8:$AU$8</definedName>
    <definedName name="プログラミング">Master!$Q$24:$Q$33</definedName>
    <definedName name="マスタメンテナンス【意向ナビ】">Master!$AR$9:$AR$31</definedName>
    <definedName name="ライフイベント管理">Master!$AG$9:$AG$31</definedName>
    <definedName name="案件管理">Master!$Z$9:$Z$31</definedName>
    <definedName name="意向確認ナビ">Master!$AD$9:$AD$31</definedName>
    <definedName name="運用資材">Master!$AF$9:$AF$31</definedName>
    <definedName name="営業支援管理">Master!$AI$9:$AI$31</definedName>
    <definedName name="環境構築">Master!$S$24:$S$33</definedName>
    <definedName name="基準週" localSheetId="10">#REF!</definedName>
    <definedName name="基準週">'Test Management'!$I$8:$BF$8</definedName>
    <definedName name="基本設計">Master!$O$24:$O$33</definedName>
    <definedName name="機能名" localSheetId="10">#REF!</definedName>
    <definedName name="機能名">Master!$W$9:$W$28</definedName>
    <definedName name="機能名FW">Master!$Y$8:$AU$8</definedName>
    <definedName name="共通">Master!$AJ$9:$AJ$31</definedName>
    <definedName name="共通SQLの条件網羅">Master!$AM$9:$AM$31</definedName>
    <definedName name="共通系【意向ナビ】">Master!$AN$9:$AN$31</definedName>
    <definedName name="業務マスタメンテ">Master!$AH$9:$AH$31</definedName>
    <definedName name="金融サービス仲介【意向ナビ】">Master!$AS$9:$AS$31</definedName>
    <definedName name="契約管理">Master!$AA$9:$AA$31</definedName>
    <definedName name="検証結果" localSheetId="10">#REF!</definedName>
    <definedName name="検証結果">Master!$P$9:$P$18</definedName>
    <definedName name="現行">Master!$U$24:$U$33</definedName>
    <definedName name="個社カスタマイズ">Master!$AE$9:$AE$31</definedName>
    <definedName name="顧客管理">Master!$Y$9:$Y$31</definedName>
    <definedName name="残高ダウンロード">Master!$AF$9:$AF$31</definedName>
    <definedName name="仕様からの展開の問題">Master!$O$53:$O$65</definedName>
    <definedName name="仕様関連以外の問題点">Master!$P$53:$P$65</definedName>
    <definedName name="仕様書不備の問題">Master!$N$53:$N$65</definedName>
    <definedName name="事業報告書ダウンロード">Master!$AD$9:$AD$31</definedName>
    <definedName name="手数料管理">Master!$AB$9:$AB$31</definedName>
    <definedName name="詳細設計">Master!$P$24:$P$33</definedName>
    <definedName name="早期解約管理">Master!$AE$9:$AE$31</definedName>
    <definedName name="対応方針" localSheetId="10">#REF!</definedName>
    <definedName name="対応方針">Master!$F$15:$F$24</definedName>
    <definedName name="満期管理">Master!$AC$9:$AC$31</definedName>
    <definedName name="優先度" localSheetId="10">#REF!</definedName>
    <definedName name="優先度">Master!$E$15:$E$24</definedName>
    <definedName name="要件定義">Master!$N$24:$N$33</definedName>
  </definedNames>
  <calcPr calcId="191029"/>
  <pivotCaches>
    <pivotCache cacheId="12" r:id="rId13"/>
    <pivotCache cacheId="13" r:id="rId14"/>
    <pivotCache cacheId="14" r:id="rId15"/>
    <pivotCache cacheId="15" r:id="rId16"/>
    <pivotCache cacheId="16" r:id="rId17"/>
    <pivotCache cacheId="17" r:id="rId18"/>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9" i="1" l="1"/>
  <c r="N10" i="1"/>
  <c r="N11" i="1"/>
  <c r="N12" i="1"/>
  <c r="N13" i="1"/>
  <c r="N14" i="1"/>
  <c r="N15" i="1"/>
  <c r="N16" i="1"/>
  <c r="N17" i="1"/>
  <c r="N18" i="1"/>
  <c r="N19" i="1"/>
  <c r="A379" i="12"/>
  <c r="N1182" i="1" l="1"/>
  <c r="O1182" i="1" s="1"/>
  <c r="N1181" i="1"/>
  <c r="O1181" i="1" s="1"/>
  <c r="N1180" i="1"/>
  <c r="O1180" i="1" s="1"/>
  <c r="N1179" i="1"/>
  <c r="O1179" i="1" s="1"/>
  <c r="N1178" i="1"/>
  <c r="O1178" i="1" s="1"/>
  <c r="N1177" i="1"/>
  <c r="O1177" i="1" s="1"/>
  <c r="N1176" i="1"/>
  <c r="O1176" i="1" s="1"/>
  <c r="N1175" i="1"/>
  <c r="O1175" i="1" s="1"/>
  <c r="N1174" i="1"/>
  <c r="O1174" i="1" s="1"/>
  <c r="N1173" i="1"/>
  <c r="O1173" i="1" s="1"/>
  <c r="N1172" i="1"/>
  <c r="O1172" i="1" s="1"/>
  <c r="N1171" i="1"/>
  <c r="O1171" i="1" s="1"/>
  <c r="N1170" i="1"/>
  <c r="O1170" i="1" s="1"/>
  <c r="N1169" i="1"/>
  <c r="O1169" i="1" s="1"/>
  <c r="N1168" i="1"/>
  <c r="O1168" i="1" s="1"/>
  <c r="N1167" i="1"/>
  <c r="O1167" i="1" s="1"/>
  <c r="N1166" i="1"/>
  <c r="O1166" i="1" s="1"/>
  <c r="N1165" i="1"/>
  <c r="O1165" i="1" s="1"/>
  <c r="N1164" i="1"/>
  <c r="O1164" i="1" s="1"/>
  <c r="N1163" i="1"/>
  <c r="O1163" i="1" s="1"/>
  <c r="N1162" i="1"/>
  <c r="O1162" i="1" s="1"/>
  <c r="N1161" i="1"/>
  <c r="O1161" i="1" s="1"/>
  <c r="N1160" i="1"/>
  <c r="O1160" i="1" s="1"/>
  <c r="N1159" i="1"/>
  <c r="O1159" i="1" s="1"/>
  <c r="N1158" i="1"/>
  <c r="O1158" i="1" s="1"/>
  <c r="N1157" i="1"/>
  <c r="O1157" i="1" s="1"/>
  <c r="N1156" i="1"/>
  <c r="O1156" i="1" s="1"/>
  <c r="N1155" i="1"/>
  <c r="O1155" i="1" s="1"/>
  <c r="N1154" i="1"/>
  <c r="O1154" i="1" s="1"/>
  <c r="N1153" i="1"/>
  <c r="O1153" i="1" s="1"/>
  <c r="N1152" i="1"/>
  <c r="O1152" i="1" s="1"/>
  <c r="N1151" i="1"/>
  <c r="O1151" i="1" s="1"/>
  <c r="N1150" i="1"/>
  <c r="O1150" i="1" s="1"/>
  <c r="N1149" i="1"/>
  <c r="O1149" i="1" s="1"/>
  <c r="N1148" i="1"/>
  <c r="O1148" i="1" s="1"/>
  <c r="N1147" i="1"/>
  <c r="O1147" i="1" s="1"/>
  <c r="N1146" i="1"/>
  <c r="O1146" i="1" s="1"/>
  <c r="N1145" i="1"/>
  <c r="O1145" i="1" s="1"/>
  <c r="N1144" i="1"/>
  <c r="O1144" i="1" s="1"/>
  <c r="N1143" i="1"/>
  <c r="O1143" i="1" s="1"/>
  <c r="N1142" i="1"/>
  <c r="O1142" i="1" s="1"/>
  <c r="N1141" i="1"/>
  <c r="O1141" i="1" s="1"/>
  <c r="N1140" i="1"/>
  <c r="O1140" i="1" s="1"/>
  <c r="N1139" i="1"/>
  <c r="O1139" i="1" s="1"/>
  <c r="N1138" i="1"/>
  <c r="O1138" i="1" s="1"/>
  <c r="N1137" i="1"/>
  <c r="O1137" i="1" s="1"/>
  <c r="N1136" i="1"/>
  <c r="O1136" i="1" s="1"/>
  <c r="N1135" i="1"/>
  <c r="O1135" i="1" s="1"/>
  <c r="N1134" i="1"/>
  <c r="O1134" i="1" s="1"/>
  <c r="N1133" i="1"/>
  <c r="O1133" i="1" s="1"/>
  <c r="N1132" i="1"/>
  <c r="O1132" i="1" s="1"/>
  <c r="N1131" i="1"/>
  <c r="O1131" i="1" s="1"/>
  <c r="N1130" i="1"/>
  <c r="O1130" i="1" s="1"/>
  <c r="N1129" i="1"/>
  <c r="O1129" i="1" s="1"/>
  <c r="N1128" i="1"/>
  <c r="O1128" i="1" s="1"/>
  <c r="N1127" i="1"/>
  <c r="O1127" i="1" s="1"/>
  <c r="N1126" i="1"/>
  <c r="O1126" i="1" s="1"/>
  <c r="N1125" i="1"/>
  <c r="O1125" i="1" s="1"/>
  <c r="N1124" i="1"/>
  <c r="O1124" i="1" s="1"/>
  <c r="N1123" i="1"/>
  <c r="O1123" i="1" s="1"/>
  <c r="N1122" i="1"/>
  <c r="O1122" i="1" s="1"/>
  <c r="N1121" i="1"/>
  <c r="O1121" i="1" s="1"/>
  <c r="N1120" i="1"/>
  <c r="O1120" i="1" s="1"/>
  <c r="N1119" i="1"/>
  <c r="O1119" i="1" s="1"/>
  <c r="N1118" i="1"/>
  <c r="O1118" i="1" s="1"/>
  <c r="N1117" i="1"/>
  <c r="O1117" i="1" s="1"/>
  <c r="N1116" i="1"/>
  <c r="O1116" i="1" s="1"/>
  <c r="N1115" i="1"/>
  <c r="O1115" i="1" s="1"/>
  <c r="N1114" i="1"/>
  <c r="O1114" i="1" s="1"/>
  <c r="N1113" i="1"/>
  <c r="O1113" i="1" s="1"/>
  <c r="N1112" i="1"/>
  <c r="O1112" i="1" s="1"/>
  <c r="N1111" i="1"/>
  <c r="O1111" i="1" s="1"/>
  <c r="N1110" i="1"/>
  <c r="O1110" i="1" s="1"/>
  <c r="N1109" i="1"/>
  <c r="O1109" i="1" s="1"/>
  <c r="N1108" i="1"/>
  <c r="O1108" i="1" s="1"/>
  <c r="N1107" i="1"/>
  <c r="O1107" i="1" s="1"/>
  <c r="N1106" i="1"/>
  <c r="O1106" i="1" s="1"/>
  <c r="N1105" i="1"/>
  <c r="O1105" i="1" s="1"/>
  <c r="N1104" i="1"/>
  <c r="O1104" i="1" s="1"/>
  <c r="N1103" i="1"/>
  <c r="O1103" i="1" s="1"/>
  <c r="N1102" i="1"/>
  <c r="O1102" i="1" s="1"/>
  <c r="N1101" i="1"/>
  <c r="O1101" i="1" s="1"/>
  <c r="N1100" i="1"/>
  <c r="O1100" i="1" s="1"/>
  <c r="N1099" i="1"/>
  <c r="O1099" i="1" s="1"/>
  <c r="N1098" i="1"/>
  <c r="O1098" i="1" s="1"/>
  <c r="N1097" i="1"/>
  <c r="O1097" i="1" s="1"/>
  <c r="N1096" i="1"/>
  <c r="O1096" i="1" s="1"/>
  <c r="N1095" i="1"/>
  <c r="O1095" i="1" s="1"/>
  <c r="N1094" i="1"/>
  <c r="O1094" i="1" s="1"/>
  <c r="N1093" i="1"/>
  <c r="O1093" i="1" s="1"/>
  <c r="N1092" i="1"/>
  <c r="O1092" i="1" s="1"/>
  <c r="N1091" i="1"/>
  <c r="O1091" i="1" s="1"/>
  <c r="N1090" i="1"/>
  <c r="O1090" i="1" s="1"/>
  <c r="N1089" i="1"/>
  <c r="O1089" i="1" s="1"/>
  <c r="N1088" i="1"/>
  <c r="O1088" i="1" s="1"/>
  <c r="N1087" i="1"/>
  <c r="O1087" i="1" s="1"/>
  <c r="N1086" i="1"/>
  <c r="O1086" i="1" s="1"/>
  <c r="N1085" i="1"/>
  <c r="O1085" i="1" s="1"/>
  <c r="N1084" i="1"/>
  <c r="O1084" i="1" s="1"/>
  <c r="N1083" i="1"/>
  <c r="O1083" i="1" s="1"/>
  <c r="N1082" i="1"/>
  <c r="O1082" i="1" s="1"/>
  <c r="N1081" i="1"/>
  <c r="O1081" i="1" s="1"/>
  <c r="N1080" i="1"/>
  <c r="O1080" i="1" s="1"/>
  <c r="N1079" i="1"/>
  <c r="O1079" i="1" s="1"/>
  <c r="N1078" i="1"/>
  <c r="O1078" i="1" s="1"/>
  <c r="N1077" i="1"/>
  <c r="O1077" i="1" s="1"/>
  <c r="N1076" i="1"/>
  <c r="O1076" i="1" s="1"/>
  <c r="N1075" i="1"/>
  <c r="O1075" i="1" s="1"/>
  <c r="N1074" i="1"/>
  <c r="O1074" i="1" s="1"/>
  <c r="N1073" i="1"/>
  <c r="O1073" i="1" s="1"/>
  <c r="N1072" i="1"/>
  <c r="O1072" i="1" s="1"/>
  <c r="N1071" i="1"/>
  <c r="O1071" i="1" s="1"/>
  <c r="N1070" i="1"/>
  <c r="O1070" i="1" s="1"/>
  <c r="N1069" i="1"/>
  <c r="O1069" i="1" s="1"/>
  <c r="N1068" i="1"/>
  <c r="O1068" i="1" s="1"/>
  <c r="N1067" i="1"/>
  <c r="O1067" i="1" s="1"/>
  <c r="N1066" i="1"/>
  <c r="O1066" i="1" s="1"/>
  <c r="N1065" i="1"/>
  <c r="O1065" i="1" s="1"/>
  <c r="N1064" i="1"/>
  <c r="O1064" i="1" s="1"/>
  <c r="N1063" i="1"/>
  <c r="O1063" i="1" s="1"/>
  <c r="N1062" i="1"/>
  <c r="O1062" i="1" s="1"/>
  <c r="N1061" i="1"/>
  <c r="O1061" i="1" s="1"/>
  <c r="N1060" i="1"/>
  <c r="O1060" i="1" s="1"/>
  <c r="N1059" i="1"/>
  <c r="O1059" i="1" s="1"/>
  <c r="N1058" i="1"/>
  <c r="O1058" i="1" s="1"/>
  <c r="N1057" i="1"/>
  <c r="O1057" i="1" s="1"/>
  <c r="N1056" i="1"/>
  <c r="O1056" i="1" s="1"/>
  <c r="N1055" i="1"/>
  <c r="O1055" i="1" s="1"/>
  <c r="N1054" i="1"/>
  <c r="O1054" i="1" s="1"/>
  <c r="N1053" i="1"/>
  <c r="O1053" i="1" s="1"/>
  <c r="N1052" i="1"/>
  <c r="O1052" i="1" s="1"/>
  <c r="N1051" i="1"/>
  <c r="O1051" i="1" s="1"/>
  <c r="N1050" i="1"/>
  <c r="O1050" i="1" s="1"/>
  <c r="N1049" i="1"/>
  <c r="O1049" i="1" s="1"/>
  <c r="N1048" i="1"/>
  <c r="O1048" i="1" s="1"/>
  <c r="N1047" i="1"/>
  <c r="O1047" i="1" s="1"/>
  <c r="N1046" i="1"/>
  <c r="O1046" i="1" s="1"/>
  <c r="N1045" i="1"/>
  <c r="O1045" i="1" s="1"/>
  <c r="N1044" i="1"/>
  <c r="O1044" i="1" s="1"/>
  <c r="N1043" i="1"/>
  <c r="O1043" i="1" s="1"/>
  <c r="N1042" i="1"/>
  <c r="O1042" i="1" s="1"/>
  <c r="N1041" i="1"/>
  <c r="O1041" i="1" s="1"/>
  <c r="N1040" i="1"/>
  <c r="O1040" i="1" s="1"/>
  <c r="N1039" i="1"/>
  <c r="O1039" i="1" s="1"/>
  <c r="N1038" i="1"/>
  <c r="O1038" i="1" s="1"/>
  <c r="N1037" i="1"/>
  <c r="O1037" i="1" s="1"/>
  <c r="N1036" i="1"/>
  <c r="O1036" i="1" s="1"/>
  <c r="N1035" i="1"/>
  <c r="O1035" i="1" s="1"/>
  <c r="N1034" i="1"/>
  <c r="O1034" i="1" s="1"/>
  <c r="N1033" i="1"/>
  <c r="O1033" i="1" s="1"/>
  <c r="N1032" i="1"/>
  <c r="O1032" i="1" s="1"/>
  <c r="N1031" i="1"/>
  <c r="O1031" i="1" s="1"/>
  <c r="N1030" i="1"/>
  <c r="O1030" i="1" s="1"/>
  <c r="N1029" i="1"/>
  <c r="O1029" i="1" s="1"/>
  <c r="N1028" i="1"/>
  <c r="O1028" i="1" s="1"/>
  <c r="N1027" i="1"/>
  <c r="O1027" i="1" s="1"/>
  <c r="N1026" i="1"/>
  <c r="O1026" i="1" s="1"/>
  <c r="N1025" i="1"/>
  <c r="O1025" i="1" s="1"/>
  <c r="N1024" i="1"/>
  <c r="O1024" i="1" s="1"/>
  <c r="N1023" i="1"/>
  <c r="O1023" i="1" s="1"/>
  <c r="N1022" i="1"/>
  <c r="O1022" i="1" s="1"/>
  <c r="N1021" i="1"/>
  <c r="O1021" i="1" s="1"/>
  <c r="N1020" i="1"/>
  <c r="O1020" i="1" s="1"/>
  <c r="N1019" i="1"/>
  <c r="O1019" i="1" s="1"/>
  <c r="N1018" i="1"/>
  <c r="O1018" i="1" s="1"/>
  <c r="N1017" i="1"/>
  <c r="O1017" i="1" s="1"/>
  <c r="N1016" i="1"/>
  <c r="O1016" i="1" s="1"/>
  <c r="N1015" i="1"/>
  <c r="O1015" i="1" s="1"/>
  <c r="N1014" i="1"/>
  <c r="O1014" i="1" s="1"/>
  <c r="N1013" i="1"/>
  <c r="O1013" i="1" s="1"/>
  <c r="N1012" i="1"/>
  <c r="O1012" i="1" s="1"/>
  <c r="N1011" i="1"/>
  <c r="O1011" i="1" s="1"/>
  <c r="N1010" i="1"/>
  <c r="O1010" i="1" s="1"/>
  <c r="N1009" i="1"/>
  <c r="O1009" i="1" s="1"/>
  <c r="N1008" i="1"/>
  <c r="O1008" i="1" s="1"/>
  <c r="N1007" i="1"/>
  <c r="O1007" i="1" s="1"/>
  <c r="N1006" i="1"/>
  <c r="O1006" i="1" s="1"/>
  <c r="N1005" i="1"/>
  <c r="O1005" i="1" s="1"/>
  <c r="N1004" i="1"/>
  <c r="O1004" i="1" s="1"/>
  <c r="N1003" i="1"/>
  <c r="O1003" i="1" s="1"/>
  <c r="N1002" i="1"/>
  <c r="O1002" i="1" s="1"/>
  <c r="N1001" i="1"/>
  <c r="O1001" i="1" s="1"/>
  <c r="N1000" i="1"/>
  <c r="O1000" i="1" s="1"/>
  <c r="N999" i="1"/>
  <c r="O999" i="1" s="1"/>
  <c r="N998" i="1"/>
  <c r="O998" i="1" s="1"/>
  <c r="N997" i="1"/>
  <c r="O997" i="1" s="1"/>
  <c r="N996" i="1"/>
  <c r="O996" i="1" s="1"/>
  <c r="N995" i="1"/>
  <c r="O995" i="1" s="1"/>
  <c r="N994" i="1"/>
  <c r="O994" i="1" s="1"/>
  <c r="N993" i="1"/>
  <c r="O993" i="1" s="1"/>
  <c r="N992" i="1"/>
  <c r="O992" i="1" s="1"/>
  <c r="N991" i="1"/>
  <c r="O991" i="1" s="1"/>
  <c r="N990" i="1"/>
  <c r="O990" i="1" s="1"/>
  <c r="N989" i="1"/>
  <c r="O989" i="1" s="1"/>
  <c r="N988" i="1"/>
  <c r="O988" i="1" s="1"/>
  <c r="N987" i="1"/>
  <c r="O987" i="1" s="1"/>
  <c r="N986" i="1"/>
  <c r="O986" i="1" s="1"/>
  <c r="N985" i="1"/>
  <c r="O985" i="1" s="1"/>
  <c r="N984" i="1"/>
  <c r="O984" i="1" s="1"/>
  <c r="N983" i="1"/>
  <c r="O983" i="1" s="1"/>
  <c r="N982" i="1"/>
  <c r="O982" i="1" s="1"/>
  <c r="N981" i="1"/>
  <c r="O981" i="1" s="1"/>
  <c r="N980" i="1"/>
  <c r="O980" i="1" s="1"/>
  <c r="N979" i="1"/>
  <c r="O979" i="1" s="1"/>
  <c r="N978" i="1"/>
  <c r="O978" i="1" s="1"/>
  <c r="N977" i="1"/>
  <c r="O977" i="1" s="1"/>
  <c r="N976" i="1"/>
  <c r="O976" i="1" s="1"/>
  <c r="N975" i="1"/>
  <c r="O975" i="1" s="1"/>
  <c r="N974" i="1"/>
  <c r="O974" i="1" s="1"/>
  <c r="N973" i="1"/>
  <c r="O973" i="1" s="1"/>
  <c r="N972" i="1"/>
  <c r="O972" i="1" s="1"/>
  <c r="N971" i="1"/>
  <c r="O971" i="1" s="1"/>
  <c r="N970" i="1"/>
  <c r="O970" i="1" s="1"/>
  <c r="N969" i="1"/>
  <c r="O969" i="1" s="1"/>
  <c r="N968" i="1"/>
  <c r="O968" i="1" s="1"/>
  <c r="N967" i="1"/>
  <c r="O967" i="1" s="1"/>
  <c r="N966" i="1"/>
  <c r="O966" i="1" s="1"/>
  <c r="N965" i="1"/>
  <c r="O965" i="1" s="1"/>
  <c r="N964" i="1"/>
  <c r="O964" i="1" s="1"/>
  <c r="N963" i="1"/>
  <c r="O963" i="1" s="1"/>
  <c r="N962" i="1"/>
  <c r="O962" i="1" s="1"/>
  <c r="N961" i="1"/>
  <c r="O961" i="1" s="1"/>
  <c r="N960" i="1"/>
  <c r="O960" i="1" s="1"/>
  <c r="N959" i="1"/>
  <c r="O959" i="1" s="1"/>
  <c r="N958" i="1"/>
  <c r="O958" i="1" s="1"/>
  <c r="N957" i="1"/>
  <c r="O957" i="1" s="1"/>
  <c r="N956" i="1"/>
  <c r="O956" i="1" s="1"/>
  <c r="N955" i="1"/>
  <c r="O955" i="1" s="1"/>
  <c r="A11" i="1"/>
  <c r="A12" i="1" s="1"/>
  <c r="A13" i="1" s="1"/>
  <c r="A14" i="1" s="1"/>
  <c r="A15" i="1" s="1"/>
  <c r="A16" i="1" s="1"/>
  <c r="A17" i="1" s="1"/>
  <c r="N654" i="1"/>
  <c r="O654" i="1" s="1"/>
  <c r="N653" i="1"/>
  <c r="O653" i="1" s="1"/>
  <c r="N652" i="1"/>
  <c r="O652" i="1" s="1"/>
  <c r="N651" i="1"/>
  <c r="O651" i="1" s="1"/>
  <c r="N650" i="1"/>
  <c r="O650" i="1" s="1"/>
  <c r="N649" i="1"/>
  <c r="O649" i="1" s="1"/>
  <c r="N648" i="1"/>
  <c r="O648" i="1" s="1"/>
  <c r="N647" i="1"/>
  <c r="O647" i="1" s="1"/>
  <c r="N646" i="1"/>
  <c r="O646" i="1" s="1"/>
  <c r="N645" i="1"/>
  <c r="O645" i="1" s="1"/>
  <c r="N644" i="1"/>
  <c r="O644" i="1" s="1"/>
  <c r="N643" i="1"/>
  <c r="O643" i="1" s="1"/>
  <c r="N642" i="1"/>
  <c r="O642" i="1" s="1"/>
  <c r="N641" i="1"/>
  <c r="O641" i="1" s="1"/>
  <c r="N640" i="1"/>
  <c r="O640" i="1" s="1"/>
  <c r="N639" i="1"/>
  <c r="O639" i="1" s="1"/>
  <c r="N638" i="1"/>
  <c r="O638" i="1" s="1"/>
  <c r="N637" i="1"/>
  <c r="O637" i="1" s="1"/>
  <c r="N636" i="1"/>
  <c r="O636" i="1" s="1"/>
  <c r="N635" i="1"/>
  <c r="O635" i="1" s="1"/>
  <c r="N634" i="1"/>
  <c r="O634" i="1" s="1"/>
  <c r="N633" i="1"/>
  <c r="O633" i="1" s="1"/>
  <c r="N632" i="1"/>
  <c r="O632" i="1" s="1"/>
  <c r="N631" i="1"/>
  <c r="O631" i="1" s="1"/>
  <c r="N630" i="1"/>
  <c r="O630" i="1" s="1"/>
  <c r="N629" i="1"/>
  <c r="O629" i="1" s="1"/>
  <c r="N628" i="1"/>
  <c r="O628" i="1" s="1"/>
  <c r="N627" i="1"/>
  <c r="O627" i="1" s="1"/>
  <c r="N626" i="1"/>
  <c r="O626" i="1" s="1"/>
  <c r="N625" i="1"/>
  <c r="O625" i="1" s="1"/>
  <c r="N624" i="1"/>
  <c r="O624" i="1" s="1"/>
  <c r="N623" i="1"/>
  <c r="O623" i="1" s="1"/>
  <c r="N622" i="1"/>
  <c r="O622" i="1" s="1"/>
  <c r="N621" i="1"/>
  <c r="O621" i="1" s="1"/>
  <c r="N620" i="1"/>
  <c r="O620" i="1" s="1"/>
  <c r="N619" i="1"/>
  <c r="O619" i="1" s="1"/>
  <c r="N618" i="1"/>
  <c r="O618" i="1" s="1"/>
  <c r="N617" i="1"/>
  <c r="O617" i="1" s="1"/>
  <c r="N616" i="1"/>
  <c r="O616" i="1" s="1"/>
  <c r="N615" i="1"/>
  <c r="O615" i="1" s="1"/>
  <c r="N614" i="1"/>
  <c r="O614" i="1" s="1"/>
  <c r="N613" i="1"/>
  <c r="O613" i="1" s="1"/>
  <c r="N612" i="1"/>
  <c r="O612" i="1" s="1"/>
  <c r="N611" i="1"/>
  <c r="O611" i="1" s="1"/>
  <c r="N610" i="1"/>
  <c r="O610" i="1" s="1"/>
  <c r="N609" i="1"/>
  <c r="O609" i="1" s="1"/>
  <c r="N608" i="1"/>
  <c r="O608" i="1" s="1"/>
  <c r="N607" i="1"/>
  <c r="O607" i="1" s="1"/>
  <c r="N606" i="1"/>
  <c r="O606" i="1" s="1"/>
  <c r="N605" i="1"/>
  <c r="O605" i="1" s="1"/>
  <c r="N604" i="1"/>
  <c r="O604" i="1" s="1"/>
  <c r="N603" i="1"/>
  <c r="O603" i="1" s="1"/>
  <c r="N602" i="1"/>
  <c r="O602" i="1" s="1"/>
  <c r="N601" i="1"/>
  <c r="O601" i="1" s="1"/>
  <c r="N600" i="1"/>
  <c r="O600" i="1" s="1"/>
  <c r="N599" i="1"/>
  <c r="O599" i="1" s="1"/>
  <c r="N598" i="1"/>
  <c r="O598" i="1" s="1"/>
  <c r="N597" i="1"/>
  <c r="O597" i="1" s="1"/>
  <c r="N596" i="1"/>
  <c r="O596" i="1" s="1"/>
  <c r="N595" i="1"/>
  <c r="O595" i="1" s="1"/>
  <c r="N714" i="1"/>
  <c r="O714" i="1" s="1"/>
  <c r="N713" i="1"/>
  <c r="O713" i="1" s="1"/>
  <c r="N712" i="1"/>
  <c r="O712" i="1" s="1"/>
  <c r="N711" i="1"/>
  <c r="O711" i="1" s="1"/>
  <c r="N710" i="1"/>
  <c r="O710" i="1" s="1"/>
  <c r="N709" i="1"/>
  <c r="O709" i="1" s="1"/>
  <c r="N708" i="1"/>
  <c r="O708" i="1" s="1"/>
  <c r="N707" i="1"/>
  <c r="O707" i="1" s="1"/>
  <c r="N706" i="1"/>
  <c r="O706" i="1" s="1"/>
  <c r="N705" i="1"/>
  <c r="O705" i="1" s="1"/>
  <c r="N704" i="1"/>
  <c r="O704" i="1" s="1"/>
  <c r="N703" i="1"/>
  <c r="O703" i="1" s="1"/>
  <c r="N702" i="1"/>
  <c r="O702" i="1" s="1"/>
  <c r="N701" i="1"/>
  <c r="O701" i="1" s="1"/>
  <c r="N700" i="1"/>
  <c r="O700" i="1" s="1"/>
  <c r="N699" i="1"/>
  <c r="O699" i="1" s="1"/>
  <c r="N698" i="1"/>
  <c r="O698" i="1" s="1"/>
  <c r="N697" i="1"/>
  <c r="O697" i="1" s="1"/>
  <c r="N696" i="1"/>
  <c r="O696" i="1" s="1"/>
  <c r="N695" i="1"/>
  <c r="O695" i="1" s="1"/>
  <c r="N694" i="1"/>
  <c r="O694" i="1" s="1"/>
  <c r="N693" i="1"/>
  <c r="O693" i="1" s="1"/>
  <c r="N692" i="1"/>
  <c r="O692" i="1" s="1"/>
  <c r="N691" i="1"/>
  <c r="O691" i="1" s="1"/>
  <c r="N690" i="1"/>
  <c r="O690" i="1" s="1"/>
  <c r="N689" i="1"/>
  <c r="O689" i="1" s="1"/>
  <c r="N688" i="1"/>
  <c r="O688" i="1" s="1"/>
  <c r="N687" i="1"/>
  <c r="O687" i="1" s="1"/>
  <c r="N686" i="1"/>
  <c r="O686" i="1" s="1"/>
  <c r="N685" i="1"/>
  <c r="O685" i="1" s="1"/>
  <c r="N684" i="1"/>
  <c r="O684" i="1" s="1"/>
  <c r="N683" i="1"/>
  <c r="O683" i="1" s="1"/>
  <c r="N682" i="1"/>
  <c r="O682" i="1" s="1"/>
  <c r="N681" i="1"/>
  <c r="O681" i="1" s="1"/>
  <c r="N680" i="1"/>
  <c r="O680" i="1" s="1"/>
  <c r="N679" i="1"/>
  <c r="O679" i="1" s="1"/>
  <c r="N678" i="1"/>
  <c r="O678" i="1" s="1"/>
  <c r="N677" i="1"/>
  <c r="O677" i="1" s="1"/>
  <c r="N676" i="1"/>
  <c r="O676" i="1" s="1"/>
  <c r="N675" i="1"/>
  <c r="O675" i="1" s="1"/>
  <c r="N674" i="1"/>
  <c r="O674" i="1" s="1"/>
  <c r="N673" i="1"/>
  <c r="O673" i="1" s="1"/>
  <c r="N672" i="1"/>
  <c r="O672" i="1" s="1"/>
  <c r="N671" i="1"/>
  <c r="O671" i="1" s="1"/>
  <c r="N670" i="1"/>
  <c r="O670" i="1" s="1"/>
  <c r="N669" i="1"/>
  <c r="O669" i="1" s="1"/>
  <c r="N668" i="1"/>
  <c r="O668" i="1" s="1"/>
  <c r="N667" i="1"/>
  <c r="O667" i="1" s="1"/>
  <c r="N666" i="1"/>
  <c r="O666" i="1" s="1"/>
  <c r="N665" i="1"/>
  <c r="O665" i="1" s="1"/>
  <c r="N664" i="1"/>
  <c r="O664" i="1" s="1"/>
  <c r="N663" i="1"/>
  <c r="O663" i="1" s="1"/>
  <c r="N662" i="1"/>
  <c r="O662" i="1" s="1"/>
  <c r="N661" i="1"/>
  <c r="O661" i="1" s="1"/>
  <c r="N660" i="1"/>
  <c r="O660" i="1" s="1"/>
  <c r="N659" i="1"/>
  <c r="O659" i="1" s="1"/>
  <c r="N658" i="1"/>
  <c r="O658" i="1" s="1"/>
  <c r="N657" i="1"/>
  <c r="O657" i="1" s="1"/>
  <c r="N656" i="1"/>
  <c r="O656" i="1" s="1"/>
  <c r="N655" i="1"/>
  <c r="O655" i="1" s="1"/>
  <c r="N774" i="1"/>
  <c r="O774" i="1" s="1"/>
  <c r="N773" i="1"/>
  <c r="O773" i="1" s="1"/>
  <c r="N772" i="1"/>
  <c r="O772" i="1" s="1"/>
  <c r="N771" i="1"/>
  <c r="O771" i="1" s="1"/>
  <c r="N770" i="1"/>
  <c r="O770" i="1" s="1"/>
  <c r="N769" i="1"/>
  <c r="O769" i="1" s="1"/>
  <c r="N768" i="1"/>
  <c r="O768" i="1" s="1"/>
  <c r="N767" i="1"/>
  <c r="O767" i="1" s="1"/>
  <c r="N766" i="1"/>
  <c r="O766" i="1" s="1"/>
  <c r="N765" i="1"/>
  <c r="O765" i="1" s="1"/>
  <c r="N764" i="1"/>
  <c r="O764" i="1" s="1"/>
  <c r="N763" i="1"/>
  <c r="O763" i="1" s="1"/>
  <c r="N762" i="1"/>
  <c r="O762" i="1" s="1"/>
  <c r="N761" i="1"/>
  <c r="O761" i="1" s="1"/>
  <c r="N760" i="1"/>
  <c r="O760" i="1" s="1"/>
  <c r="N759" i="1"/>
  <c r="O759" i="1" s="1"/>
  <c r="N758" i="1"/>
  <c r="O758" i="1" s="1"/>
  <c r="N757" i="1"/>
  <c r="O757" i="1" s="1"/>
  <c r="N756" i="1"/>
  <c r="O756" i="1" s="1"/>
  <c r="N755" i="1"/>
  <c r="O755" i="1" s="1"/>
  <c r="N754" i="1"/>
  <c r="O754" i="1" s="1"/>
  <c r="N753" i="1"/>
  <c r="O753" i="1" s="1"/>
  <c r="N752" i="1"/>
  <c r="O752" i="1" s="1"/>
  <c r="N751" i="1"/>
  <c r="O751" i="1" s="1"/>
  <c r="N750" i="1"/>
  <c r="O750" i="1" s="1"/>
  <c r="N749" i="1"/>
  <c r="O749" i="1" s="1"/>
  <c r="N748" i="1"/>
  <c r="O748" i="1" s="1"/>
  <c r="N747" i="1"/>
  <c r="O747" i="1" s="1"/>
  <c r="N746" i="1"/>
  <c r="O746" i="1" s="1"/>
  <c r="N745" i="1"/>
  <c r="O745" i="1" s="1"/>
  <c r="N744" i="1"/>
  <c r="O744" i="1" s="1"/>
  <c r="N743" i="1"/>
  <c r="O743" i="1" s="1"/>
  <c r="N742" i="1"/>
  <c r="O742" i="1" s="1"/>
  <c r="N741" i="1"/>
  <c r="O741" i="1" s="1"/>
  <c r="N740" i="1"/>
  <c r="O740" i="1" s="1"/>
  <c r="N739" i="1"/>
  <c r="O739" i="1" s="1"/>
  <c r="N738" i="1"/>
  <c r="O738" i="1" s="1"/>
  <c r="N737" i="1"/>
  <c r="O737" i="1" s="1"/>
  <c r="N736" i="1"/>
  <c r="O736" i="1" s="1"/>
  <c r="N735" i="1"/>
  <c r="O735" i="1" s="1"/>
  <c r="N734" i="1"/>
  <c r="O734" i="1" s="1"/>
  <c r="N733" i="1"/>
  <c r="O733" i="1" s="1"/>
  <c r="N732" i="1"/>
  <c r="O732" i="1" s="1"/>
  <c r="N731" i="1"/>
  <c r="O731" i="1" s="1"/>
  <c r="N730" i="1"/>
  <c r="O730" i="1" s="1"/>
  <c r="N729" i="1"/>
  <c r="O729" i="1" s="1"/>
  <c r="N728" i="1"/>
  <c r="O728" i="1" s="1"/>
  <c r="N727" i="1"/>
  <c r="O727" i="1" s="1"/>
  <c r="N726" i="1"/>
  <c r="O726" i="1" s="1"/>
  <c r="N725" i="1"/>
  <c r="O725" i="1" s="1"/>
  <c r="N724" i="1"/>
  <c r="O724" i="1" s="1"/>
  <c r="N723" i="1"/>
  <c r="O723" i="1" s="1"/>
  <c r="N722" i="1"/>
  <c r="O722" i="1" s="1"/>
  <c r="N721" i="1"/>
  <c r="O721" i="1" s="1"/>
  <c r="N720" i="1"/>
  <c r="O720" i="1" s="1"/>
  <c r="N719" i="1"/>
  <c r="O719" i="1" s="1"/>
  <c r="N718" i="1"/>
  <c r="O718" i="1" s="1"/>
  <c r="N717" i="1"/>
  <c r="O717" i="1" s="1"/>
  <c r="N716" i="1"/>
  <c r="O716" i="1" s="1"/>
  <c r="N715" i="1"/>
  <c r="O715" i="1" s="1"/>
  <c r="N834" i="1"/>
  <c r="O834" i="1" s="1"/>
  <c r="N833" i="1"/>
  <c r="O833" i="1" s="1"/>
  <c r="N832" i="1"/>
  <c r="O832" i="1" s="1"/>
  <c r="N831" i="1"/>
  <c r="O831" i="1" s="1"/>
  <c r="N830" i="1"/>
  <c r="O830" i="1" s="1"/>
  <c r="N829" i="1"/>
  <c r="O829" i="1" s="1"/>
  <c r="N828" i="1"/>
  <c r="O828" i="1" s="1"/>
  <c r="N827" i="1"/>
  <c r="O827" i="1" s="1"/>
  <c r="N826" i="1"/>
  <c r="O826" i="1" s="1"/>
  <c r="N825" i="1"/>
  <c r="O825" i="1" s="1"/>
  <c r="N824" i="1"/>
  <c r="O824" i="1" s="1"/>
  <c r="N823" i="1"/>
  <c r="O823" i="1" s="1"/>
  <c r="N822" i="1"/>
  <c r="O822" i="1" s="1"/>
  <c r="N821" i="1"/>
  <c r="O821" i="1" s="1"/>
  <c r="N820" i="1"/>
  <c r="O820" i="1" s="1"/>
  <c r="N819" i="1"/>
  <c r="O819" i="1" s="1"/>
  <c r="N818" i="1"/>
  <c r="O818" i="1" s="1"/>
  <c r="N817" i="1"/>
  <c r="O817" i="1" s="1"/>
  <c r="N816" i="1"/>
  <c r="O816" i="1" s="1"/>
  <c r="N815" i="1"/>
  <c r="O815" i="1" s="1"/>
  <c r="N814" i="1"/>
  <c r="O814" i="1" s="1"/>
  <c r="N813" i="1"/>
  <c r="O813" i="1" s="1"/>
  <c r="N812" i="1"/>
  <c r="O812" i="1" s="1"/>
  <c r="N811" i="1"/>
  <c r="O811" i="1" s="1"/>
  <c r="N810" i="1"/>
  <c r="O810" i="1" s="1"/>
  <c r="N809" i="1"/>
  <c r="O809" i="1" s="1"/>
  <c r="N808" i="1"/>
  <c r="O808" i="1" s="1"/>
  <c r="N807" i="1"/>
  <c r="O807" i="1" s="1"/>
  <c r="N806" i="1"/>
  <c r="O806" i="1" s="1"/>
  <c r="N805" i="1"/>
  <c r="O805" i="1" s="1"/>
  <c r="N804" i="1"/>
  <c r="O804" i="1" s="1"/>
  <c r="N803" i="1"/>
  <c r="O803" i="1" s="1"/>
  <c r="N802" i="1"/>
  <c r="O802" i="1" s="1"/>
  <c r="N801" i="1"/>
  <c r="O801" i="1" s="1"/>
  <c r="N800" i="1"/>
  <c r="O800" i="1" s="1"/>
  <c r="N799" i="1"/>
  <c r="O799" i="1" s="1"/>
  <c r="N798" i="1"/>
  <c r="O798" i="1" s="1"/>
  <c r="N797" i="1"/>
  <c r="O797" i="1" s="1"/>
  <c r="N796" i="1"/>
  <c r="O796" i="1" s="1"/>
  <c r="N795" i="1"/>
  <c r="O795" i="1" s="1"/>
  <c r="N794" i="1"/>
  <c r="O794" i="1" s="1"/>
  <c r="N793" i="1"/>
  <c r="O793" i="1" s="1"/>
  <c r="N792" i="1"/>
  <c r="O792" i="1" s="1"/>
  <c r="N791" i="1"/>
  <c r="O791" i="1" s="1"/>
  <c r="N790" i="1"/>
  <c r="O790" i="1" s="1"/>
  <c r="N789" i="1"/>
  <c r="O789" i="1" s="1"/>
  <c r="N788" i="1"/>
  <c r="O788" i="1" s="1"/>
  <c r="N787" i="1"/>
  <c r="O787" i="1" s="1"/>
  <c r="N786" i="1"/>
  <c r="O786" i="1" s="1"/>
  <c r="N785" i="1"/>
  <c r="O785" i="1" s="1"/>
  <c r="N784" i="1"/>
  <c r="O784" i="1" s="1"/>
  <c r="N783" i="1"/>
  <c r="O783" i="1" s="1"/>
  <c r="N782" i="1"/>
  <c r="O782" i="1" s="1"/>
  <c r="N781" i="1"/>
  <c r="O781" i="1" s="1"/>
  <c r="N780" i="1"/>
  <c r="O780" i="1" s="1"/>
  <c r="N779" i="1"/>
  <c r="O779" i="1" s="1"/>
  <c r="N778" i="1"/>
  <c r="O778" i="1" s="1"/>
  <c r="N777" i="1"/>
  <c r="O777" i="1" s="1"/>
  <c r="N776" i="1"/>
  <c r="O776" i="1" s="1"/>
  <c r="N775" i="1"/>
  <c r="O775" i="1" s="1"/>
  <c r="N894" i="1"/>
  <c r="O894" i="1" s="1"/>
  <c r="N893" i="1"/>
  <c r="O893" i="1" s="1"/>
  <c r="N892" i="1"/>
  <c r="O892" i="1" s="1"/>
  <c r="N891" i="1"/>
  <c r="O891" i="1" s="1"/>
  <c r="N890" i="1"/>
  <c r="O890" i="1" s="1"/>
  <c r="N889" i="1"/>
  <c r="O889" i="1" s="1"/>
  <c r="N888" i="1"/>
  <c r="O888" i="1" s="1"/>
  <c r="N887" i="1"/>
  <c r="O887" i="1" s="1"/>
  <c r="N886" i="1"/>
  <c r="O886" i="1" s="1"/>
  <c r="N885" i="1"/>
  <c r="O885" i="1" s="1"/>
  <c r="N884" i="1"/>
  <c r="O884" i="1" s="1"/>
  <c r="N883" i="1"/>
  <c r="O883" i="1" s="1"/>
  <c r="N882" i="1"/>
  <c r="O882" i="1" s="1"/>
  <c r="N881" i="1"/>
  <c r="O881" i="1" s="1"/>
  <c r="N880" i="1"/>
  <c r="O880" i="1" s="1"/>
  <c r="N879" i="1"/>
  <c r="O879" i="1" s="1"/>
  <c r="N878" i="1"/>
  <c r="O878" i="1" s="1"/>
  <c r="N877" i="1"/>
  <c r="O877" i="1" s="1"/>
  <c r="N876" i="1"/>
  <c r="O876" i="1" s="1"/>
  <c r="N875" i="1"/>
  <c r="O875" i="1" s="1"/>
  <c r="N874" i="1"/>
  <c r="O874" i="1" s="1"/>
  <c r="N873" i="1"/>
  <c r="O873" i="1" s="1"/>
  <c r="N872" i="1"/>
  <c r="O872" i="1" s="1"/>
  <c r="N871" i="1"/>
  <c r="O871" i="1" s="1"/>
  <c r="N870" i="1"/>
  <c r="O870" i="1" s="1"/>
  <c r="N869" i="1"/>
  <c r="O869" i="1" s="1"/>
  <c r="N868" i="1"/>
  <c r="O868" i="1" s="1"/>
  <c r="N867" i="1"/>
  <c r="O867" i="1" s="1"/>
  <c r="N866" i="1"/>
  <c r="O866" i="1" s="1"/>
  <c r="N865" i="1"/>
  <c r="O865" i="1" s="1"/>
  <c r="N864" i="1"/>
  <c r="O864" i="1" s="1"/>
  <c r="N863" i="1"/>
  <c r="O863" i="1" s="1"/>
  <c r="N862" i="1"/>
  <c r="O862" i="1" s="1"/>
  <c r="N861" i="1"/>
  <c r="O861" i="1" s="1"/>
  <c r="N860" i="1"/>
  <c r="O860" i="1" s="1"/>
  <c r="N859" i="1"/>
  <c r="O859" i="1" s="1"/>
  <c r="N858" i="1"/>
  <c r="O858" i="1" s="1"/>
  <c r="N857" i="1"/>
  <c r="O857" i="1" s="1"/>
  <c r="N856" i="1"/>
  <c r="O856" i="1" s="1"/>
  <c r="N855" i="1"/>
  <c r="O855" i="1" s="1"/>
  <c r="N854" i="1"/>
  <c r="O854" i="1" s="1"/>
  <c r="N853" i="1"/>
  <c r="O853" i="1" s="1"/>
  <c r="N852" i="1"/>
  <c r="O852" i="1" s="1"/>
  <c r="N851" i="1"/>
  <c r="O851" i="1" s="1"/>
  <c r="N850" i="1"/>
  <c r="O850" i="1" s="1"/>
  <c r="N849" i="1"/>
  <c r="O849" i="1" s="1"/>
  <c r="N848" i="1"/>
  <c r="O848" i="1" s="1"/>
  <c r="N847" i="1"/>
  <c r="O847" i="1" s="1"/>
  <c r="N846" i="1"/>
  <c r="O846" i="1" s="1"/>
  <c r="N845" i="1"/>
  <c r="O845" i="1" s="1"/>
  <c r="N844" i="1"/>
  <c r="O844" i="1" s="1"/>
  <c r="N843" i="1"/>
  <c r="O843" i="1" s="1"/>
  <c r="N842" i="1"/>
  <c r="O842" i="1" s="1"/>
  <c r="N841" i="1"/>
  <c r="O841" i="1" s="1"/>
  <c r="N840" i="1"/>
  <c r="O840" i="1" s="1"/>
  <c r="N839" i="1"/>
  <c r="O839" i="1" s="1"/>
  <c r="N838" i="1"/>
  <c r="O838" i="1" s="1"/>
  <c r="N837" i="1"/>
  <c r="O837" i="1" s="1"/>
  <c r="N836" i="1"/>
  <c r="O836" i="1" s="1"/>
  <c r="N835" i="1"/>
  <c r="O835" i="1" s="1"/>
  <c r="N904" i="1"/>
  <c r="O904" i="1" s="1"/>
  <c r="N903" i="1"/>
  <c r="O903" i="1" s="1"/>
  <c r="N902" i="1"/>
  <c r="O902" i="1" s="1"/>
  <c r="N901" i="1"/>
  <c r="O901" i="1" s="1"/>
  <c r="N900" i="1"/>
  <c r="O900" i="1" s="1"/>
  <c r="N899" i="1"/>
  <c r="O899" i="1" s="1"/>
  <c r="N898" i="1"/>
  <c r="O898" i="1" s="1"/>
  <c r="N897" i="1"/>
  <c r="O897" i="1" s="1"/>
  <c r="N896" i="1"/>
  <c r="O896" i="1" s="1"/>
  <c r="N895" i="1"/>
  <c r="O895" i="1" s="1"/>
  <c r="N914" i="1"/>
  <c r="O914" i="1" s="1"/>
  <c r="N913" i="1"/>
  <c r="O913" i="1" s="1"/>
  <c r="N912" i="1"/>
  <c r="O912" i="1" s="1"/>
  <c r="N911" i="1"/>
  <c r="O911" i="1" s="1"/>
  <c r="N910" i="1"/>
  <c r="O910" i="1" s="1"/>
  <c r="N909" i="1"/>
  <c r="O909" i="1" s="1"/>
  <c r="N908" i="1"/>
  <c r="O908" i="1" s="1"/>
  <c r="N907" i="1"/>
  <c r="O907" i="1" s="1"/>
  <c r="N906" i="1"/>
  <c r="O906" i="1" s="1"/>
  <c r="N905" i="1"/>
  <c r="O905" i="1" s="1"/>
  <c r="N924" i="1"/>
  <c r="O924" i="1" s="1"/>
  <c r="N923" i="1"/>
  <c r="O923" i="1" s="1"/>
  <c r="N922" i="1"/>
  <c r="O922" i="1" s="1"/>
  <c r="N921" i="1"/>
  <c r="O921" i="1" s="1"/>
  <c r="N920" i="1"/>
  <c r="O920" i="1" s="1"/>
  <c r="N919" i="1"/>
  <c r="O919" i="1" s="1"/>
  <c r="N918" i="1"/>
  <c r="O918" i="1" s="1"/>
  <c r="N917" i="1"/>
  <c r="O917" i="1" s="1"/>
  <c r="N916" i="1"/>
  <c r="O916" i="1" s="1"/>
  <c r="N915" i="1"/>
  <c r="O915" i="1" s="1"/>
  <c r="N934" i="1"/>
  <c r="O934" i="1" s="1"/>
  <c r="N933" i="1"/>
  <c r="O933" i="1" s="1"/>
  <c r="N932" i="1"/>
  <c r="O932" i="1" s="1"/>
  <c r="N931" i="1"/>
  <c r="O931" i="1" s="1"/>
  <c r="N930" i="1"/>
  <c r="O930" i="1" s="1"/>
  <c r="N929" i="1"/>
  <c r="O929" i="1" s="1"/>
  <c r="N928" i="1"/>
  <c r="O928" i="1" s="1"/>
  <c r="N927" i="1"/>
  <c r="O927" i="1" s="1"/>
  <c r="N926" i="1"/>
  <c r="O926" i="1" s="1"/>
  <c r="N925" i="1"/>
  <c r="O925" i="1" s="1"/>
  <c r="N944" i="1"/>
  <c r="O944" i="1" s="1"/>
  <c r="N943" i="1"/>
  <c r="O943" i="1" s="1"/>
  <c r="N942" i="1"/>
  <c r="O942" i="1" s="1"/>
  <c r="N941" i="1"/>
  <c r="O941" i="1" s="1"/>
  <c r="N940" i="1"/>
  <c r="O940" i="1" s="1"/>
  <c r="N939" i="1"/>
  <c r="O939" i="1" s="1"/>
  <c r="N938" i="1"/>
  <c r="O938" i="1" s="1"/>
  <c r="N937" i="1"/>
  <c r="O937" i="1" s="1"/>
  <c r="N936" i="1"/>
  <c r="O936" i="1" s="1"/>
  <c r="N935" i="1"/>
  <c r="O935" i="1" s="1"/>
  <c r="N949" i="1"/>
  <c r="O949" i="1" s="1"/>
  <c r="N948" i="1"/>
  <c r="O948" i="1" s="1"/>
  <c r="N947" i="1"/>
  <c r="O947" i="1" s="1"/>
  <c r="N946" i="1"/>
  <c r="O946" i="1" s="1"/>
  <c r="N945" i="1"/>
  <c r="O945" i="1" s="1"/>
  <c r="N443" i="1"/>
  <c r="O443" i="1" s="1"/>
  <c r="N442" i="1"/>
  <c r="O442" i="1" s="1"/>
  <c r="N441" i="1"/>
  <c r="O441" i="1" s="1"/>
  <c r="N440" i="1"/>
  <c r="O440" i="1" s="1"/>
  <c r="N439" i="1"/>
  <c r="O439" i="1" s="1"/>
  <c r="N438" i="1"/>
  <c r="O438" i="1" s="1"/>
  <c r="N437" i="1"/>
  <c r="O437" i="1" s="1"/>
  <c r="N436" i="1"/>
  <c r="O436" i="1" s="1"/>
  <c r="N435" i="1"/>
  <c r="O435" i="1" s="1"/>
  <c r="N434" i="1"/>
  <c r="O434" i="1" s="1"/>
  <c r="N433" i="1"/>
  <c r="O433" i="1" s="1"/>
  <c r="N432" i="1"/>
  <c r="O432" i="1" s="1"/>
  <c r="N431" i="1"/>
  <c r="O431" i="1" s="1"/>
  <c r="N430" i="1"/>
  <c r="O430" i="1" s="1"/>
  <c r="N429" i="1"/>
  <c r="O429" i="1" s="1"/>
  <c r="N428" i="1"/>
  <c r="O428" i="1" s="1"/>
  <c r="N427" i="1"/>
  <c r="O427" i="1" s="1"/>
  <c r="N426" i="1"/>
  <c r="O426" i="1" s="1"/>
  <c r="N425" i="1"/>
  <c r="O425" i="1" s="1"/>
  <c r="N424" i="1"/>
  <c r="O424" i="1" s="1"/>
  <c r="N423" i="1"/>
  <c r="O423" i="1" s="1"/>
  <c r="N422" i="1"/>
  <c r="O422" i="1" s="1"/>
  <c r="N421" i="1"/>
  <c r="O421" i="1" s="1"/>
  <c r="N420" i="1"/>
  <c r="O420" i="1" s="1"/>
  <c r="N419" i="1"/>
  <c r="O419" i="1" s="1"/>
  <c r="N418" i="1"/>
  <c r="O418" i="1" s="1"/>
  <c r="N417" i="1"/>
  <c r="O417" i="1" s="1"/>
  <c r="N416" i="1"/>
  <c r="O416" i="1" s="1"/>
  <c r="N415" i="1"/>
  <c r="O415" i="1" s="1"/>
  <c r="N414" i="1"/>
  <c r="O414" i="1" s="1"/>
  <c r="N413" i="1"/>
  <c r="O413" i="1" s="1"/>
  <c r="N412" i="1"/>
  <c r="O412" i="1" s="1"/>
  <c r="N411" i="1"/>
  <c r="O411" i="1" s="1"/>
  <c r="N410" i="1"/>
  <c r="O410" i="1" s="1"/>
  <c r="N409" i="1"/>
  <c r="O409" i="1" s="1"/>
  <c r="N408" i="1"/>
  <c r="O408" i="1" s="1"/>
  <c r="N407" i="1"/>
  <c r="O407" i="1" s="1"/>
  <c r="N406" i="1"/>
  <c r="O406" i="1" s="1"/>
  <c r="N405" i="1"/>
  <c r="O405" i="1" s="1"/>
  <c r="N404" i="1"/>
  <c r="O404" i="1" s="1"/>
  <c r="N403" i="1"/>
  <c r="O403" i="1" s="1"/>
  <c r="N402" i="1"/>
  <c r="O402" i="1" s="1"/>
  <c r="N401" i="1"/>
  <c r="O401" i="1" s="1"/>
  <c r="N400" i="1"/>
  <c r="O400" i="1" s="1"/>
  <c r="N399" i="1"/>
  <c r="O399" i="1" s="1"/>
  <c r="N398" i="1"/>
  <c r="O398" i="1" s="1"/>
  <c r="N397" i="1"/>
  <c r="O397" i="1" s="1"/>
  <c r="N396" i="1"/>
  <c r="O396" i="1" s="1"/>
  <c r="N395" i="1"/>
  <c r="O395" i="1" s="1"/>
  <c r="N394" i="1"/>
  <c r="O394" i="1" s="1"/>
  <c r="N393" i="1"/>
  <c r="O393" i="1" s="1"/>
  <c r="N392" i="1"/>
  <c r="O392" i="1" s="1"/>
  <c r="N391" i="1"/>
  <c r="O391" i="1" s="1"/>
  <c r="N390" i="1"/>
  <c r="O390" i="1" s="1"/>
  <c r="N389" i="1"/>
  <c r="O389" i="1" s="1"/>
  <c r="N388" i="1"/>
  <c r="O388" i="1" s="1"/>
  <c r="N387" i="1"/>
  <c r="O387" i="1" s="1"/>
  <c r="N386" i="1"/>
  <c r="O386" i="1" s="1"/>
  <c r="N385" i="1"/>
  <c r="O385" i="1" s="1"/>
  <c r="N384" i="1"/>
  <c r="O384" i="1" s="1"/>
  <c r="N383" i="1"/>
  <c r="O383" i="1" s="1"/>
  <c r="N382" i="1"/>
  <c r="O382" i="1" s="1"/>
  <c r="N381" i="1"/>
  <c r="O381" i="1" s="1"/>
  <c r="N380" i="1"/>
  <c r="O380" i="1" s="1"/>
  <c r="N379" i="1"/>
  <c r="O379" i="1" s="1"/>
  <c r="N378" i="1"/>
  <c r="O378" i="1" s="1"/>
  <c r="N377" i="1"/>
  <c r="O377" i="1" s="1"/>
  <c r="N376" i="1"/>
  <c r="O376" i="1" s="1"/>
  <c r="N375" i="1"/>
  <c r="O375" i="1" s="1"/>
  <c r="N374" i="1"/>
  <c r="O374" i="1" s="1"/>
  <c r="N373" i="1"/>
  <c r="O373" i="1" s="1"/>
  <c r="N372" i="1"/>
  <c r="O372" i="1" s="1"/>
  <c r="N371" i="1"/>
  <c r="O371" i="1" s="1"/>
  <c r="N370" i="1"/>
  <c r="O370" i="1" s="1"/>
  <c r="N369" i="1"/>
  <c r="O369" i="1" s="1"/>
  <c r="N368" i="1"/>
  <c r="O368" i="1" s="1"/>
  <c r="N367" i="1"/>
  <c r="O367" i="1" s="1"/>
  <c r="N366" i="1"/>
  <c r="O366" i="1" s="1"/>
  <c r="N365" i="1"/>
  <c r="O365" i="1" s="1"/>
  <c r="N364" i="1"/>
  <c r="O364" i="1" s="1"/>
  <c r="N363" i="1"/>
  <c r="O363" i="1" s="1"/>
  <c r="N362" i="1"/>
  <c r="O362" i="1" s="1"/>
  <c r="N361" i="1"/>
  <c r="O361" i="1" s="1"/>
  <c r="N360" i="1"/>
  <c r="O360" i="1" s="1"/>
  <c r="N359" i="1"/>
  <c r="O359" i="1" s="1"/>
  <c r="N358" i="1"/>
  <c r="O358" i="1" s="1"/>
  <c r="N357" i="1"/>
  <c r="O357" i="1" s="1"/>
  <c r="N356" i="1"/>
  <c r="O356" i="1" s="1"/>
  <c r="N355" i="1"/>
  <c r="O355" i="1" s="1"/>
  <c r="N354" i="1"/>
  <c r="O354" i="1" s="1"/>
  <c r="N353" i="1"/>
  <c r="O353" i="1" s="1"/>
  <c r="N352" i="1"/>
  <c r="O352" i="1" s="1"/>
  <c r="N351" i="1"/>
  <c r="O351" i="1" s="1"/>
  <c r="N350" i="1"/>
  <c r="O350" i="1" s="1"/>
  <c r="N349" i="1"/>
  <c r="O349" i="1" s="1"/>
  <c r="N348" i="1"/>
  <c r="O348" i="1" s="1"/>
  <c r="N347" i="1"/>
  <c r="O347" i="1" s="1"/>
  <c r="N346" i="1"/>
  <c r="O346" i="1" s="1"/>
  <c r="N345" i="1"/>
  <c r="O345" i="1" s="1"/>
  <c r="N344" i="1"/>
  <c r="O344" i="1" s="1"/>
  <c r="N343" i="1"/>
  <c r="O343" i="1" s="1"/>
  <c r="N342" i="1"/>
  <c r="O342" i="1" s="1"/>
  <c r="N341" i="1"/>
  <c r="O341" i="1" s="1"/>
  <c r="N340" i="1"/>
  <c r="O340" i="1" s="1"/>
  <c r="N339" i="1"/>
  <c r="O339" i="1" s="1"/>
  <c r="N338" i="1"/>
  <c r="O338" i="1" s="1"/>
  <c r="N337" i="1"/>
  <c r="O337" i="1" s="1"/>
  <c r="N336" i="1"/>
  <c r="O336" i="1" s="1"/>
  <c r="N335" i="1"/>
  <c r="O335" i="1" s="1"/>
  <c r="N334" i="1"/>
  <c r="O334" i="1" s="1"/>
  <c r="N333" i="1"/>
  <c r="O333" i="1" s="1"/>
  <c r="N332" i="1"/>
  <c r="O332" i="1" s="1"/>
  <c r="N331" i="1"/>
  <c r="O331" i="1" s="1"/>
  <c r="N330" i="1"/>
  <c r="O330" i="1" s="1"/>
  <c r="N329" i="1"/>
  <c r="O329" i="1" s="1"/>
  <c r="N328" i="1"/>
  <c r="O328" i="1" s="1"/>
  <c r="N327" i="1"/>
  <c r="O327" i="1" s="1"/>
  <c r="N326" i="1"/>
  <c r="O326" i="1" s="1"/>
  <c r="N325" i="1"/>
  <c r="O325" i="1" s="1"/>
  <c r="N324" i="1"/>
  <c r="O324" i="1" s="1"/>
  <c r="N323" i="1"/>
  <c r="O323" i="1" s="1"/>
  <c r="N322" i="1"/>
  <c r="O322" i="1" s="1"/>
  <c r="N321" i="1"/>
  <c r="O321" i="1" s="1"/>
  <c r="N320" i="1"/>
  <c r="O320" i="1" s="1"/>
  <c r="N319" i="1"/>
  <c r="O319" i="1" s="1"/>
  <c r="N318" i="1"/>
  <c r="O318" i="1" s="1"/>
  <c r="N317" i="1"/>
  <c r="O317" i="1" s="1"/>
  <c r="N316" i="1"/>
  <c r="O316" i="1" s="1"/>
  <c r="N315" i="1"/>
  <c r="O315" i="1" s="1"/>
  <c r="N314" i="1"/>
  <c r="O314" i="1" s="1"/>
  <c r="N313" i="1"/>
  <c r="O313" i="1" s="1"/>
  <c r="N312" i="1"/>
  <c r="O312" i="1" s="1"/>
  <c r="N311" i="1"/>
  <c r="O311" i="1" s="1"/>
  <c r="N310" i="1"/>
  <c r="O310" i="1" s="1"/>
  <c r="N309" i="1"/>
  <c r="O309" i="1" s="1"/>
  <c r="N308" i="1"/>
  <c r="O308" i="1" s="1"/>
  <c r="N307" i="1"/>
  <c r="O307" i="1" s="1"/>
  <c r="N306" i="1"/>
  <c r="O306" i="1" s="1"/>
  <c r="N305" i="1"/>
  <c r="O305" i="1" s="1"/>
  <c r="N304" i="1"/>
  <c r="O304" i="1" s="1"/>
  <c r="N303" i="1"/>
  <c r="O303" i="1" s="1"/>
  <c r="N302" i="1"/>
  <c r="O302" i="1" s="1"/>
  <c r="N301" i="1"/>
  <c r="O301" i="1" s="1"/>
  <c r="N300" i="1"/>
  <c r="O300" i="1" s="1"/>
  <c r="N299" i="1"/>
  <c r="O299" i="1" s="1"/>
  <c r="N298" i="1"/>
  <c r="O298" i="1" s="1"/>
  <c r="N297" i="1"/>
  <c r="O297" i="1" s="1"/>
  <c r="N296" i="1"/>
  <c r="O296" i="1" s="1"/>
  <c r="N295" i="1"/>
  <c r="O295" i="1" s="1"/>
  <c r="N294" i="1"/>
  <c r="O294" i="1" s="1"/>
  <c r="N293" i="1"/>
  <c r="O293" i="1" s="1"/>
  <c r="N292" i="1"/>
  <c r="O292" i="1" s="1"/>
  <c r="N291" i="1"/>
  <c r="O291" i="1" s="1"/>
  <c r="N290" i="1"/>
  <c r="O290" i="1" s="1"/>
  <c r="N469" i="1"/>
  <c r="O469" i="1" s="1"/>
  <c r="N468" i="1"/>
  <c r="O468" i="1" s="1"/>
  <c r="N467" i="1"/>
  <c r="O467" i="1" s="1"/>
  <c r="N466" i="1"/>
  <c r="O466" i="1" s="1"/>
  <c r="N465" i="1"/>
  <c r="O465" i="1" s="1"/>
  <c r="N464" i="1"/>
  <c r="O464" i="1" s="1"/>
  <c r="N463" i="1"/>
  <c r="O463" i="1" s="1"/>
  <c r="N462" i="1"/>
  <c r="O462" i="1" s="1"/>
  <c r="N461" i="1"/>
  <c r="O461" i="1" s="1"/>
  <c r="N460" i="1"/>
  <c r="O460" i="1" s="1"/>
  <c r="N459" i="1"/>
  <c r="O459" i="1" s="1"/>
  <c r="N458" i="1"/>
  <c r="O458" i="1" s="1"/>
  <c r="N457" i="1"/>
  <c r="O457" i="1" s="1"/>
  <c r="N456" i="1"/>
  <c r="O456" i="1" s="1"/>
  <c r="N455" i="1"/>
  <c r="O455" i="1" s="1"/>
  <c r="N454" i="1"/>
  <c r="O454" i="1" s="1"/>
  <c r="N453" i="1"/>
  <c r="O453" i="1" s="1"/>
  <c r="N452" i="1"/>
  <c r="O452" i="1" s="1"/>
  <c r="N451" i="1"/>
  <c r="O451" i="1" s="1"/>
  <c r="N450" i="1"/>
  <c r="O450" i="1" s="1"/>
  <c r="N449" i="1"/>
  <c r="O449" i="1" s="1"/>
  <c r="N448" i="1"/>
  <c r="O448" i="1" s="1"/>
  <c r="N447" i="1"/>
  <c r="O447" i="1" s="1"/>
  <c r="N446" i="1"/>
  <c r="O446" i="1" s="1"/>
  <c r="N445" i="1"/>
  <c r="O445" i="1" s="1"/>
  <c r="N444" i="1"/>
  <c r="O444" i="1" s="1"/>
  <c r="N495" i="1"/>
  <c r="O495" i="1" s="1"/>
  <c r="N494" i="1"/>
  <c r="O494" i="1" s="1"/>
  <c r="N493" i="1"/>
  <c r="O493" i="1" s="1"/>
  <c r="N492" i="1"/>
  <c r="O492" i="1" s="1"/>
  <c r="N491" i="1"/>
  <c r="O491" i="1" s="1"/>
  <c r="N490" i="1"/>
  <c r="O490" i="1" s="1"/>
  <c r="N489" i="1"/>
  <c r="O489" i="1" s="1"/>
  <c r="N488" i="1"/>
  <c r="O488" i="1" s="1"/>
  <c r="N487" i="1"/>
  <c r="O487" i="1" s="1"/>
  <c r="N486" i="1"/>
  <c r="O486" i="1" s="1"/>
  <c r="N485" i="1"/>
  <c r="O485" i="1" s="1"/>
  <c r="N484" i="1"/>
  <c r="O484" i="1" s="1"/>
  <c r="N483" i="1"/>
  <c r="O483" i="1" s="1"/>
  <c r="N482" i="1"/>
  <c r="O482" i="1" s="1"/>
  <c r="N481" i="1"/>
  <c r="O481" i="1" s="1"/>
  <c r="N480" i="1"/>
  <c r="O480" i="1" s="1"/>
  <c r="N479" i="1"/>
  <c r="O479" i="1" s="1"/>
  <c r="N478" i="1"/>
  <c r="O478" i="1" s="1"/>
  <c r="N477" i="1"/>
  <c r="O477" i="1" s="1"/>
  <c r="N476" i="1"/>
  <c r="O476" i="1" s="1"/>
  <c r="N475" i="1"/>
  <c r="O475" i="1" s="1"/>
  <c r="N474" i="1"/>
  <c r="O474" i="1" s="1"/>
  <c r="N473" i="1"/>
  <c r="O473" i="1" s="1"/>
  <c r="N472" i="1"/>
  <c r="O472" i="1" s="1"/>
  <c r="N471" i="1"/>
  <c r="O471" i="1" s="1"/>
  <c r="N470" i="1"/>
  <c r="O470" i="1" s="1"/>
  <c r="N521" i="1"/>
  <c r="O521" i="1" s="1"/>
  <c r="N520" i="1"/>
  <c r="O520" i="1" s="1"/>
  <c r="N519" i="1"/>
  <c r="O519" i="1" s="1"/>
  <c r="N518" i="1"/>
  <c r="O518" i="1" s="1"/>
  <c r="N517" i="1"/>
  <c r="O517" i="1" s="1"/>
  <c r="N516" i="1"/>
  <c r="O516" i="1" s="1"/>
  <c r="N515" i="1"/>
  <c r="O515" i="1" s="1"/>
  <c r="N514" i="1"/>
  <c r="O514" i="1" s="1"/>
  <c r="N513" i="1"/>
  <c r="O513" i="1" s="1"/>
  <c r="N512" i="1"/>
  <c r="O512" i="1" s="1"/>
  <c r="N511" i="1"/>
  <c r="O511" i="1" s="1"/>
  <c r="N510" i="1"/>
  <c r="O510" i="1" s="1"/>
  <c r="N509" i="1"/>
  <c r="O509" i="1" s="1"/>
  <c r="N508" i="1"/>
  <c r="O508" i="1" s="1"/>
  <c r="N507" i="1"/>
  <c r="O507" i="1" s="1"/>
  <c r="N506" i="1"/>
  <c r="O506" i="1" s="1"/>
  <c r="N505" i="1"/>
  <c r="O505" i="1" s="1"/>
  <c r="N504" i="1"/>
  <c r="O504" i="1" s="1"/>
  <c r="N503" i="1"/>
  <c r="O503" i="1" s="1"/>
  <c r="N502" i="1"/>
  <c r="O502" i="1" s="1"/>
  <c r="N501" i="1"/>
  <c r="O501" i="1" s="1"/>
  <c r="N500" i="1"/>
  <c r="O500" i="1" s="1"/>
  <c r="N499" i="1"/>
  <c r="O499" i="1" s="1"/>
  <c r="N498" i="1"/>
  <c r="O498" i="1" s="1"/>
  <c r="N497" i="1"/>
  <c r="O497" i="1" s="1"/>
  <c r="N496" i="1"/>
  <c r="O496" i="1" s="1"/>
  <c r="N547" i="1"/>
  <c r="O547" i="1" s="1"/>
  <c r="N546" i="1"/>
  <c r="O546" i="1" s="1"/>
  <c r="N545" i="1"/>
  <c r="O545" i="1" s="1"/>
  <c r="N544" i="1"/>
  <c r="O544" i="1" s="1"/>
  <c r="N543" i="1"/>
  <c r="O543" i="1" s="1"/>
  <c r="N542" i="1"/>
  <c r="O542" i="1" s="1"/>
  <c r="N541" i="1"/>
  <c r="O541" i="1" s="1"/>
  <c r="N540" i="1"/>
  <c r="O540" i="1" s="1"/>
  <c r="N539" i="1"/>
  <c r="O539" i="1" s="1"/>
  <c r="N538" i="1"/>
  <c r="O538" i="1" s="1"/>
  <c r="N537" i="1"/>
  <c r="O537" i="1" s="1"/>
  <c r="N536" i="1"/>
  <c r="O536" i="1" s="1"/>
  <c r="N535" i="1"/>
  <c r="O535" i="1" s="1"/>
  <c r="N534" i="1"/>
  <c r="O534" i="1" s="1"/>
  <c r="N533" i="1"/>
  <c r="O533" i="1" s="1"/>
  <c r="N532" i="1"/>
  <c r="O532" i="1" s="1"/>
  <c r="N531" i="1"/>
  <c r="O531" i="1" s="1"/>
  <c r="N530" i="1"/>
  <c r="O530" i="1" s="1"/>
  <c r="N529" i="1"/>
  <c r="O529" i="1" s="1"/>
  <c r="N528" i="1"/>
  <c r="O528" i="1" s="1"/>
  <c r="N527" i="1"/>
  <c r="O527" i="1" s="1"/>
  <c r="N526" i="1"/>
  <c r="O526" i="1" s="1"/>
  <c r="N525" i="1"/>
  <c r="O525" i="1" s="1"/>
  <c r="N524" i="1"/>
  <c r="O524" i="1" s="1"/>
  <c r="N523" i="1"/>
  <c r="O523" i="1" s="1"/>
  <c r="N522" i="1"/>
  <c r="O522" i="1" s="1"/>
  <c r="N573" i="1"/>
  <c r="O573" i="1" s="1"/>
  <c r="N572" i="1"/>
  <c r="O572" i="1" s="1"/>
  <c r="N571" i="1"/>
  <c r="O571" i="1" s="1"/>
  <c r="N570" i="1"/>
  <c r="O570" i="1" s="1"/>
  <c r="N569" i="1"/>
  <c r="O569" i="1" s="1"/>
  <c r="N568" i="1"/>
  <c r="O568" i="1" s="1"/>
  <c r="N567" i="1"/>
  <c r="O567" i="1" s="1"/>
  <c r="N566" i="1"/>
  <c r="O566" i="1" s="1"/>
  <c r="N565" i="1"/>
  <c r="O565" i="1" s="1"/>
  <c r="N564" i="1"/>
  <c r="O564" i="1" s="1"/>
  <c r="N563" i="1"/>
  <c r="O563" i="1" s="1"/>
  <c r="N562" i="1"/>
  <c r="O562" i="1" s="1"/>
  <c r="N561" i="1"/>
  <c r="O561" i="1" s="1"/>
  <c r="N560" i="1"/>
  <c r="O560" i="1" s="1"/>
  <c r="N559" i="1"/>
  <c r="O559" i="1" s="1"/>
  <c r="N558" i="1"/>
  <c r="O558" i="1" s="1"/>
  <c r="N557" i="1"/>
  <c r="O557" i="1" s="1"/>
  <c r="N556" i="1"/>
  <c r="O556" i="1" s="1"/>
  <c r="N555" i="1"/>
  <c r="O555" i="1" s="1"/>
  <c r="N554" i="1"/>
  <c r="O554" i="1" s="1"/>
  <c r="N553" i="1"/>
  <c r="O553" i="1" s="1"/>
  <c r="N552" i="1"/>
  <c r="O552" i="1" s="1"/>
  <c r="N551" i="1"/>
  <c r="O551" i="1" s="1"/>
  <c r="N550" i="1"/>
  <c r="O550" i="1" s="1"/>
  <c r="N549" i="1"/>
  <c r="O549" i="1" s="1"/>
  <c r="N548" i="1"/>
  <c r="O548" i="1" s="1"/>
  <c r="N586" i="1"/>
  <c r="O586" i="1" s="1"/>
  <c r="N585" i="1"/>
  <c r="O585" i="1" s="1"/>
  <c r="N584" i="1"/>
  <c r="O584" i="1" s="1"/>
  <c r="N583" i="1"/>
  <c r="O583" i="1" s="1"/>
  <c r="N582" i="1"/>
  <c r="O582" i="1" s="1"/>
  <c r="N581" i="1"/>
  <c r="O581" i="1" s="1"/>
  <c r="N580" i="1"/>
  <c r="O580" i="1" s="1"/>
  <c r="N579" i="1"/>
  <c r="O579" i="1" s="1"/>
  <c r="N578" i="1"/>
  <c r="O578" i="1" s="1"/>
  <c r="N577" i="1"/>
  <c r="O577" i="1" s="1"/>
  <c r="N576" i="1"/>
  <c r="O576" i="1" s="1"/>
  <c r="N575" i="1"/>
  <c r="O575" i="1" s="1"/>
  <c r="N574" i="1"/>
  <c r="O574" i="1" s="1"/>
  <c r="N594" i="1"/>
  <c r="O594" i="1" s="1"/>
  <c r="N593" i="1"/>
  <c r="O593" i="1" s="1"/>
  <c r="N592" i="1"/>
  <c r="O592" i="1" s="1"/>
  <c r="N591" i="1"/>
  <c r="O591" i="1" s="1"/>
  <c r="N590" i="1"/>
  <c r="O590" i="1" s="1"/>
  <c r="N953" i="1"/>
  <c r="O953" i="1" s="1"/>
  <c r="N952" i="1"/>
  <c r="O952" i="1" s="1"/>
  <c r="N954" i="1"/>
  <c r="O954" i="1" s="1"/>
  <c r="A18" i="1" l="1"/>
  <c r="A19" i="1" s="1"/>
  <c r="A20" i="1" s="1"/>
  <c r="A21" i="1" s="1"/>
  <c r="A22" i="1" s="1"/>
  <c r="A23" i="1" s="1"/>
  <c r="A24" i="1" s="1"/>
  <c r="A25" i="1" s="1"/>
  <c r="A26" i="1" s="1"/>
  <c r="A27" i="1" s="1"/>
  <c r="A28" i="1" s="1"/>
  <c r="A29" i="1" s="1"/>
  <c r="A30" i="1" s="1"/>
  <c r="A31" i="1" s="1"/>
  <c r="A32" i="1" s="1"/>
  <c r="A33" i="1" s="1"/>
  <c r="A34" i="1" s="1"/>
  <c r="A35" i="1" s="1"/>
  <c r="A36" i="1" s="1"/>
  <c r="A37" i="1" s="1"/>
  <c r="A38" i="1" s="1"/>
  <c r="A39" i="1" s="1"/>
  <c r="A40" i="1" s="1"/>
  <c r="A41" i="1" s="1"/>
  <c r="A42" i="1" s="1"/>
  <c r="A43" i="1" s="1"/>
  <c r="A44" i="1" s="1"/>
  <c r="A45" i="1" s="1"/>
  <c r="A46" i="1" s="1"/>
  <c r="A47" i="1" s="1"/>
  <c r="A48" i="1" s="1"/>
  <c r="A49" i="1" s="1"/>
  <c r="A50" i="1" s="1"/>
  <c r="A51" i="1" s="1"/>
  <c r="A52" i="1" s="1"/>
  <c r="A53" i="1" s="1"/>
  <c r="A54" i="1" s="1"/>
  <c r="A55" i="1" s="1"/>
  <c r="A56" i="1" s="1"/>
  <c r="A57" i="1" s="1"/>
  <c r="A58" i="1" s="1"/>
  <c r="A59" i="1" s="1"/>
  <c r="A60" i="1" s="1"/>
  <c r="A61" i="1" s="1"/>
  <c r="A62" i="1" s="1"/>
  <c r="A63" i="1" s="1"/>
  <c r="A64" i="1" s="1"/>
  <c r="A65" i="1" s="1"/>
  <c r="A66" i="1" s="1"/>
  <c r="A67" i="1" s="1"/>
  <c r="A68" i="1" s="1"/>
  <c r="A69" i="1" s="1"/>
  <c r="A70" i="1" s="1"/>
  <c r="A71" i="1" s="1"/>
  <c r="A72" i="1" s="1"/>
  <c r="A73" i="1" s="1"/>
  <c r="A74" i="1" s="1"/>
  <c r="A75" i="1" s="1"/>
  <c r="A76" i="1" s="1"/>
  <c r="A77" i="1" s="1"/>
  <c r="A78" i="1" s="1"/>
  <c r="A79" i="1" s="1"/>
  <c r="A80" i="1" s="1"/>
  <c r="A81" i="1" s="1"/>
  <c r="A82" i="1" s="1"/>
  <c r="A83" i="1" s="1"/>
  <c r="A84" i="1" s="1"/>
  <c r="A85" i="1" s="1"/>
  <c r="A86" i="1" s="1"/>
  <c r="A87" i="1" s="1"/>
  <c r="A88" i="1" s="1"/>
  <c r="A89" i="1" s="1"/>
  <c r="A90" i="1" s="1"/>
  <c r="A91" i="1" s="1"/>
  <c r="A92" i="1" s="1"/>
  <c r="A93" i="1" s="1"/>
  <c r="A94" i="1" s="1"/>
  <c r="A95" i="1" s="1"/>
  <c r="A96" i="1" s="1"/>
  <c r="A97" i="1" s="1"/>
  <c r="A98" i="1" s="1"/>
  <c r="A99" i="1" s="1"/>
  <c r="A100" i="1" s="1"/>
  <c r="A101" i="1" s="1"/>
  <c r="A102" i="1" s="1"/>
  <c r="A103" i="1" s="1"/>
  <c r="A104" i="1" s="1"/>
  <c r="A105" i="1" s="1"/>
  <c r="A106" i="1" s="1"/>
  <c r="A107" i="1" s="1"/>
  <c r="A108" i="1" s="1"/>
  <c r="A109" i="1" s="1"/>
  <c r="A110" i="1" s="1"/>
  <c r="A111" i="1" s="1"/>
  <c r="A112" i="1" s="1"/>
  <c r="A113" i="1" s="1"/>
  <c r="A114" i="1" s="1"/>
  <c r="A115" i="1" s="1"/>
  <c r="A116" i="1" s="1"/>
  <c r="A117" i="1" s="1"/>
  <c r="A118" i="1" s="1"/>
  <c r="A119" i="1" s="1"/>
  <c r="A120" i="1" s="1"/>
  <c r="A121" i="1" s="1"/>
  <c r="A122" i="1" s="1"/>
  <c r="A123" i="1" s="1"/>
  <c r="A124" i="1" s="1"/>
  <c r="A125" i="1" s="1"/>
  <c r="A126" i="1" s="1"/>
  <c r="A127" i="1" s="1"/>
  <c r="A128" i="1" s="1"/>
  <c r="A129" i="1" s="1"/>
  <c r="A130" i="1" s="1"/>
  <c r="A131" i="1" s="1"/>
  <c r="A132" i="1" s="1"/>
  <c r="A133" i="1" s="1"/>
  <c r="A134" i="1" s="1"/>
  <c r="A135" i="1" s="1"/>
  <c r="A136" i="1" s="1"/>
  <c r="A137" i="1" s="1"/>
  <c r="A138" i="1" s="1"/>
  <c r="A139" i="1" s="1"/>
  <c r="A140" i="1" s="1"/>
  <c r="A141" i="1" s="1"/>
  <c r="A142" i="1" s="1"/>
  <c r="A143" i="1" s="1"/>
  <c r="A144" i="1" s="1"/>
  <c r="A145" i="1" s="1"/>
  <c r="A146" i="1" s="1"/>
  <c r="A147" i="1" s="1"/>
  <c r="A148" i="1" s="1"/>
  <c r="A149" i="1" s="1"/>
  <c r="A150" i="1" s="1"/>
  <c r="A151" i="1" s="1"/>
  <c r="A152" i="1" s="1"/>
  <c r="A153" i="1" s="1"/>
  <c r="A154" i="1" s="1"/>
  <c r="A155" i="1" s="1"/>
  <c r="A156" i="1" s="1"/>
  <c r="A157" i="1" s="1"/>
  <c r="A158" i="1" s="1"/>
  <c r="A159" i="1" s="1"/>
  <c r="A160" i="1" s="1"/>
  <c r="A161" i="1" s="1"/>
  <c r="A162" i="1" s="1"/>
  <c r="A163" i="1" s="1"/>
  <c r="A164" i="1" s="1"/>
  <c r="A165" i="1" s="1"/>
  <c r="A166" i="1" s="1"/>
  <c r="A167" i="1" s="1"/>
  <c r="A168" i="1" s="1"/>
  <c r="A169" i="1" s="1"/>
  <c r="A170" i="1" s="1"/>
  <c r="A171" i="1" s="1"/>
  <c r="A172" i="1" s="1"/>
  <c r="A173" i="1" s="1"/>
  <c r="A174" i="1" s="1"/>
  <c r="A175" i="1" s="1"/>
  <c r="A176" i="1" s="1"/>
  <c r="A177" i="1" s="1"/>
  <c r="A178" i="1" s="1"/>
  <c r="A179" i="1" s="1"/>
  <c r="A180" i="1" s="1"/>
  <c r="A181" i="1" s="1"/>
  <c r="A182" i="1" s="1"/>
  <c r="A183" i="1" s="1"/>
  <c r="A184" i="1" s="1"/>
  <c r="A185" i="1" s="1"/>
  <c r="A186" i="1" s="1"/>
  <c r="A187" i="1" s="1"/>
  <c r="A188" i="1" s="1"/>
  <c r="A189" i="1" s="1"/>
  <c r="A190" i="1" s="1"/>
  <c r="A191" i="1" s="1"/>
  <c r="A192" i="1" s="1"/>
  <c r="A193" i="1" s="1"/>
  <c r="A194" i="1" s="1"/>
  <c r="A195" i="1" s="1"/>
  <c r="A196" i="1" s="1"/>
  <c r="A197" i="1" s="1"/>
  <c r="A198" i="1" s="1"/>
  <c r="A199" i="1" s="1"/>
  <c r="A200" i="1" s="1"/>
  <c r="A201" i="1" s="1"/>
  <c r="A202" i="1" s="1"/>
  <c r="A203" i="1" s="1"/>
  <c r="A204" i="1" s="1"/>
  <c r="A205" i="1" s="1"/>
  <c r="A206" i="1" s="1"/>
  <c r="A207" i="1" s="1"/>
  <c r="A208" i="1" s="1"/>
  <c r="A209" i="1" s="1"/>
  <c r="A210" i="1" s="1"/>
  <c r="A211" i="1" s="1"/>
  <c r="A212" i="1" s="1"/>
  <c r="A213" i="1" s="1"/>
  <c r="A214" i="1" s="1"/>
  <c r="A215" i="1" s="1"/>
  <c r="A216" i="1" s="1"/>
  <c r="A217" i="1" s="1"/>
  <c r="A218" i="1" s="1"/>
  <c r="A219" i="1" s="1"/>
  <c r="A220" i="1" s="1"/>
  <c r="A221" i="1" s="1"/>
  <c r="A222" i="1" s="1"/>
  <c r="A223" i="1" s="1"/>
  <c r="A224" i="1" s="1"/>
  <c r="A225" i="1" s="1"/>
  <c r="A226" i="1" s="1"/>
  <c r="A227" i="1" s="1"/>
  <c r="A228" i="1" s="1"/>
  <c r="A229" i="1" s="1"/>
  <c r="A230" i="1" s="1"/>
  <c r="A231" i="1" s="1"/>
  <c r="A232" i="1" s="1"/>
  <c r="A233" i="1" s="1"/>
  <c r="A234" i="1" s="1"/>
  <c r="A235" i="1" s="1"/>
  <c r="A236" i="1" s="1"/>
  <c r="A237" i="1" s="1"/>
  <c r="A238" i="1" s="1"/>
  <c r="A239" i="1" s="1"/>
  <c r="A240" i="1" s="1"/>
  <c r="A241" i="1" s="1"/>
  <c r="A242" i="1" s="1"/>
  <c r="A243" i="1" s="1"/>
  <c r="A244" i="1" s="1"/>
  <c r="A245" i="1" s="1"/>
  <c r="A246" i="1" s="1"/>
  <c r="A247" i="1" s="1"/>
  <c r="A248" i="1" s="1"/>
  <c r="A249" i="1" s="1"/>
  <c r="A250" i="1" s="1"/>
  <c r="A251" i="1" s="1"/>
  <c r="A252" i="1" s="1"/>
  <c r="A253" i="1" s="1"/>
  <c r="A254" i="1" s="1"/>
  <c r="A255" i="1" s="1"/>
  <c r="A256" i="1" s="1"/>
  <c r="A257" i="1" s="1"/>
  <c r="A258" i="1" s="1"/>
  <c r="A259" i="1" s="1"/>
  <c r="A260" i="1" s="1"/>
  <c r="A261" i="1" s="1"/>
  <c r="A262" i="1" s="1"/>
  <c r="A263" i="1" s="1"/>
  <c r="A264" i="1" s="1"/>
  <c r="A265" i="1" s="1"/>
  <c r="A266" i="1" s="1"/>
  <c r="A267" i="1" s="1"/>
  <c r="A268" i="1" s="1"/>
  <c r="A269" i="1" s="1"/>
  <c r="A270" i="1" s="1"/>
  <c r="A271" i="1" s="1"/>
  <c r="A272" i="1" s="1"/>
  <c r="A273" i="1" s="1"/>
  <c r="A274" i="1" s="1"/>
  <c r="A275" i="1" s="1"/>
  <c r="A276" i="1" s="1"/>
  <c r="A277" i="1" s="1"/>
  <c r="A278" i="1" s="1"/>
  <c r="A279" i="1" s="1"/>
  <c r="A280" i="1" s="1"/>
  <c r="A281" i="1" s="1"/>
  <c r="A282" i="1" s="1"/>
  <c r="A283" i="1" s="1"/>
  <c r="A284" i="1" s="1"/>
  <c r="A285" i="1" s="1"/>
  <c r="A286" i="1" s="1"/>
  <c r="A287" i="1" s="1"/>
  <c r="A288" i="1" s="1"/>
  <c r="A289" i="1" s="1"/>
  <c r="A290" i="1" s="1"/>
  <c r="A291" i="1" s="1"/>
  <c r="A292" i="1" s="1"/>
  <c r="A293" i="1" s="1"/>
  <c r="A294" i="1" s="1"/>
  <c r="A295" i="1" s="1"/>
  <c r="A296" i="1" s="1"/>
  <c r="A297" i="1" s="1"/>
  <c r="A298" i="1" s="1"/>
  <c r="A299" i="1" s="1"/>
  <c r="A300" i="1" s="1"/>
  <c r="A301" i="1" s="1"/>
  <c r="A302" i="1" s="1"/>
  <c r="A303" i="1" s="1"/>
  <c r="A304" i="1" s="1"/>
  <c r="A305" i="1" s="1"/>
  <c r="A306" i="1" s="1"/>
  <c r="A307" i="1" s="1"/>
  <c r="A308" i="1" s="1"/>
  <c r="A309" i="1" s="1"/>
  <c r="A310" i="1" s="1"/>
  <c r="A311" i="1" s="1"/>
  <c r="A312" i="1" s="1"/>
  <c r="A313" i="1" s="1"/>
  <c r="A314" i="1" s="1"/>
  <c r="A315" i="1" s="1"/>
  <c r="A316" i="1" s="1"/>
  <c r="A317" i="1" s="1"/>
  <c r="A318" i="1" s="1"/>
  <c r="A319" i="1" s="1"/>
  <c r="A320" i="1" s="1"/>
  <c r="A321" i="1" s="1"/>
  <c r="A322" i="1" s="1"/>
  <c r="A323" i="1" s="1"/>
  <c r="A324" i="1" s="1"/>
  <c r="A325" i="1" s="1"/>
  <c r="A326" i="1" s="1"/>
  <c r="A327" i="1" s="1"/>
  <c r="A328" i="1" s="1"/>
  <c r="A329" i="1" s="1"/>
  <c r="A330" i="1" s="1"/>
  <c r="A331" i="1" s="1"/>
  <c r="A332" i="1" s="1"/>
  <c r="A333" i="1" s="1"/>
  <c r="A334" i="1" s="1"/>
  <c r="A335" i="1" s="1"/>
  <c r="A336" i="1" s="1"/>
  <c r="A337" i="1" s="1"/>
  <c r="A338" i="1" s="1"/>
  <c r="A339" i="1" s="1"/>
  <c r="A340" i="1" s="1"/>
  <c r="A341" i="1" s="1"/>
  <c r="A342" i="1" s="1"/>
  <c r="A343" i="1" s="1"/>
  <c r="A344" i="1" s="1"/>
  <c r="A345" i="1" s="1"/>
  <c r="A346" i="1" s="1"/>
  <c r="A347" i="1" s="1"/>
  <c r="A348" i="1" s="1"/>
  <c r="A349" i="1" s="1"/>
  <c r="A350" i="1" s="1"/>
  <c r="A351" i="1" s="1"/>
  <c r="A352" i="1" s="1"/>
  <c r="A353" i="1" s="1"/>
  <c r="A354" i="1" s="1"/>
  <c r="A355" i="1" s="1"/>
  <c r="A356" i="1" s="1"/>
  <c r="A357" i="1" s="1"/>
  <c r="A358" i="1" s="1"/>
  <c r="A359" i="1" s="1"/>
  <c r="A360" i="1" s="1"/>
  <c r="A361" i="1" s="1"/>
  <c r="A362" i="1" s="1"/>
  <c r="A363" i="1" s="1"/>
  <c r="A364" i="1" s="1"/>
  <c r="A365" i="1" s="1"/>
  <c r="A366" i="1" s="1"/>
  <c r="A367" i="1" s="1"/>
  <c r="A368" i="1" s="1"/>
  <c r="A369" i="1" s="1"/>
  <c r="A370" i="1" s="1"/>
  <c r="A371" i="1" s="1"/>
  <c r="A372" i="1" s="1"/>
  <c r="A373" i="1" s="1"/>
  <c r="A374" i="1" s="1"/>
  <c r="A375" i="1" s="1"/>
  <c r="A376" i="1" s="1"/>
  <c r="A377" i="1" s="1"/>
  <c r="A378" i="1" s="1"/>
  <c r="A379" i="1" s="1"/>
  <c r="A380" i="1" s="1"/>
  <c r="A381" i="1" s="1"/>
  <c r="A382" i="1" s="1"/>
  <c r="A383" i="1" s="1"/>
  <c r="A384" i="1" s="1"/>
  <c r="A385" i="1" s="1"/>
  <c r="A386" i="1" s="1"/>
  <c r="A387" i="1" s="1"/>
  <c r="A388" i="1" s="1"/>
  <c r="A389" i="1" s="1"/>
  <c r="A390" i="1" s="1"/>
  <c r="A391" i="1" s="1"/>
  <c r="A392" i="1" s="1"/>
  <c r="A393" i="1" s="1"/>
  <c r="A394" i="1" s="1"/>
  <c r="A395" i="1" s="1"/>
  <c r="A396" i="1" s="1"/>
  <c r="A397" i="1" s="1"/>
  <c r="A398" i="1" s="1"/>
  <c r="A399" i="1" s="1"/>
  <c r="A400" i="1" s="1"/>
  <c r="A401" i="1" s="1"/>
  <c r="A402" i="1" s="1"/>
  <c r="A403" i="1" s="1"/>
  <c r="A404" i="1" s="1"/>
  <c r="A405" i="1" s="1"/>
  <c r="A406" i="1" s="1"/>
  <c r="A407" i="1" s="1"/>
  <c r="A408" i="1" s="1"/>
  <c r="A409" i="1" s="1"/>
  <c r="A410" i="1" s="1"/>
  <c r="A411" i="1" s="1"/>
  <c r="A412" i="1" s="1"/>
  <c r="A413" i="1" s="1"/>
  <c r="A414" i="1" s="1"/>
  <c r="A415" i="1" s="1"/>
  <c r="A416" i="1" s="1"/>
  <c r="A417" i="1" s="1"/>
  <c r="A418" i="1" s="1"/>
  <c r="A419" i="1" s="1"/>
  <c r="A420" i="1" s="1"/>
  <c r="A421" i="1" s="1"/>
  <c r="A422" i="1" s="1"/>
  <c r="A423" i="1" s="1"/>
  <c r="A424" i="1" s="1"/>
  <c r="A425" i="1" s="1"/>
  <c r="A426" i="1" s="1"/>
  <c r="A427" i="1" s="1"/>
  <c r="A428" i="1" s="1"/>
  <c r="A429" i="1" s="1"/>
  <c r="A430" i="1" s="1"/>
  <c r="A431" i="1" s="1"/>
  <c r="A432" i="1" s="1"/>
  <c r="A433" i="1" s="1"/>
  <c r="A434" i="1" s="1"/>
  <c r="A435" i="1" s="1"/>
  <c r="A436" i="1" s="1"/>
  <c r="A437" i="1" s="1"/>
  <c r="A438" i="1" s="1"/>
  <c r="A439" i="1" s="1"/>
  <c r="A440" i="1" s="1"/>
  <c r="A441" i="1" s="1"/>
  <c r="A442" i="1" s="1"/>
  <c r="A443" i="1" s="1"/>
  <c r="A444" i="1" s="1"/>
  <c r="A445" i="1" s="1"/>
  <c r="A446" i="1" s="1"/>
  <c r="A447" i="1" s="1"/>
  <c r="A448" i="1" s="1"/>
  <c r="A449" i="1" s="1"/>
  <c r="A450" i="1" s="1"/>
  <c r="A451" i="1" s="1"/>
  <c r="A452" i="1" s="1"/>
  <c r="A453" i="1" s="1"/>
  <c r="A454" i="1" s="1"/>
  <c r="A455" i="1" s="1"/>
  <c r="A456" i="1" s="1"/>
  <c r="A457" i="1" s="1"/>
  <c r="A458" i="1" s="1"/>
  <c r="A459" i="1" s="1"/>
  <c r="A460" i="1" s="1"/>
  <c r="A461" i="1" s="1"/>
  <c r="A462" i="1" s="1"/>
  <c r="A463" i="1" s="1"/>
  <c r="A464" i="1" s="1"/>
  <c r="A465" i="1" s="1"/>
  <c r="A466" i="1" s="1"/>
  <c r="A467" i="1" s="1"/>
  <c r="A468" i="1" s="1"/>
  <c r="A469" i="1" s="1"/>
  <c r="A470" i="1" s="1"/>
  <c r="A471" i="1" s="1"/>
  <c r="A472" i="1" s="1"/>
  <c r="A473" i="1" s="1"/>
  <c r="A474" i="1" s="1"/>
  <c r="A475" i="1" s="1"/>
  <c r="A476" i="1" s="1"/>
  <c r="A477" i="1" s="1"/>
  <c r="A478" i="1" s="1"/>
  <c r="A479" i="1" s="1"/>
  <c r="A480" i="1" s="1"/>
  <c r="A481" i="1" s="1"/>
  <c r="A482" i="1" s="1"/>
  <c r="A483" i="1" s="1"/>
  <c r="A484" i="1" s="1"/>
  <c r="A485" i="1" s="1"/>
  <c r="A486" i="1" s="1"/>
  <c r="A487" i="1" s="1"/>
  <c r="A488" i="1" s="1"/>
  <c r="A489" i="1" s="1"/>
  <c r="A490" i="1" s="1"/>
  <c r="A491" i="1" s="1"/>
  <c r="A492" i="1" s="1"/>
  <c r="A493" i="1" s="1"/>
  <c r="A494" i="1" s="1"/>
  <c r="A495" i="1" s="1"/>
  <c r="A496" i="1" s="1"/>
  <c r="A497" i="1" s="1"/>
  <c r="A498" i="1" s="1"/>
  <c r="A499" i="1" s="1"/>
  <c r="A500" i="1" s="1"/>
  <c r="A501" i="1" s="1"/>
  <c r="A502" i="1" s="1"/>
  <c r="A503" i="1" s="1"/>
  <c r="A504" i="1" s="1"/>
  <c r="A505" i="1" s="1"/>
  <c r="A506" i="1" s="1"/>
  <c r="A507" i="1" s="1"/>
  <c r="A508" i="1" s="1"/>
  <c r="A509" i="1" s="1"/>
  <c r="A510" i="1" s="1"/>
  <c r="A511" i="1" s="1"/>
  <c r="A512" i="1" s="1"/>
  <c r="A513" i="1" s="1"/>
  <c r="A514" i="1" s="1"/>
  <c r="A515" i="1" s="1"/>
  <c r="A516" i="1" s="1"/>
  <c r="A517" i="1" s="1"/>
  <c r="A518" i="1" s="1"/>
  <c r="A519" i="1" s="1"/>
  <c r="A520" i="1" s="1"/>
  <c r="A521" i="1" s="1"/>
  <c r="A522" i="1" s="1"/>
  <c r="A523" i="1" s="1"/>
  <c r="A524" i="1" s="1"/>
  <c r="A525" i="1" s="1"/>
  <c r="A526" i="1" s="1"/>
  <c r="A527" i="1" s="1"/>
  <c r="A528" i="1" s="1"/>
  <c r="A529" i="1" s="1"/>
  <c r="A530" i="1" s="1"/>
  <c r="A531" i="1" s="1"/>
  <c r="A532" i="1" s="1"/>
  <c r="A533" i="1" s="1"/>
  <c r="A534" i="1" s="1"/>
  <c r="A535" i="1" s="1"/>
  <c r="A536" i="1" s="1"/>
  <c r="A537" i="1" s="1"/>
  <c r="A538" i="1" s="1"/>
  <c r="A539" i="1" s="1"/>
  <c r="A540" i="1" s="1"/>
  <c r="A541" i="1" s="1"/>
  <c r="A542" i="1" s="1"/>
  <c r="A543" i="1" s="1"/>
  <c r="A544" i="1" s="1"/>
  <c r="A545" i="1" s="1"/>
  <c r="A546" i="1" s="1"/>
  <c r="A547" i="1" s="1"/>
  <c r="A548" i="1" s="1"/>
  <c r="A549" i="1" s="1"/>
  <c r="A550" i="1" s="1"/>
  <c r="A551" i="1" s="1"/>
  <c r="A552" i="1" s="1"/>
  <c r="A553" i="1" s="1"/>
  <c r="A554" i="1" s="1"/>
  <c r="A555" i="1" s="1"/>
  <c r="A556" i="1" s="1"/>
  <c r="A557" i="1" s="1"/>
  <c r="A558" i="1" s="1"/>
  <c r="A559" i="1" s="1"/>
  <c r="A560" i="1" s="1"/>
  <c r="A561" i="1" s="1"/>
  <c r="A562" i="1" s="1"/>
  <c r="A563" i="1" s="1"/>
  <c r="A564" i="1" s="1"/>
  <c r="A565" i="1" s="1"/>
  <c r="A566" i="1" s="1"/>
  <c r="A567" i="1" s="1"/>
  <c r="A568" i="1" s="1"/>
  <c r="A569" i="1" s="1"/>
  <c r="A570" i="1" s="1"/>
  <c r="A571" i="1" s="1"/>
  <c r="A572" i="1" s="1"/>
  <c r="A573" i="1" s="1"/>
  <c r="A574" i="1" s="1"/>
  <c r="A575" i="1" s="1"/>
  <c r="A576" i="1" s="1"/>
  <c r="A577" i="1" s="1"/>
  <c r="A578" i="1" s="1"/>
  <c r="A579" i="1" s="1"/>
  <c r="A580" i="1" s="1"/>
  <c r="A581" i="1" s="1"/>
  <c r="A582" i="1" s="1"/>
  <c r="A583" i="1" s="1"/>
  <c r="A584" i="1" s="1"/>
  <c r="A585" i="1" s="1"/>
  <c r="A586" i="1" s="1"/>
  <c r="A587" i="1" s="1"/>
  <c r="A588" i="1" s="1"/>
  <c r="A589" i="1" s="1"/>
  <c r="A590" i="1" s="1"/>
  <c r="A591" i="1" s="1"/>
  <c r="A592" i="1" s="1"/>
  <c r="A593" i="1" s="1"/>
  <c r="A594" i="1" s="1"/>
  <c r="A595" i="1" s="1"/>
  <c r="A596" i="1" s="1"/>
  <c r="A597" i="1" s="1"/>
  <c r="A598" i="1" s="1"/>
  <c r="A599" i="1" s="1"/>
  <c r="A600" i="1" s="1"/>
  <c r="A601" i="1" s="1"/>
  <c r="A602" i="1" s="1"/>
  <c r="A603" i="1" s="1"/>
  <c r="A604" i="1" s="1"/>
  <c r="A605" i="1" s="1"/>
  <c r="A606" i="1" s="1"/>
  <c r="A607" i="1" s="1"/>
  <c r="A608" i="1" s="1"/>
  <c r="A609" i="1" s="1"/>
  <c r="A610" i="1" s="1"/>
  <c r="A611" i="1" s="1"/>
  <c r="A612" i="1" s="1"/>
  <c r="A613" i="1" s="1"/>
  <c r="A614" i="1" s="1"/>
  <c r="A615" i="1" s="1"/>
  <c r="A616" i="1" s="1"/>
  <c r="A617" i="1" s="1"/>
  <c r="A618" i="1" s="1"/>
  <c r="A619" i="1" s="1"/>
  <c r="A620" i="1" s="1"/>
  <c r="A621" i="1" s="1"/>
  <c r="A622" i="1" s="1"/>
  <c r="A623" i="1" s="1"/>
  <c r="A624" i="1" s="1"/>
  <c r="A625" i="1" s="1"/>
  <c r="A626" i="1" s="1"/>
  <c r="A627" i="1" s="1"/>
  <c r="A628" i="1" s="1"/>
  <c r="A629" i="1" s="1"/>
  <c r="A630" i="1" s="1"/>
  <c r="A631" i="1" s="1"/>
  <c r="A632" i="1" s="1"/>
  <c r="A633" i="1" s="1"/>
  <c r="A634" i="1" s="1"/>
  <c r="A635" i="1" s="1"/>
  <c r="A636" i="1" s="1"/>
  <c r="A637" i="1" s="1"/>
  <c r="A638" i="1" s="1"/>
  <c r="A639" i="1" s="1"/>
  <c r="A640" i="1" s="1"/>
  <c r="A641" i="1" s="1"/>
  <c r="A642" i="1" s="1"/>
  <c r="A643" i="1" s="1"/>
  <c r="A644" i="1" s="1"/>
  <c r="A645" i="1" s="1"/>
  <c r="A646" i="1" s="1"/>
  <c r="A647" i="1" s="1"/>
  <c r="A648" i="1" s="1"/>
  <c r="A649" i="1" s="1"/>
  <c r="A650" i="1" s="1"/>
  <c r="A651" i="1" s="1"/>
  <c r="A652" i="1" s="1"/>
  <c r="A653" i="1" s="1"/>
  <c r="A654" i="1" s="1"/>
  <c r="A655" i="1" s="1"/>
  <c r="A656" i="1" s="1"/>
  <c r="A657" i="1" s="1"/>
  <c r="A658" i="1" s="1"/>
  <c r="A659" i="1" s="1"/>
  <c r="A660" i="1" s="1"/>
  <c r="A661" i="1" s="1"/>
  <c r="A662" i="1" s="1"/>
  <c r="A663" i="1" s="1"/>
  <c r="A664" i="1" s="1"/>
  <c r="A665" i="1" s="1"/>
  <c r="A666" i="1" s="1"/>
  <c r="A667" i="1" s="1"/>
  <c r="A668" i="1" s="1"/>
  <c r="A669" i="1" s="1"/>
  <c r="A670" i="1" s="1"/>
  <c r="A671" i="1" s="1"/>
  <c r="A672" i="1" s="1"/>
  <c r="A673" i="1" s="1"/>
  <c r="A674" i="1" s="1"/>
  <c r="A675" i="1" s="1"/>
  <c r="A676" i="1" s="1"/>
  <c r="A677" i="1" s="1"/>
  <c r="A678" i="1" s="1"/>
  <c r="A679" i="1" s="1"/>
  <c r="A680" i="1" s="1"/>
  <c r="A681" i="1" s="1"/>
  <c r="A682" i="1" s="1"/>
  <c r="A683" i="1" s="1"/>
  <c r="A684" i="1" s="1"/>
  <c r="A685" i="1" s="1"/>
  <c r="A686" i="1" s="1"/>
  <c r="A687" i="1" s="1"/>
  <c r="A688" i="1" s="1"/>
  <c r="A689" i="1" s="1"/>
  <c r="A690" i="1" s="1"/>
  <c r="A691" i="1" s="1"/>
  <c r="A692" i="1" s="1"/>
  <c r="A693" i="1" s="1"/>
  <c r="A694" i="1" s="1"/>
  <c r="A695" i="1" s="1"/>
  <c r="A696" i="1" s="1"/>
  <c r="A697" i="1" s="1"/>
  <c r="A698" i="1" s="1"/>
  <c r="A699" i="1" s="1"/>
  <c r="A700" i="1" s="1"/>
  <c r="A701" i="1" s="1"/>
  <c r="A702" i="1" s="1"/>
  <c r="A703" i="1" s="1"/>
  <c r="A704" i="1" s="1"/>
  <c r="A705" i="1" s="1"/>
  <c r="A706" i="1" s="1"/>
  <c r="A707" i="1" s="1"/>
  <c r="A708" i="1" s="1"/>
  <c r="A709" i="1" s="1"/>
  <c r="A710" i="1" s="1"/>
  <c r="A711" i="1" s="1"/>
  <c r="A712" i="1" s="1"/>
  <c r="A713" i="1" s="1"/>
  <c r="A714" i="1" s="1"/>
  <c r="A715" i="1" s="1"/>
  <c r="A716" i="1" s="1"/>
  <c r="A717" i="1" s="1"/>
  <c r="A718" i="1" s="1"/>
  <c r="A719" i="1" s="1"/>
  <c r="A720" i="1" s="1"/>
  <c r="A721" i="1" s="1"/>
  <c r="A722" i="1" s="1"/>
  <c r="A723" i="1" s="1"/>
  <c r="A724" i="1" s="1"/>
  <c r="A725" i="1" s="1"/>
  <c r="A726" i="1" s="1"/>
  <c r="A727" i="1" s="1"/>
  <c r="A728" i="1" s="1"/>
  <c r="A729" i="1" s="1"/>
  <c r="A730" i="1" s="1"/>
  <c r="A731" i="1" s="1"/>
  <c r="A732" i="1" s="1"/>
  <c r="A733" i="1" s="1"/>
  <c r="A734" i="1" s="1"/>
  <c r="A735" i="1" s="1"/>
  <c r="A736" i="1" s="1"/>
  <c r="A737" i="1" s="1"/>
  <c r="A738" i="1" s="1"/>
  <c r="A739" i="1" s="1"/>
  <c r="A740" i="1" s="1"/>
  <c r="A741" i="1" s="1"/>
  <c r="A742" i="1" s="1"/>
  <c r="A743" i="1" s="1"/>
  <c r="A744" i="1" s="1"/>
  <c r="A745" i="1" s="1"/>
  <c r="A746" i="1" s="1"/>
  <c r="A747" i="1" s="1"/>
  <c r="A748" i="1" s="1"/>
  <c r="A749" i="1" s="1"/>
  <c r="A750" i="1" s="1"/>
  <c r="A751" i="1" s="1"/>
  <c r="A752" i="1" s="1"/>
  <c r="A753" i="1" s="1"/>
  <c r="A754" i="1" s="1"/>
  <c r="A755" i="1" s="1"/>
  <c r="A756" i="1" s="1"/>
  <c r="A757" i="1" s="1"/>
  <c r="A758" i="1" s="1"/>
  <c r="A759" i="1" s="1"/>
  <c r="A760" i="1" s="1"/>
  <c r="A761" i="1" s="1"/>
  <c r="A762" i="1" s="1"/>
  <c r="A763" i="1" s="1"/>
  <c r="A764" i="1" s="1"/>
  <c r="A765" i="1" s="1"/>
  <c r="A766" i="1" s="1"/>
  <c r="A767" i="1" s="1"/>
  <c r="A768" i="1" s="1"/>
  <c r="A769" i="1" s="1"/>
  <c r="A770" i="1" s="1"/>
  <c r="A771" i="1" s="1"/>
  <c r="A772" i="1" s="1"/>
  <c r="A773" i="1" s="1"/>
  <c r="A774" i="1" s="1"/>
  <c r="A775" i="1" s="1"/>
  <c r="A776" i="1" s="1"/>
  <c r="A777" i="1" s="1"/>
  <c r="A778" i="1" s="1"/>
  <c r="A779" i="1" s="1"/>
  <c r="A780" i="1" s="1"/>
  <c r="A781" i="1" s="1"/>
  <c r="A782" i="1" s="1"/>
  <c r="A783" i="1" s="1"/>
  <c r="A784" i="1" s="1"/>
  <c r="A785" i="1" s="1"/>
  <c r="A786" i="1" s="1"/>
  <c r="A787" i="1" s="1"/>
  <c r="A788" i="1" s="1"/>
  <c r="A789" i="1" s="1"/>
  <c r="A790" i="1" s="1"/>
  <c r="A791" i="1" s="1"/>
  <c r="A792" i="1" s="1"/>
  <c r="A793" i="1" s="1"/>
  <c r="A794" i="1" s="1"/>
  <c r="A795" i="1" s="1"/>
  <c r="A796" i="1" s="1"/>
  <c r="A797" i="1" s="1"/>
  <c r="A798" i="1" s="1"/>
  <c r="A799" i="1" s="1"/>
  <c r="A800" i="1" s="1"/>
  <c r="A801" i="1" s="1"/>
  <c r="A802" i="1" s="1"/>
  <c r="A803" i="1" s="1"/>
  <c r="A804" i="1" s="1"/>
  <c r="A805" i="1" s="1"/>
  <c r="A806" i="1" s="1"/>
  <c r="A807" i="1" s="1"/>
  <c r="A808" i="1" s="1"/>
  <c r="A809" i="1" s="1"/>
  <c r="A810" i="1" s="1"/>
  <c r="A811" i="1" s="1"/>
  <c r="A812" i="1" s="1"/>
  <c r="A813" i="1" s="1"/>
  <c r="A814" i="1" s="1"/>
  <c r="A815" i="1" s="1"/>
  <c r="A816" i="1" s="1"/>
  <c r="A817" i="1" s="1"/>
  <c r="A818" i="1" s="1"/>
  <c r="A819" i="1" s="1"/>
  <c r="A820" i="1" s="1"/>
  <c r="A821" i="1" s="1"/>
  <c r="A822" i="1" s="1"/>
  <c r="A823" i="1" s="1"/>
  <c r="A824" i="1" s="1"/>
  <c r="A825" i="1" s="1"/>
  <c r="A826" i="1" s="1"/>
  <c r="A827" i="1" s="1"/>
  <c r="A828" i="1" s="1"/>
  <c r="A829" i="1" s="1"/>
  <c r="A830" i="1" s="1"/>
  <c r="A831" i="1" s="1"/>
  <c r="A832" i="1" s="1"/>
  <c r="A833" i="1" s="1"/>
  <c r="A834" i="1" s="1"/>
  <c r="A835" i="1" s="1"/>
  <c r="A836" i="1" s="1"/>
  <c r="A837" i="1" s="1"/>
  <c r="A838" i="1" s="1"/>
  <c r="A839" i="1" s="1"/>
  <c r="A840" i="1" s="1"/>
  <c r="A841" i="1" s="1"/>
  <c r="A842" i="1" s="1"/>
  <c r="A843" i="1" s="1"/>
  <c r="A844" i="1" s="1"/>
  <c r="A845" i="1" s="1"/>
  <c r="A846" i="1" s="1"/>
  <c r="A847" i="1" s="1"/>
  <c r="A848" i="1" s="1"/>
  <c r="A849" i="1" s="1"/>
  <c r="A850" i="1" s="1"/>
  <c r="A851" i="1" s="1"/>
  <c r="A852" i="1" s="1"/>
  <c r="A853" i="1" s="1"/>
  <c r="A854" i="1" s="1"/>
  <c r="A855" i="1" s="1"/>
  <c r="A856" i="1" s="1"/>
  <c r="A857" i="1" s="1"/>
  <c r="A858" i="1" s="1"/>
  <c r="A859" i="1" s="1"/>
  <c r="A860" i="1" s="1"/>
  <c r="A861" i="1" s="1"/>
  <c r="A862" i="1" s="1"/>
  <c r="A863" i="1" s="1"/>
  <c r="A864" i="1" s="1"/>
  <c r="A865" i="1" s="1"/>
  <c r="A866" i="1" s="1"/>
  <c r="A867" i="1" s="1"/>
  <c r="A868" i="1" s="1"/>
  <c r="A869" i="1" s="1"/>
  <c r="A870" i="1" s="1"/>
  <c r="A871" i="1" s="1"/>
  <c r="A872" i="1" s="1"/>
  <c r="A873" i="1" s="1"/>
  <c r="A874" i="1" s="1"/>
  <c r="A875" i="1" s="1"/>
  <c r="A876" i="1" s="1"/>
  <c r="A877" i="1" s="1"/>
  <c r="A878" i="1" s="1"/>
  <c r="A879" i="1" s="1"/>
  <c r="A880" i="1" s="1"/>
  <c r="A881" i="1" s="1"/>
  <c r="A882" i="1" s="1"/>
  <c r="A883" i="1" s="1"/>
  <c r="A884" i="1" s="1"/>
  <c r="A885" i="1" s="1"/>
  <c r="A886" i="1" s="1"/>
  <c r="A887" i="1" s="1"/>
  <c r="A888" i="1" s="1"/>
  <c r="A889" i="1" s="1"/>
  <c r="A890" i="1" s="1"/>
  <c r="A891" i="1" s="1"/>
  <c r="A892" i="1" s="1"/>
  <c r="A893" i="1" s="1"/>
  <c r="A894" i="1" s="1"/>
  <c r="A895" i="1" s="1"/>
  <c r="A896" i="1" s="1"/>
  <c r="A897" i="1" s="1"/>
  <c r="A898" i="1" s="1"/>
  <c r="A899" i="1" s="1"/>
  <c r="A900" i="1" s="1"/>
  <c r="A901" i="1" s="1"/>
  <c r="A902" i="1" s="1"/>
  <c r="A903" i="1" s="1"/>
  <c r="A904" i="1" s="1"/>
  <c r="A905" i="1" s="1"/>
  <c r="A906" i="1" s="1"/>
  <c r="A907" i="1" s="1"/>
  <c r="A908" i="1" s="1"/>
  <c r="A909" i="1" s="1"/>
  <c r="A910" i="1" s="1"/>
  <c r="A911" i="1" s="1"/>
  <c r="A912" i="1" s="1"/>
  <c r="A913" i="1" s="1"/>
  <c r="A914" i="1" s="1"/>
  <c r="A915" i="1" s="1"/>
  <c r="A916" i="1" s="1"/>
  <c r="A917" i="1" s="1"/>
  <c r="A918" i="1" s="1"/>
  <c r="A919" i="1" s="1"/>
  <c r="A920" i="1" s="1"/>
  <c r="A921" i="1" s="1"/>
  <c r="A922" i="1" s="1"/>
  <c r="A923" i="1" s="1"/>
  <c r="A924" i="1" s="1"/>
  <c r="A925" i="1" s="1"/>
  <c r="A926" i="1" s="1"/>
  <c r="A927" i="1" s="1"/>
  <c r="A928" i="1" s="1"/>
  <c r="A929" i="1" s="1"/>
  <c r="A930" i="1" s="1"/>
  <c r="A931" i="1" s="1"/>
  <c r="A932" i="1" s="1"/>
  <c r="A933" i="1" s="1"/>
  <c r="A934" i="1" s="1"/>
  <c r="A935" i="1" s="1"/>
  <c r="A936" i="1" s="1"/>
  <c r="A937" i="1" s="1"/>
  <c r="A938" i="1" s="1"/>
  <c r="A939" i="1" s="1"/>
  <c r="A940" i="1" s="1"/>
  <c r="A941" i="1" s="1"/>
  <c r="A942" i="1" s="1"/>
  <c r="A943" i="1" s="1"/>
  <c r="A944" i="1" s="1"/>
  <c r="A945" i="1" s="1"/>
  <c r="A946" i="1" s="1"/>
  <c r="A947" i="1" s="1"/>
  <c r="A948" i="1" s="1"/>
  <c r="A949" i="1" s="1"/>
  <c r="A950" i="1" s="1"/>
  <c r="A951" i="1" s="1"/>
  <c r="A952" i="1" s="1"/>
  <c r="A953" i="1" s="1"/>
  <c r="A954" i="1" s="1"/>
  <c r="A955" i="1" s="1"/>
  <c r="A956" i="1" s="1"/>
  <c r="A957" i="1" s="1"/>
  <c r="A958" i="1" s="1"/>
  <c r="A959" i="1" s="1"/>
  <c r="A960" i="1" s="1"/>
  <c r="A961" i="1" s="1"/>
  <c r="A962" i="1" s="1"/>
  <c r="A963" i="1" s="1"/>
  <c r="A964" i="1" s="1"/>
  <c r="A965" i="1" s="1"/>
  <c r="A966" i="1" s="1"/>
  <c r="A967" i="1" s="1"/>
  <c r="A968" i="1" s="1"/>
  <c r="A969" i="1" s="1"/>
  <c r="A970" i="1" s="1"/>
  <c r="A971" i="1" s="1"/>
  <c r="A972" i="1" s="1"/>
  <c r="A973" i="1" s="1"/>
  <c r="A974" i="1" s="1"/>
  <c r="A975" i="1" s="1"/>
  <c r="A976" i="1" s="1"/>
  <c r="A977" i="1" s="1"/>
  <c r="A978" i="1" s="1"/>
  <c r="A979" i="1" s="1"/>
  <c r="A980" i="1" s="1"/>
  <c r="A981" i="1" s="1"/>
  <c r="A982" i="1" s="1"/>
  <c r="A983" i="1" s="1"/>
  <c r="A984" i="1" s="1"/>
  <c r="A985" i="1" s="1"/>
  <c r="A986" i="1" s="1"/>
  <c r="A987" i="1" s="1"/>
  <c r="A988" i="1" s="1"/>
  <c r="A989" i="1" s="1"/>
  <c r="A990" i="1" s="1"/>
  <c r="A991" i="1" s="1"/>
  <c r="A992" i="1" s="1"/>
  <c r="A993" i="1" s="1"/>
  <c r="A994" i="1" s="1"/>
  <c r="A995" i="1" s="1"/>
  <c r="A996" i="1" s="1"/>
  <c r="A997" i="1" s="1"/>
  <c r="A998" i="1" s="1"/>
  <c r="A999" i="1" s="1"/>
  <c r="A1000" i="1" s="1"/>
  <c r="A1001" i="1" s="1"/>
  <c r="A1002" i="1" s="1"/>
  <c r="A1003" i="1" s="1"/>
  <c r="A1004" i="1" s="1"/>
  <c r="A1005" i="1" s="1"/>
  <c r="A1006" i="1" s="1"/>
  <c r="A1007" i="1" s="1"/>
  <c r="A1008" i="1" s="1"/>
  <c r="A1009" i="1" s="1"/>
  <c r="A1010" i="1" s="1"/>
  <c r="A1011" i="1" s="1"/>
  <c r="A1012" i="1" s="1"/>
  <c r="A1013" i="1" s="1"/>
  <c r="A1014" i="1" s="1"/>
  <c r="A1015" i="1" s="1"/>
  <c r="A1016" i="1" s="1"/>
  <c r="A1017" i="1" s="1"/>
  <c r="A1018" i="1" s="1"/>
  <c r="A1019" i="1" s="1"/>
  <c r="A1020" i="1" s="1"/>
  <c r="A1021" i="1" s="1"/>
  <c r="A1022" i="1" s="1"/>
  <c r="A1023" i="1" s="1"/>
  <c r="A1024" i="1" s="1"/>
  <c r="A1025" i="1" s="1"/>
  <c r="A1026" i="1" s="1"/>
  <c r="A1027" i="1" s="1"/>
  <c r="A1028" i="1" s="1"/>
  <c r="A1029" i="1" s="1"/>
  <c r="A1030" i="1" s="1"/>
  <c r="A1031" i="1" s="1"/>
  <c r="A1032" i="1" s="1"/>
  <c r="A1033" i="1" s="1"/>
  <c r="A1034" i="1" s="1"/>
  <c r="A1035" i="1" s="1"/>
  <c r="A1036" i="1" s="1"/>
  <c r="A1037" i="1" s="1"/>
  <c r="A1038" i="1" s="1"/>
  <c r="A1039" i="1" s="1"/>
  <c r="A1040" i="1" s="1"/>
  <c r="A1041" i="1" s="1"/>
  <c r="A1042" i="1" s="1"/>
  <c r="A1043" i="1" s="1"/>
  <c r="A1044" i="1" s="1"/>
  <c r="A1045" i="1" s="1"/>
  <c r="A1046" i="1" s="1"/>
  <c r="A1047" i="1" s="1"/>
  <c r="A1048" i="1" s="1"/>
  <c r="A1049" i="1" s="1"/>
  <c r="A1050" i="1" s="1"/>
  <c r="A1051" i="1" s="1"/>
  <c r="A1052" i="1" s="1"/>
  <c r="A1053" i="1" s="1"/>
  <c r="A1054" i="1" s="1"/>
  <c r="A1055" i="1" s="1"/>
  <c r="A1056" i="1" s="1"/>
  <c r="A1057" i="1" s="1"/>
  <c r="A1058" i="1" s="1"/>
  <c r="A1059" i="1" s="1"/>
  <c r="A1060" i="1" s="1"/>
  <c r="A1061" i="1" s="1"/>
  <c r="A1062" i="1" s="1"/>
  <c r="A1063" i="1" s="1"/>
  <c r="A1064" i="1" s="1"/>
  <c r="A1065" i="1" s="1"/>
  <c r="A1066" i="1" s="1"/>
  <c r="A1067" i="1" s="1"/>
  <c r="A1068" i="1" s="1"/>
  <c r="A1069" i="1" s="1"/>
  <c r="A1070" i="1" s="1"/>
  <c r="A1071" i="1" s="1"/>
  <c r="A1072" i="1" s="1"/>
  <c r="A1073" i="1" s="1"/>
  <c r="A1074" i="1" s="1"/>
  <c r="A1075" i="1" s="1"/>
  <c r="A1076" i="1" s="1"/>
  <c r="A1077" i="1" s="1"/>
  <c r="A1078" i="1" s="1"/>
  <c r="A1079" i="1" s="1"/>
  <c r="A1080" i="1" s="1"/>
  <c r="A1081" i="1" s="1"/>
  <c r="A1082" i="1" s="1"/>
  <c r="A1083" i="1" s="1"/>
  <c r="A1084" i="1" s="1"/>
  <c r="A1085" i="1" s="1"/>
  <c r="A1086" i="1" s="1"/>
  <c r="A1087" i="1" s="1"/>
  <c r="A1088" i="1" s="1"/>
  <c r="A1089" i="1" s="1"/>
  <c r="A1090" i="1" s="1"/>
  <c r="A1091" i="1" s="1"/>
  <c r="A1092" i="1" s="1"/>
  <c r="A1093" i="1" s="1"/>
  <c r="A1094" i="1" s="1"/>
  <c r="A1095" i="1" s="1"/>
  <c r="A1096" i="1" s="1"/>
  <c r="A1097" i="1" s="1"/>
  <c r="A1098" i="1" s="1"/>
  <c r="A1099" i="1" s="1"/>
  <c r="A1100" i="1" s="1"/>
  <c r="A1101" i="1" s="1"/>
  <c r="A1102" i="1" s="1"/>
  <c r="A1103" i="1" s="1"/>
  <c r="A1104" i="1" s="1"/>
  <c r="A1105" i="1" s="1"/>
  <c r="A1106" i="1" s="1"/>
  <c r="A1107" i="1" s="1"/>
  <c r="A1108" i="1" s="1"/>
  <c r="A1109" i="1" s="1"/>
  <c r="A1110" i="1" s="1"/>
  <c r="A1111" i="1" s="1"/>
  <c r="A1112" i="1" s="1"/>
  <c r="A1113" i="1" s="1"/>
  <c r="A1114" i="1" s="1"/>
  <c r="A1115" i="1" s="1"/>
  <c r="A1116" i="1" s="1"/>
  <c r="A1117" i="1" s="1"/>
  <c r="A1118" i="1" s="1"/>
  <c r="A1119" i="1" s="1"/>
  <c r="A1120" i="1" s="1"/>
  <c r="A1121" i="1" s="1"/>
  <c r="A1122" i="1" s="1"/>
  <c r="A1123" i="1" s="1"/>
  <c r="A1124" i="1" s="1"/>
  <c r="A1125" i="1" s="1"/>
  <c r="A1126" i="1" s="1"/>
  <c r="A1127" i="1" s="1"/>
  <c r="A1128" i="1" s="1"/>
  <c r="A1129" i="1" s="1"/>
  <c r="A1130" i="1" s="1"/>
  <c r="A1131" i="1" s="1"/>
  <c r="A1132" i="1" s="1"/>
  <c r="A1133" i="1" s="1"/>
  <c r="A1134" i="1" s="1"/>
  <c r="A1135" i="1" s="1"/>
  <c r="A1136" i="1" s="1"/>
  <c r="A1137" i="1" s="1"/>
  <c r="A1138" i="1" s="1"/>
  <c r="A1139" i="1" s="1"/>
  <c r="A1140" i="1" s="1"/>
  <c r="A1141" i="1" s="1"/>
  <c r="A1142" i="1" s="1"/>
  <c r="A1143" i="1" s="1"/>
  <c r="A1144" i="1" s="1"/>
  <c r="A1145" i="1" s="1"/>
  <c r="A1146" i="1" s="1"/>
  <c r="A1147" i="1" s="1"/>
  <c r="A1148" i="1" s="1"/>
  <c r="A1149" i="1" s="1"/>
  <c r="A1150" i="1" s="1"/>
  <c r="A1151" i="1" s="1"/>
  <c r="A1152" i="1" s="1"/>
  <c r="A1153" i="1" s="1"/>
  <c r="A1154" i="1" s="1"/>
  <c r="A1155" i="1" s="1"/>
  <c r="A1156" i="1" s="1"/>
  <c r="A1157" i="1" s="1"/>
  <c r="A1158" i="1" s="1"/>
  <c r="A1159" i="1" s="1"/>
  <c r="A1160" i="1" s="1"/>
  <c r="A1161" i="1" s="1"/>
  <c r="A1162" i="1" s="1"/>
  <c r="A1163" i="1" s="1"/>
  <c r="A1164" i="1" s="1"/>
  <c r="A1165" i="1" s="1"/>
  <c r="A1166" i="1" s="1"/>
  <c r="A1167" i="1" s="1"/>
  <c r="A1168" i="1" s="1"/>
  <c r="A1169" i="1" s="1"/>
  <c r="A1170" i="1" s="1"/>
  <c r="A1171" i="1" s="1"/>
  <c r="A1172" i="1" s="1"/>
  <c r="A1173" i="1" s="1"/>
  <c r="A1174" i="1" s="1"/>
  <c r="A1175" i="1" s="1"/>
  <c r="A1176" i="1" s="1"/>
  <c r="A1177" i="1" s="1"/>
  <c r="A1178" i="1" s="1"/>
  <c r="A1179" i="1" s="1"/>
  <c r="A1180" i="1" s="1"/>
  <c r="A1181" i="1" s="1"/>
  <c r="A1182" i="1" s="1"/>
  <c r="A1183" i="1" s="1"/>
  <c r="D377" i="12" l="1"/>
  <c r="E377" i="12" s="1"/>
  <c r="D375" i="12"/>
  <c r="E375" i="12" s="1"/>
  <c r="D373" i="12"/>
  <c r="E373" i="12" s="1"/>
  <c r="D371" i="12"/>
  <c r="E371" i="12" s="1"/>
  <c r="D369" i="12"/>
  <c r="E369" i="12" s="1"/>
  <c r="D367" i="12"/>
  <c r="E367" i="12" s="1"/>
  <c r="D365" i="12"/>
  <c r="E365" i="12" s="1"/>
  <c r="D363" i="12"/>
  <c r="E363" i="12" s="1"/>
  <c r="D361" i="12"/>
  <c r="E361" i="12" s="1"/>
  <c r="D359" i="12"/>
  <c r="E359" i="12" s="1"/>
  <c r="D357" i="12"/>
  <c r="E357" i="12" s="1"/>
  <c r="D355" i="12"/>
  <c r="E355" i="12" s="1"/>
  <c r="D353" i="12"/>
  <c r="E353" i="12" s="1"/>
  <c r="D351" i="12"/>
  <c r="E351" i="12" s="1"/>
  <c r="D349" i="12"/>
  <c r="E349" i="12" s="1"/>
  <c r="D347" i="12"/>
  <c r="E347" i="12" s="1"/>
  <c r="D345" i="12"/>
  <c r="E345" i="12" s="1"/>
  <c r="D343" i="12"/>
  <c r="E343" i="12" s="1"/>
  <c r="D341" i="12"/>
  <c r="E341" i="12" s="1"/>
  <c r="D339" i="12"/>
  <c r="D337" i="12"/>
  <c r="E337" i="12" s="1"/>
  <c r="D335" i="12"/>
  <c r="E335" i="12" s="1"/>
  <c r="D333" i="12"/>
  <c r="D331" i="12"/>
  <c r="E331" i="12" s="1"/>
  <c r="D329" i="12"/>
  <c r="E329" i="12" s="1"/>
  <c r="D327" i="12"/>
  <c r="E327" i="12" s="1"/>
  <c r="D325" i="12"/>
  <c r="E325" i="12" s="1"/>
  <c r="D323" i="12"/>
  <c r="E323" i="12" s="1"/>
  <c r="D321" i="12"/>
  <c r="E321" i="12" s="1"/>
  <c r="D319" i="12"/>
  <c r="E319" i="12" s="1"/>
  <c r="D317" i="12"/>
  <c r="E317" i="12" s="1"/>
  <c r="D315" i="12"/>
  <c r="E315" i="12" s="1"/>
  <c r="D313" i="12"/>
  <c r="E313" i="12" s="1"/>
  <c r="D311" i="12"/>
  <c r="E311" i="12" s="1"/>
  <c r="D309" i="12"/>
  <c r="E309" i="12" s="1"/>
  <c r="D307" i="12"/>
  <c r="E307" i="12" s="1"/>
  <c r="D305" i="12"/>
  <c r="E305" i="12" s="1"/>
  <c r="D303" i="12"/>
  <c r="E303" i="12" s="1"/>
  <c r="D301" i="12"/>
  <c r="E301" i="12" s="1"/>
  <c r="D299" i="12"/>
  <c r="E299" i="12" s="1"/>
  <c r="D297" i="12"/>
  <c r="E297" i="12" s="1"/>
  <c r="D295" i="12"/>
  <c r="E295" i="12" s="1"/>
  <c r="D293" i="12"/>
  <c r="D291" i="12"/>
  <c r="E291" i="12" s="1"/>
  <c r="D289" i="12"/>
  <c r="E289" i="12" s="1"/>
  <c r="D287" i="12"/>
  <c r="D285" i="12"/>
  <c r="E285" i="12" s="1"/>
  <c r="D283" i="12"/>
  <c r="E283" i="12" s="1"/>
  <c r="D281" i="12"/>
  <c r="E281" i="12" s="1"/>
  <c r="D279" i="12"/>
  <c r="E279" i="12" s="1"/>
  <c r="D277" i="12"/>
  <c r="E277" i="12" s="1"/>
  <c r="D275" i="12"/>
  <c r="E275" i="12" s="1"/>
  <c r="D273" i="12"/>
  <c r="E273" i="12" s="1"/>
  <c r="D271" i="12"/>
  <c r="E271" i="12" s="1"/>
  <c r="D269" i="12"/>
  <c r="E269" i="12" s="1"/>
  <c r="D267" i="12"/>
  <c r="E267" i="12" s="1"/>
  <c r="D265" i="12"/>
  <c r="E265" i="12" s="1"/>
  <c r="D263" i="12"/>
  <c r="E263" i="12" s="1"/>
  <c r="D261" i="12"/>
  <c r="E261" i="12" s="1"/>
  <c r="D259" i="12"/>
  <c r="E259" i="12" s="1"/>
  <c r="D257" i="12"/>
  <c r="E257" i="12" s="1"/>
  <c r="D255" i="12"/>
  <c r="E255" i="12" s="1"/>
  <c r="D253" i="12"/>
  <c r="E253" i="12" s="1"/>
  <c r="D251" i="12"/>
  <c r="E251" i="12" s="1"/>
  <c r="D249" i="12"/>
  <c r="E249" i="12" s="1"/>
  <c r="D247" i="12"/>
  <c r="D245" i="12"/>
  <c r="E245" i="12" s="1"/>
  <c r="D243" i="12"/>
  <c r="E243" i="12" s="1"/>
  <c r="D241" i="12"/>
  <c r="D239" i="12"/>
  <c r="E239" i="12" s="1"/>
  <c r="D237" i="12"/>
  <c r="E237" i="12" s="1"/>
  <c r="D235" i="12"/>
  <c r="E235" i="12" s="1"/>
  <c r="D381" i="12"/>
  <c r="E381" i="12" s="1"/>
  <c r="D379" i="12"/>
  <c r="E379" i="12" s="1"/>
  <c r="D389" i="12"/>
  <c r="E389" i="12" s="1"/>
  <c r="D387" i="12"/>
  <c r="E387" i="12" s="1"/>
  <c r="D385" i="12"/>
  <c r="E385" i="12" s="1"/>
  <c r="D383" i="12"/>
  <c r="E383" i="12" s="1"/>
  <c r="D393" i="12"/>
  <c r="E393" i="12" s="1"/>
  <c r="D391" i="12"/>
  <c r="E391" i="12" s="1"/>
  <c r="D395" i="12"/>
  <c r="E395" i="12" s="1"/>
  <c r="D233" i="12"/>
  <c r="E233" i="12" s="1"/>
  <c r="D41" i="12" l="1"/>
  <c r="E41" i="12" s="1"/>
  <c r="D55" i="12"/>
  <c r="E55" i="12" s="1"/>
  <c r="D45" i="12"/>
  <c r="E45" i="12" s="1"/>
  <c r="D49" i="12"/>
  <c r="E49" i="12" s="1"/>
  <c r="D13" i="12"/>
  <c r="D25" i="12"/>
  <c r="D53" i="12"/>
  <c r="D29" i="12"/>
  <c r="D47" i="12"/>
  <c r="E47" i="12" s="1"/>
  <c r="D37" i="12"/>
  <c r="E37" i="12" s="1"/>
  <c r="D11" i="12"/>
  <c r="D43" i="12"/>
  <c r="E43" i="12" s="1"/>
  <c r="D35" i="12"/>
  <c r="E35" i="12" s="1"/>
  <c r="D23" i="12"/>
  <c r="D19" i="12"/>
  <c r="D17" i="12"/>
  <c r="D31" i="12"/>
  <c r="E31" i="12" s="1"/>
  <c r="D33" i="12"/>
  <c r="E33" i="12" s="1"/>
  <c r="D21" i="12"/>
  <c r="D15" i="12"/>
  <c r="D27" i="12"/>
  <c r="D51" i="12"/>
  <c r="E51" i="12" s="1"/>
  <c r="D39" i="12"/>
  <c r="E39" i="12" s="1"/>
  <c r="D9" i="12"/>
  <c r="D231" i="12" l="1"/>
  <c r="E231" i="12" s="1"/>
  <c r="O19" i="1"/>
  <c r="N20" i="1"/>
  <c r="O20" i="1" s="1"/>
  <c r="N21" i="1"/>
  <c r="O21" i="1" s="1"/>
  <c r="N22" i="1"/>
  <c r="O22" i="1" s="1"/>
  <c r="N23" i="1"/>
  <c r="O23" i="1" s="1"/>
  <c r="N24" i="1"/>
  <c r="O24" i="1" s="1"/>
  <c r="N25" i="1"/>
  <c r="O25" i="1" s="1"/>
  <c r="N26" i="1"/>
  <c r="O26" i="1" s="1"/>
  <c r="N27" i="1"/>
  <c r="O27" i="1" s="1"/>
  <c r="N28" i="1"/>
  <c r="O28" i="1" s="1"/>
  <c r="N29" i="1"/>
  <c r="O29" i="1" s="1"/>
  <c r="N30" i="1"/>
  <c r="O30" i="1" s="1"/>
  <c r="N31" i="1"/>
  <c r="O31" i="1" s="1"/>
  <c r="N32" i="1"/>
  <c r="O32" i="1" s="1"/>
  <c r="N33" i="1"/>
  <c r="O33" i="1" s="1"/>
  <c r="N34" i="1"/>
  <c r="O34" i="1" s="1"/>
  <c r="N35" i="1"/>
  <c r="O35" i="1" s="1"/>
  <c r="N36" i="1"/>
  <c r="O36" i="1" s="1"/>
  <c r="N37" i="1"/>
  <c r="O37" i="1" s="1"/>
  <c r="N38" i="1"/>
  <c r="O38" i="1" s="1"/>
  <c r="N39" i="1"/>
  <c r="O39" i="1" s="1"/>
  <c r="N40" i="1"/>
  <c r="O40" i="1" s="1"/>
  <c r="N41" i="1"/>
  <c r="O41" i="1" s="1"/>
  <c r="N42" i="1"/>
  <c r="O42" i="1" s="1"/>
  <c r="N43" i="1"/>
  <c r="O43" i="1" s="1"/>
  <c r="N44" i="1"/>
  <c r="O44" i="1" s="1"/>
  <c r="N45" i="1"/>
  <c r="O45" i="1" s="1"/>
  <c r="N46" i="1"/>
  <c r="O46" i="1" s="1"/>
  <c r="N47" i="1"/>
  <c r="O47" i="1" s="1"/>
  <c r="N48" i="1"/>
  <c r="O48" i="1" s="1"/>
  <c r="N49" i="1"/>
  <c r="O49" i="1" s="1"/>
  <c r="N50" i="1"/>
  <c r="O50" i="1" s="1"/>
  <c r="N51" i="1"/>
  <c r="O51" i="1" s="1"/>
  <c r="N52" i="1"/>
  <c r="O52" i="1" s="1"/>
  <c r="N53" i="1"/>
  <c r="O53" i="1" s="1"/>
  <c r="N54" i="1"/>
  <c r="O54" i="1" s="1"/>
  <c r="N55" i="1"/>
  <c r="O55" i="1" s="1"/>
  <c r="N56" i="1"/>
  <c r="O56" i="1" s="1"/>
  <c r="N57" i="1"/>
  <c r="O57" i="1" s="1"/>
  <c r="N58" i="1"/>
  <c r="O58" i="1" s="1"/>
  <c r="N59" i="1"/>
  <c r="O59" i="1" s="1"/>
  <c r="N60" i="1"/>
  <c r="O60" i="1" s="1"/>
  <c r="N61" i="1"/>
  <c r="O61" i="1" s="1"/>
  <c r="N62" i="1"/>
  <c r="O62" i="1" s="1"/>
  <c r="N63" i="1"/>
  <c r="N64" i="1"/>
  <c r="N65" i="1"/>
  <c r="N66" i="1"/>
  <c r="N67" i="1"/>
  <c r="N68" i="1"/>
  <c r="O68" i="1" s="1"/>
  <c r="N69" i="1"/>
  <c r="N70" i="1"/>
  <c r="O70" i="1" s="1"/>
  <c r="N71" i="1"/>
  <c r="O71" i="1" s="1"/>
  <c r="N72" i="1"/>
  <c r="O72" i="1" s="1"/>
  <c r="N73" i="1"/>
  <c r="O73" i="1" s="1"/>
  <c r="N74" i="1"/>
  <c r="O74" i="1" s="1"/>
  <c r="N75" i="1"/>
  <c r="O75" i="1" s="1"/>
  <c r="N76" i="1"/>
  <c r="O76" i="1" s="1"/>
  <c r="N77" i="1"/>
  <c r="O77" i="1" s="1"/>
  <c r="N78" i="1"/>
  <c r="O78" i="1" s="1"/>
  <c r="N79" i="1"/>
  <c r="O79" i="1" s="1"/>
  <c r="N80" i="1"/>
  <c r="O80" i="1" s="1"/>
  <c r="N81" i="1"/>
  <c r="O81" i="1" s="1"/>
  <c r="N82" i="1"/>
  <c r="O82" i="1" s="1"/>
  <c r="N83" i="1"/>
  <c r="O83" i="1" s="1"/>
  <c r="N84" i="1"/>
  <c r="O84" i="1" s="1"/>
  <c r="N85" i="1"/>
  <c r="O85" i="1" s="1"/>
  <c r="N86" i="1"/>
  <c r="O86" i="1" s="1"/>
  <c r="N87" i="1"/>
  <c r="O87" i="1" s="1"/>
  <c r="N88" i="1"/>
  <c r="O88" i="1" s="1"/>
  <c r="N89" i="1"/>
  <c r="O89" i="1" s="1"/>
  <c r="N90" i="1"/>
  <c r="O90" i="1" s="1"/>
  <c r="N91" i="1"/>
  <c r="O91" i="1" s="1"/>
  <c r="N92" i="1"/>
  <c r="O92" i="1" s="1"/>
  <c r="N93" i="1"/>
  <c r="O93" i="1" s="1"/>
  <c r="N94" i="1"/>
  <c r="O94" i="1" s="1"/>
  <c r="N95" i="1"/>
  <c r="O95" i="1" s="1"/>
  <c r="N96" i="1"/>
  <c r="O96" i="1" s="1"/>
  <c r="N97" i="1"/>
  <c r="O97" i="1" s="1"/>
  <c r="N98" i="1"/>
  <c r="O98" i="1" s="1"/>
  <c r="N99" i="1"/>
  <c r="O99" i="1" s="1"/>
  <c r="N100" i="1"/>
  <c r="O100" i="1" s="1"/>
  <c r="N101" i="1"/>
  <c r="O101" i="1" s="1"/>
  <c r="N102" i="1"/>
  <c r="O102" i="1" s="1"/>
  <c r="N103" i="1"/>
  <c r="O103" i="1" s="1"/>
  <c r="N104" i="1"/>
  <c r="O104" i="1" s="1"/>
  <c r="N105" i="1"/>
  <c r="O105" i="1" s="1"/>
  <c r="N106" i="1"/>
  <c r="O106" i="1" s="1"/>
  <c r="N107" i="1"/>
  <c r="O107" i="1" s="1"/>
  <c r="N108" i="1"/>
  <c r="O108" i="1" s="1"/>
  <c r="N109" i="1"/>
  <c r="O109" i="1" s="1"/>
  <c r="N110" i="1"/>
  <c r="O110" i="1" s="1"/>
  <c r="N111" i="1"/>
  <c r="O111" i="1" s="1"/>
  <c r="N112" i="1"/>
  <c r="O112" i="1" s="1"/>
  <c r="N113" i="1"/>
  <c r="O113" i="1" s="1"/>
  <c r="N114" i="1"/>
  <c r="O114" i="1" s="1"/>
  <c r="N115" i="1"/>
  <c r="O115" i="1" s="1"/>
  <c r="N116" i="1"/>
  <c r="O116" i="1" s="1"/>
  <c r="N117" i="1"/>
  <c r="O117" i="1" s="1"/>
  <c r="N118" i="1"/>
  <c r="O118" i="1" s="1"/>
  <c r="N119" i="1"/>
  <c r="O119" i="1" s="1"/>
  <c r="N120" i="1"/>
  <c r="O120" i="1" s="1"/>
  <c r="N121" i="1"/>
  <c r="O121" i="1" s="1"/>
  <c r="N122" i="1"/>
  <c r="O122" i="1" s="1"/>
  <c r="N123" i="1"/>
  <c r="O123" i="1" s="1"/>
  <c r="N124" i="1"/>
  <c r="O124" i="1" s="1"/>
  <c r="N125" i="1"/>
  <c r="O125" i="1" s="1"/>
  <c r="N126" i="1"/>
  <c r="O126" i="1" s="1"/>
  <c r="N127" i="1"/>
  <c r="O127" i="1" s="1"/>
  <c r="N128" i="1"/>
  <c r="O128" i="1" s="1"/>
  <c r="N129" i="1"/>
  <c r="O129" i="1" s="1"/>
  <c r="N130" i="1"/>
  <c r="O130" i="1" s="1"/>
  <c r="N131" i="1"/>
  <c r="O131" i="1" s="1"/>
  <c r="N132" i="1"/>
  <c r="O132" i="1" s="1"/>
  <c r="N133" i="1"/>
  <c r="O133" i="1" s="1"/>
  <c r="N134" i="1"/>
  <c r="O134" i="1" s="1"/>
  <c r="N135" i="1"/>
  <c r="O135" i="1" s="1"/>
  <c r="N136" i="1"/>
  <c r="O136" i="1" s="1"/>
  <c r="N137" i="1"/>
  <c r="O137" i="1" s="1"/>
  <c r="N138" i="1"/>
  <c r="O138" i="1" s="1"/>
  <c r="N139" i="1"/>
  <c r="O139" i="1" s="1"/>
  <c r="N140" i="1"/>
  <c r="O140" i="1" s="1"/>
  <c r="N141" i="1"/>
  <c r="O141" i="1" s="1"/>
  <c r="N142" i="1"/>
  <c r="O142" i="1" s="1"/>
  <c r="N143" i="1"/>
  <c r="O143" i="1" s="1"/>
  <c r="N144" i="1"/>
  <c r="O144" i="1" s="1"/>
  <c r="N145" i="1"/>
  <c r="O145" i="1" s="1"/>
  <c r="N146" i="1"/>
  <c r="O146" i="1" s="1"/>
  <c r="N147" i="1"/>
  <c r="O147" i="1" s="1"/>
  <c r="N148" i="1"/>
  <c r="O148" i="1" s="1"/>
  <c r="N149" i="1"/>
  <c r="O149" i="1" s="1"/>
  <c r="N150" i="1"/>
  <c r="O150" i="1" s="1"/>
  <c r="N151" i="1"/>
  <c r="O151" i="1" s="1"/>
  <c r="N152" i="1"/>
  <c r="O152" i="1" s="1"/>
  <c r="N153" i="1"/>
  <c r="O153" i="1" s="1"/>
  <c r="N154" i="1"/>
  <c r="O154" i="1" s="1"/>
  <c r="N155" i="1"/>
  <c r="O155" i="1" s="1"/>
  <c r="N156" i="1"/>
  <c r="O156" i="1" s="1"/>
  <c r="N157" i="1"/>
  <c r="O157" i="1" s="1"/>
  <c r="N158" i="1"/>
  <c r="O158" i="1" s="1"/>
  <c r="N159" i="1"/>
  <c r="O159" i="1" s="1"/>
  <c r="N160" i="1"/>
  <c r="O160" i="1" s="1"/>
  <c r="N161" i="1"/>
  <c r="O161" i="1" s="1"/>
  <c r="N162" i="1"/>
  <c r="O162" i="1" s="1"/>
  <c r="N163" i="1"/>
  <c r="O163" i="1" s="1"/>
  <c r="N164" i="1"/>
  <c r="O164" i="1" s="1"/>
  <c r="N165" i="1"/>
  <c r="O165" i="1" s="1"/>
  <c r="N166" i="1"/>
  <c r="O166" i="1" s="1"/>
  <c r="N167" i="1"/>
  <c r="O167" i="1" s="1"/>
  <c r="N168" i="1"/>
  <c r="O168" i="1" s="1"/>
  <c r="N169" i="1"/>
  <c r="O169" i="1" s="1"/>
  <c r="N170" i="1"/>
  <c r="O170" i="1" s="1"/>
  <c r="N171" i="1"/>
  <c r="O171" i="1" s="1"/>
  <c r="N172" i="1"/>
  <c r="O172" i="1" s="1"/>
  <c r="N173" i="1"/>
  <c r="O173" i="1" s="1"/>
  <c r="N174" i="1"/>
  <c r="O174" i="1" s="1"/>
  <c r="N175" i="1"/>
  <c r="O175" i="1" s="1"/>
  <c r="N176" i="1"/>
  <c r="O176" i="1" s="1"/>
  <c r="N177" i="1"/>
  <c r="O177" i="1" s="1"/>
  <c r="N178" i="1"/>
  <c r="O178" i="1" s="1"/>
  <c r="N179" i="1"/>
  <c r="O179" i="1" s="1"/>
  <c r="N180" i="1"/>
  <c r="O180" i="1" s="1"/>
  <c r="N181" i="1"/>
  <c r="O181" i="1" s="1"/>
  <c r="N182" i="1"/>
  <c r="O182" i="1" s="1"/>
  <c r="N183" i="1"/>
  <c r="O183" i="1" s="1"/>
  <c r="N184" i="1"/>
  <c r="O184" i="1" s="1"/>
  <c r="N185" i="1"/>
  <c r="O185" i="1" s="1"/>
  <c r="N186" i="1"/>
  <c r="O186" i="1" s="1"/>
  <c r="N187" i="1"/>
  <c r="O187" i="1" s="1"/>
  <c r="N188" i="1"/>
  <c r="O188" i="1" s="1"/>
  <c r="N189" i="1"/>
  <c r="O189" i="1" s="1"/>
  <c r="N190" i="1"/>
  <c r="O190" i="1" s="1"/>
  <c r="N191" i="1"/>
  <c r="O191" i="1" s="1"/>
  <c r="N192" i="1"/>
  <c r="O192" i="1" s="1"/>
  <c r="N193" i="1"/>
  <c r="O193" i="1" s="1"/>
  <c r="N194" i="1"/>
  <c r="O194" i="1" s="1"/>
  <c r="N195" i="1"/>
  <c r="O195" i="1" s="1"/>
  <c r="N196" i="1"/>
  <c r="O196" i="1" s="1"/>
  <c r="N197" i="1"/>
  <c r="O197" i="1" s="1"/>
  <c r="N198" i="1"/>
  <c r="O198" i="1" s="1"/>
  <c r="N199" i="1"/>
  <c r="O199" i="1" s="1"/>
  <c r="N200" i="1"/>
  <c r="O200" i="1" s="1"/>
  <c r="N201" i="1"/>
  <c r="O201" i="1" s="1"/>
  <c r="N202" i="1"/>
  <c r="O202" i="1" s="1"/>
  <c r="N203" i="1"/>
  <c r="O203" i="1" s="1"/>
  <c r="N204" i="1"/>
  <c r="O204" i="1" s="1"/>
  <c r="N205" i="1"/>
  <c r="O205" i="1" s="1"/>
  <c r="N206" i="1"/>
  <c r="O206" i="1" s="1"/>
  <c r="N207" i="1"/>
  <c r="O207" i="1" s="1"/>
  <c r="N208" i="1"/>
  <c r="O208" i="1" s="1"/>
  <c r="N209" i="1"/>
  <c r="O209" i="1" s="1"/>
  <c r="N210" i="1"/>
  <c r="O210" i="1" s="1"/>
  <c r="N211" i="1"/>
  <c r="O211" i="1" s="1"/>
  <c r="N212" i="1"/>
  <c r="O212" i="1" s="1"/>
  <c r="N213" i="1"/>
  <c r="O213" i="1" s="1"/>
  <c r="N214" i="1"/>
  <c r="O214" i="1" s="1"/>
  <c r="N215" i="1"/>
  <c r="O215" i="1" s="1"/>
  <c r="N216" i="1"/>
  <c r="O216" i="1" s="1"/>
  <c r="N217" i="1"/>
  <c r="O217" i="1" s="1"/>
  <c r="N218" i="1"/>
  <c r="O218" i="1" s="1"/>
  <c r="N219" i="1"/>
  <c r="O219" i="1" s="1"/>
  <c r="N220" i="1"/>
  <c r="O220" i="1" s="1"/>
  <c r="N221" i="1"/>
  <c r="O221" i="1" s="1"/>
  <c r="N222" i="1"/>
  <c r="O222" i="1" s="1"/>
  <c r="N223" i="1"/>
  <c r="O223" i="1" s="1"/>
  <c r="N224" i="1"/>
  <c r="O224" i="1" s="1"/>
  <c r="N225" i="1"/>
  <c r="O225" i="1" s="1"/>
  <c r="N226" i="1"/>
  <c r="O226" i="1" s="1"/>
  <c r="N227" i="1"/>
  <c r="O227" i="1" s="1"/>
  <c r="N228" i="1"/>
  <c r="O228" i="1" s="1"/>
  <c r="N229" i="1"/>
  <c r="O229" i="1" s="1"/>
  <c r="N230" i="1"/>
  <c r="O230" i="1" s="1"/>
  <c r="N231" i="1"/>
  <c r="O231" i="1" s="1"/>
  <c r="N232" i="1"/>
  <c r="O232" i="1" s="1"/>
  <c r="N233" i="1"/>
  <c r="O233" i="1" s="1"/>
  <c r="N234" i="1"/>
  <c r="O234" i="1" s="1"/>
  <c r="N235" i="1"/>
  <c r="O235" i="1" s="1"/>
  <c r="N236" i="1"/>
  <c r="O236" i="1" s="1"/>
  <c r="N237" i="1"/>
  <c r="O237" i="1" s="1"/>
  <c r="N238" i="1"/>
  <c r="O238" i="1" s="1"/>
  <c r="N239" i="1"/>
  <c r="O239" i="1" s="1"/>
  <c r="N240" i="1"/>
  <c r="O240" i="1" s="1"/>
  <c r="N241" i="1"/>
  <c r="O241" i="1" s="1"/>
  <c r="N242" i="1"/>
  <c r="O242" i="1" s="1"/>
  <c r="N243" i="1"/>
  <c r="O243" i="1" s="1"/>
  <c r="N244" i="1"/>
  <c r="O244" i="1" s="1"/>
  <c r="N245" i="1"/>
  <c r="O245" i="1" s="1"/>
  <c r="N246" i="1"/>
  <c r="O246" i="1" s="1"/>
  <c r="N247" i="1"/>
  <c r="O247" i="1" s="1"/>
  <c r="N248" i="1"/>
  <c r="O248" i="1" s="1"/>
  <c r="N249" i="1"/>
  <c r="O249" i="1" s="1"/>
  <c r="N250" i="1"/>
  <c r="O250" i="1" s="1"/>
  <c r="N251" i="1"/>
  <c r="O251" i="1" s="1"/>
  <c r="N252" i="1"/>
  <c r="O252" i="1" s="1"/>
  <c r="N253" i="1"/>
  <c r="O253" i="1" s="1"/>
  <c r="N254" i="1"/>
  <c r="O254" i="1" s="1"/>
  <c r="N255" i="1"/>
  <c r="O255" i="1" s="1"/>
  <c r="N256" i="1"/>
  <c r="O256" i="1" s="1"/>
  <c r="N257" i="1"/>
  <c r="O257" i="1" s="1"/>
  <c r="N258" i="1"/>
  <c r="O258" i="1" s="1"/>
  <c r="N259" i="1"/>
  <c r="O259" i="1" s="1"/>
  <c r="N260" i="1"/>
  <c r="O260" i="1" s="1"/>
  <c r="N261" i="1"/>
  <c r="O261" i="1" s="1"/>
  <c r="N262" i="1"/>
  <c r="O262" i="1" s="1"/>
  <c r="N263" i="1"/>
  <c r="O263" i="1" s="1"/>
  <c r="N264" i="1"/>
  <c r="O264" i="1" s="1"/>
  <c r="N265" i="1"/>
  <c r="O265" i="1" s="1"/>
  <c r="N266" i="1"/>
  <c r="O266" i="1" s="1"/>
  <c r="N267" i="1"/>
  <c r="O267" i="1" s="1"/>
  <c r="N268" i="1"/>
  <c r="O268" i="1" s="1"/>
  <c r="N269" i="1"/>
  <c r="O269" i="1" s="1"/>
  <c r="N270" i="1"/>
  <c r="O270" i="1" s="1"/>
  <c r="N271" i="1"/>
  <c r="O271" i="1" s="1"/>
  <c r="N272" i="1"/>
  <c r="O272" i="1" s="1"/>
  <c r="N273" i="1"/>
  <c r="O273" i="1" s="1"/>
  <c r="N274" i="1"/>
  <c r="O274" i="1" s="1"/>
  <c r="N275" i="1"/>
  <c r="O275" i="1" s="1"/>
  <c r="N276" i="1"/>
  <c r="O276" i="1" s="1"/>
  <c r="N277" i="1"/>
  <c r="O277" i="1" s="1"/>
  <c r="N278" i="1"/>
  <c r="O278" i="1" s="1"/>
  <c r="N279" i="1"/>
  <c r="O279" i="1" s="1"/>
  <c r="N280" i="1"/>
  <c r="O280" i="1" s="1"/>
  <c r="N281" i="1"/>
  <c r="O281" i="1" s="1"/>
  <c r="N282" i="1"/>
  <c r="O282" i="1" s="1"/>
  <c r="N283" i="1"/>
  <c r="O283" i="1" s="1"/>
  <c r="N284" i="1"/>
  <c r="O284" i="1" s="1"/>
  <c r="N285" i="1"/>
  <c r="O285" i="1" s="1"/>
  <c r="N286" i="1"/>
  <c r="O286" i="1" s="1"/>
  <c r="N287" i="1"/>
  <c r="O287" i="1" s="1"/>
  <c r="N288" i="1"/>
  <c r="O288" i="1" s="1"/>
  <c r="N289" i="1"/>
  <c r="O289" i="1" s="1"/>
  <c r="N587" i="1"/>
  <c r="O587" i="1" s="1"/>
  <c r="N588" i="1"/>
  <c r="O588" i="1" s="1"/>
  <c r="N589" i="1"/>
  <c r="O589" i="1" s="1"/>
  <c r="N950" i="1"/>
  <c r="O950" i="1" s="1"/>
  <c r="N951" i="1"/>
  <c r="O951" i="1" s="1"/>
  <c r="AP2" i="1" l="1"/>
  <c r="AP1" i="1"/>
  <c r="AM7" i="1" l="1"/>
  <c r="AM6" i="1"/>
  <c r="AM5" i="1"/>
  <c r="AM4" i="1"/>
  <c r="AM3" i="1"/>
  <c r="AM2" i="1"/>
  <c r="AM1" i="1"/>
  <c r="A11" i="12" l="1"/>
  <c r="A13" i="12" s="1"/>
  <c r="BF400" i="12" l="1"/>
  <c r="BE400" i="12"/>
  <c r="BD400" i="12"/>
  <c r="BC400" i="12"/>
  <c r="BB400" i="12"/>
  <c r="BA400" i="12"/>
  <c r="AZ400" i="12"/>
  <c r="AY400" i="12"/>
  <c r="AX400" i="12"/>
  <c r="AW400" i="12"/>
  <c r="AV400" i="12"/>
  <c r="AU400" i="12"/>
  <c r="AT400" i="12"/>
  <c r="AS400" i="12"/>
  <c r="AR400" i="12"/>
  <c r="AQ400" i="12"/>
  <c r="AP400" i="12"/>
  <c r="AO400" i="12"/>
  <c r="AN400" i="12"/>
  <c r="AM400" i="12"/>
  <c r="AL400" i="12"/>
  <c r="AK400" i="12"/>
  <c r="AJ400" i="12"/>
  <c r="AI400" i="12"/>
  <c r="AH400" i="12"/>
  <c r="AG400" i="12"/>
  <c r="AF400" i="12"/>
  <c r="AE400" i="12"/>
  <c r="AD400" i="12"/>
  <c r="AC400" i="12"/>
  <c r="AB400" i="12"/>
  <c r="AA400" i="12"/>
  <c r="Z400" i="12"/>
  <c r="Y400" i="12"/>
  <c r="X400" i="12"/>
  <c r="W400" i="12"/>
  <c r="V400" i="12"/>
  <c r="U400" i="12"/>
  <c r="T400" i="12"/>
  <c r="S400" i="12"/>
  <c r="R400" i="12"/>
  <c r="Q400" i="12"/>
  <c r="P400" i="12"/>
  <c r="O400" i="12"/>
  <c r="N400" i="12"/>
  <c r="M400" i="12"/>
  <c r="L400" i="12"/>
  <c r="K400" i="12"/>
  <c r="J400" i="12"/>
  <c r="BF399" i="12"/>
  <c r="BE399" i="12"/>
  <c r="BD399" i="12"/>
  <c r="BC399" i="12"/>
  <c r="BB399" i="12"/>
  <c r="BA399" i="12"/>
  <c r="AZ399" i="12"/>
  <c r="AY399" i="12"/>
  <c r="AX399" i="12"/>
  <c r="AW399" i="12"/>
  <c r="AV399" i="12"/>
  <c r="AU399" i="12"/>
  <c r="AT399" i="12"/>
  <c r="AS399" i="12"/>
  <c r="AR399" i="12"/>
  <c r="AQ399" i="12"/>
  <c r="AP399" i="12"/>
  <c r="AO399" i="12"/>
  <c r="AN399" i="12"/>
  <c r="AM399" i="12"/>
  <c r="AL399" i="12"/>
  <c r="AK399" i="12"/>
  <c r="AJ399" i="12"/>
  <c r="AI399" i="12"/>
  <c r="AH399" i="12"/>
  <c r="AG399" i="12"/>
  <c r="AF399" i="12"/>
  <c r="AE399" i="12"/>
  <c r="AD399" i="12"/>
  <c r="AC399" i="12"/>
  <c r="AB399" i="12"/>
  <c r="AA399" i="12"/>
  <c r="Z399" i="12"/>
  <c r="Y399" i="12"/>
  <c r="X399" i="12"/>
  <c r="W399" i="12"/>
  <c r="V399" i="12"/>
  <c r="U399" i="12"/>
  <c r="T399" i="12"/>
  <c r="S399" i="12"/>
  <c r="R399" i="12"/>
  <c r="Q399" i="12"/>
  <c r="P399" i="12"/>
  <c r="O399" i="12"/>
  <c r="N399" i="12"/>
  <c r="M399" i="12"/>
  <c r="L399" i="12"/>
  <c r="K399" i="12"/>
  <c r="J399" i="12"/>
  <c r="I400" i="12"/>
  <c r="I399" i="12"/>
  <c r="D397" i="12" l="1"/>
  <c r="E397" i="12" s="1"/>
  <c r="D229" i="12"/>
  <c r="E229" i="12" s="1"/>
  <c r="D227" i="12"/>
  <c r="E227" i="12" s="1"/>
  <c r="D225" i="12"/>
  <c r="E225" i="12" s="1"/>
  <c r="D223" i="12"/>
  <c r="E223" i="12" s="1"/>
  <c r="D221" i="12"/>
  <c r="E221" i="12" s="1"/>
  <c r="D219" i="12"/>
  <c r="E219" i="12" s="1"/>
  <c r="D217" i="12"/>
  <c r="D215" i="12"/>
  <c r="D213" i="12"/>
  <c r="D211" i="12"/>
  <c r="D209" i="12"/>
  <c r="D207" i="12"/>
  <c r="D205" i="12"/>
  <c r="D203" i="12"/>
  <c r="D201" i="12"/>
  <c r="D199" i="12"/>
  <c r="D197" i="12"/>
  <c r="D195" i="12"/>
  <c r="D193" i="12"/>
  <c r="D191" i="12"/>
  <c r="D189" i="12"/>
  <c r="D187" i="12"/>
  <c r="D185" i="12"/>
  <c r="D183" i="12"/>
  <c r="D181" i="12"/>
  <c r="D179" i="12"/>
  <c r="D177" i="12"/>
  <c r="D175" i="12"/>
  <c r="D173" i="12"/>
  <c r="D171" i="12"/>
  <c r="D169" i="12"/>
  <c r="D167" i="12"/>
  <c r="D165" i="12"/>
  <c r="D163" i="12"/>
  <c r="E163" i="12" s="1"/>
  <c r="D161" i="12"/>
  <c r="D159" i="12"/>
  <c r="D157" i="12"/>
  <c r="D155" i="12"/>
  <c r="D153" i="12"/>
  <c r="D151" i="12"/>
  <c r="D149" i="12"/>
  <c r="D147" i="12"/>
  <c r="D145" i="12"/>
  <c r="D143" i="12"/>
  <c r="D141" i="12"/>
  <c r="D139" i="12"/>
  <c r="D137" i="12"/>
  <c r="D135" i="12"/>
  <c r="D133" i="12"/>
  <c r="D131" i="12"/>
  <c r="D129" i="12"/>
  <c r="D127" i="12"/>
  <c r="D125" i="12"/>
  <c r="D123" i="12"/>
  <c r="D121" i="12"/>
  <c r="D119" i="12"/>
  <c r="D117" i="12"/>
  <c r="D115" i="12"/>
  <c r="D113" i="12"/>
  <c r="D111" i="12"/>
  <c r="D109" i="12"/>
  <c r="D105" i="12" l="1"/>
  <c r="D101" i="12"/>
  <c r="D99" i="12"/>
  <c r="D97" i="12"/>
  <c r="D65" i="12" l="1"/>
  <c r="D63" i="12"/>
  <c r="D61" i="12"/>
  <c r="D59" i="12"/>
  <c r="D57" i="12"/>
  <c r="A15" i="12"/>
  <c r="A17" i="12" s="1"/>
  <c r="A19" i="12" s="1"/>
  <c r="A21" i="12" s="1"/>
  <c r="A23" i="12" l="1"/>
  <c r="A25" i="12" s="1"/>
  <c r="A27" i="12" s="1"/>
  <c r="A31" i="12" l="1"/>
  <c r="A33" i="12" s="1"/>
  <c r="A35" i="12" s="1"/>
  <c r="A37" i="12" s="1"/>
  <c r="A39" i="12" s="1"/>
  <c r="A41" i="12" s="1"/>
  <c r="A43" i="12" s="1"/>
  <c r="A45" i="12" s="1"/>
  <c r="A47" i="12" s="1"/>
  <c r="A49" i="12" s="1"/>
  <c r="A51" i="12" s="1"/>
  <c r="A53" i="12" s="1"/>
  <c r="A55" i="12" s="1"/>
  <c r="A57" i="12" s="1"/>
  <c r="A59" i="12" s="1"/>
  <c r="A61" i="12" s="1"/>
  <c r="A63" i="12" s="1"/>
  <c r="A65" i="12" s="1"/>
  <c r="A67" i="12" s="1"/>
  <c r="A69" i="12" s="1"/>
  <c r="A71" i="12" s="1"/>
  <c r="A73" i="12" s="1"/>
  <c r="A75" i="12" s="1"/>
  <c r="A77" i="12" s="1"/>
  <c r="A79" i="12" s="1"/>
  <c r="A81" i="12" s="1"/>
  <c r="A83" i="12" s="1"/>
  <c r="A85" i="12" s="1"/>
  <c r="A87" i="12" s="1"/>
  <c r="A89" i="12" s="1"/>
  <c r="A91" i="12" s="1"/>
  <c r="A93" i="12" s="1"/>
  <c r="A95" i="12" s="1"/>
  <c r="A97" i="12" s="1"/>
  <c r="A99" i="12" s="1"/>
  <c r="A101" i="12" s="1"/>
  <c r="A103" i="12" s="1"/>
  <c r="A105" i="12" s="1"/>
  <c r="A107" i="12" s="1"/>
  <c r="A109" i="12" s="1"/>
  <c r="A111" i="12" s="1"/>
  <c r="A113" i="12" s="1"/>
  <c r="A115" i="12" s="1"/>
  <c r="A117" i="12" s="1"/>
  <c r="A119" i="12" s="1"/>
  <c r="A121" i="12" s="1"/>
  <c r="A123" i="12" s="1"/>
  <c r="A125" i="12" s="1"/>
  <c r="A127" i="12" s="1"/>
  <c r="A129" i="12" s="1"/>
  <c r="A131" i="12" s="1"/>
  <c r="A133" i="12" s="1"/>
  <c r="A135" i="12" s="1"/>
  <c r="A137" i="12" s="1"/>
  <c r="A139" i="12" s="1"/>
  <c r="A141" i="12" s="1"/>
  <c r="A143" i="12" s="1"/>
  <c r="A145" i="12" s="1"/>
  <c r="A147" i="12" s="1"/>
  <c r="A149" i="12" s="1"/>
  <c r="A151" i="12" s="1"/>
  <c r="A153" i="12" s="1"/>
  <c r="A155" i="12" s="1"/>
  <c r="A157" i="12" s="1"/>
  <c r="A159" i="12" s="1"/>
  <c r="A161" i="12" s="1"/>
  <c r="A163" i="12" s="1"/>
  <c r="A165" i="12" s="1"/>
  <c r="A167" i="12" s="1"/>
  <c r="A169" i="12" s="1"/>
  <c r="A171" i="12" s="1"/>
  <c r="A173" i="12" s="1"/>
  <c r="A175" i="12" s="1"/>
  <c r="A177" i="12" s="1"/>
  <c r="A179" i="12" s="1"/>
  <c r="A181" i="12" s="1"/>
  <c r="A183" i="12" s="1"/>
  <c r="A185" i="12" s="1"/>
  <c r="A187" i="12" s="1"/>
  <c r="A189" i="12" s="1"/>
  <c r="A191" i="12" s="1"/>
  <c r="A193" i="12" s="1"/>
  <c r="A195" i="12" s="1"/>
  <c r="A197" i="12" s="1"/>
  <c r="A199" i="12" s="1"/>
  <c r="A201" i="12" s="1"/>
  <c r="A203" i="12" s="1"/>
  <c r="A205" i="12" s="1"/>
  <c r="A207" i="12" s="1"/>
  <c r="A209" i="12" s="1"/>
  <c r="A211" i="12" s="1"/>
  <c r="A213" i="12" s="1"/>
  <c r="A215" i="12" s="1"/>
  <c r="A217" i="12" s="1"/>
  <c r="A219" i="12" s="1"/>
  <c r="A221" i="12" s="1"/>
  <c r="A223" i="12" s="1"/>
  <c r="A225" i="12" s="1"/>
  <c r="A227" i="12" s="1"/>
  <c r="A229" i="12" s="1"/>
  <c r="A231" i="12" s="1"/>
  <c r="A233" i="12" s="1"/>
  <c r="A235" i="12" s="1"/>
  <c r="A237" i="12" s="1"/>
  <c r="A239" i="12" s="1"/>
  <c r="A241" i="12" s="1"/>
  <c r="A243" i="12" s="1"/>
  <c r="A245" i="12" s="1"/>
  <c r="A247" i="12" s="1"/>
  <c r="A249" i="12" s="1"/>
  <c r="A251" i="12" s="1"/>
  <c r="A253" i="12" s="1"/>
  <c r="A255" i="12" s="1"/>
  <c r="A257" i="12" s="1"/>
  <c r="A259" i="12" s="1"/>
  <c r="A261" i="12" s="1"/>
  <c r="A263" i="12" s="1"/>
  <c r="A265" i="12" s="1"/>
  <c r="A267" i="12" s="1"/>
  <c r="A269" i="12" s="1"/>
  <c r="A271" i="12" s="1"/>
  <c r="A273" i="12" s="1"/>
  <c r="A275" i="12" s="1"/>
  <c r="A277" i="12" s="1"/>
  <c r="A279" i="12" s="1"/>
  <c r="A281" i="12" s="1"/>
  <c r="A283" i="12" s="1"/>
  <c r="A285" i="12" s="1"/>
  <c r="A287" i="12" s="1"/>
  <c r="A289" i="12" s="1"/>
  <c r="A291" i="12" s="1"/>
  <c r="A293" i="12" s="1"/>
  <c r="A295" i="12" s="1"/>
  <c r="A297" i="12" s="1"/>
  <c r="A299" i="12" s="1"/>
  <c r="A301" i="12" s="1"/>
  <c r="A303" i="12" s="1"/>
  <c r="A305" i="12" s="1"/>
  <c r="A307" i="12" s="1"/>
  <c r="A309" i="12" s="1"/>
  <c r="A311" i="12" s="1"/>
  <c r="A313" i="12" s="1"/>
  <c r="A315" i="12" s="1"/>
  <c r="A317" i="12" s="1"/>
  <c r="A319" i="12" s="1"/>
  <c r="A321" i="12" s="1"/>
  <c r="A323" i="12" s="1"/>
  <c r="A325" i="12" s="1"/>
  <c r="A327" i="12" s="1"/>
  <c r="A329" i="12" s="1"/>
  <c r="A331" i="12" s="1"/>
  <c r="A333" i="12" s="1"/>
  <c r="A335" i="12" s="1"/>
  <c r="A337" i="12" s="1"/>
  <c r="A339" i="12" s="1"/>
  <c r="A341" i="12" s="1"/>
  <c r="A343" i="12" s="1"/>
  <c r="A345" i="12" s="1"/>
  <c r="A347" i="12" s="1"/>
  <c r="A349" i="12" s="1"/>
  <c r="A351" i="12" s="1"/>
  <c r="A353" i="12" s="1"/>
  <c r="A355" i="12" s="1"/>
  <c r="A357" i="12" s="1"/>
  <c r="A359" i="12" s="1"/>
  <c r="A361" i="12" s="1"/>
  <c r="A363" i="12" s="1"/>
  <c r="A365" i="12" s="1"/>
  <c r="A367" i="12" s="1"/>
  <c r="A369" i="12" s="1"/>
  <c r="A371" i="12" s="1"/>
  <c r="A373" i="12" s="1"/>
  <c r="A375" i="12" s="1"/>
  <c r="A377" i="12" s="1"/>
  <c r="A29" i="12"/>
  <c r="A381" i="12" l="1"/>
  <c r="A383" i="12" s="1"/>
  <c r="A385" i="12" s="1"/>
  <c r="A387" i="12" s="1"/>
  <c r="A389" i="12" s="1"/>
  <c r="A391" i="12" s="1"/>
  <c r="A393" i="12" s="1"/>
  <c r="A395" i="12" s="1"/>
  <c r="L1" i="10"/>
  <c r="AI3" i="1"/>
  <c r="AT9" i="1" l="1"/>
  <c r="AS18" i="1"/>
  <c r="AR18" i="1"/>
  <c r="AQ18" i="1"/>
  <c r="AP18" i="1"/>
  <c r="AO18" i="1"/>
  <c r="AT18" i="1"/>
  <c r="AT1182" i="1"/>
  <c r="AQ1181" i="1"/>
  <c r="AT1178" i="1"/>
  <c r="AQ1177" i="1"/>
  <c r="AT1174" i="1"/>
  <c r="AQ1173" i="1"/>
  <c r="AT1170" i="1"/>
  <c r="AQ1169" i="1"/>
  <c r="AT1166" i="1"/>
  <c r="AQ1165" i="1"/>
  <c r="AT1162" i="1"/>
  <c r="AQ1161" i="1"/>
  <c r="AT1158" i="1"/>
  <c r="AQ1157" i="1"/>
  <c r="AT1154" i="1"/>
  <c r="AQ1153" i="1"/>
  <c r="AT1150" i="1"/>
  <c r="AQ1149" i="1"/>
  <c r="AT1146" i="1"/>
  <c r="AQ1145" i="1"/>
  <c r="AT1142" i="1"/>
  <c r="AQ1141" i="1"/>
  <c r="AT1138" i="1"/>
  <c r="AQ1137" i="1"/>
  <c r="AT1134" i="1"/>
  <c r="AQ1133" i="1"/>
  <c r="AT1130" i="1"/>
  <c r="AQ1129" i="1"/>
  <c r="AT1126" i="1"/>
  <c r="AQ1125" i="1"/>
  <c r="AT1122" i="1"/>
  <c r="AQ1121" i="1"/>
  <c r="AT1118" i="1"/>
  <c r="AQ1117" i="1"/>
  <c r="AT1114" i="1"/>
  <c r="AQ1113" i="1"/>
  <c r="AT1110" i="1"/>
  <c r="AQ1109" i="1"/>
  <c r="AO1181" i="1"/>
  <c r="AR1174" i="1"/>
  <c r="AO1169" i="1"/>
  <c r="AO1165" i="1"/>
  <c r="AR1162" i="1"/>
  <c r="AR1154" i="1"/>
  <c r="AO1141" i="1"/>
  <c r="AO1137" i="1"/>
  <c r="AR1134" i="1"/>
  <c r="AO1129" i="1"/>
  <c r="AR1126" i="1"/>
  <c r="AO1121" i="1"/>
  <c r="AR1118" i="1"/>
  <c r="AO1113" i="1"/>
  <c r="AR1110" i="1"/>
  <c r="AS1182" i="1"/>
  <c r="AP1181" i="1"/>
  <c r="AS1178" i="1"/>
  <c r="AP1177" i="1"/>
  <c r="AS1174" i="1"/>
  <c r="AP1173" i="1"/>
  <c r="AS1170" i="1"/>
  <c r="AP1169" i="1"/>
  <c r="AS1166" i="1"/>
  <c r="AP1165" i="1"/>
  <c r="AS1162" i="1"/>
  <c r="AP1161" i="1"/>
  <c r="AS1158" i="1"/>
  <c r="AP1157" i="1"/>
  <c r="AS1154" i="1"/>
  <c r="AP1153" i="1"/>
  <c r="AS1150" i="1"/>
  <c r="AP1149" i="1"/>
  <c r="AS1146" i="1"/>
  <c r="AP1145" i="1"/>
  <c r="AS1142" i="1"/>
  <c r="AP1141" i="1"/>
  <c r="AS1138" i="1"/>
  <c r="AP1137" i="1"/>
  <c r="AS1134" i="1"/>
  <c r="AP1133" i="1"/>
  <c r="AS1130" i="1"/>
  <c r="AP1129" i="1"/>
  <c r="AS1126" i="1"/>
  <c r="AP1125" i="1"/>
  <c r="AS1122" i="1"/>
  <c r="AP1121" i="1"/>
  <c r="AS1118" i="1"/>
  <c r="AP1117" i="1"/>
  <c r="AS1114" i="1"/>
  <c r="AP1113" i="1"/>
  <c r="AS1110" i="1"/>
  <c r="AP1109" i="1"/>
  <c r="AR1182" i="1"/>
  <c r="AR1178" i="1"/>
  <c r="AO1177" i="1"/>
  <c r="AO1173" i="1"/>
  <c r="AR1170" i="1"/>
  <c r="AR1166" i="1"/>
  <c r="AO1161" i="1"/>
  <c r="AR1158" i="1"/>
  <c r="AO1157" i="1"/>
  <c r="AO1153" i="1"/>
  <c r="AR1150" i="1"/>
  <c r="AO1149" i="1"/>
  <c r="AR1146" i="1"/>
  <c r="AO1145" i="1"/>
  <c r="AR1142" i="1"/>
  <c r="AR1138" i="1"/>
  <c r="AO1133" i="1"/>
  <c r="AR1130" i="1"/>
  <c r="AO1125" i="1"/>
  <c r="AR1122" i="1"/>
  <c r="AO1117" i="1"/>
  <c r="AR1114" i="1"/>
  <c r="AO1109" i="1"/>
  <c r="AQ1182" i="1"/>
  <c r="AT1179" i="1"/>
  <c r="AQ1178" i="1"/>
  <c r="AT1175" i="1"/>
  <c r="AQ1174" i="1"/>
  <c r="AT1171" i="1"/>
  <c r="AQ1170" i="1"/>
  <c r="AT1167" i="1"/>
  <c r="AQ1166" i="1"/>
  <c r="AT1163" i="1"/>
  <c r="AQ1162" i="1"/>
  <c r="AT1159" i="1"/>
  <c r="AQ1158" i="1"/>
  <c r="AT1155" i="1"/>
  <c r="AQ1154" i="1"/>
  <c r="AT1151" i="1"/>
  <c r="AQ1150" i="1"/>
  <c r="AT1147" i="1"/>
  <c r="AQ1146" i="1"/>
  <c r="AT1143" i="1"/>
  <c r="AQ1142" i="1"/>
  <c r="AT1139" i="1"/>
  <c r="AQ1138" i="1"/>
  <c r="AT1135" i="1"/>
  <c r="AQ1134" i="1"/>
  <c r="AT1131" i="1"/>
  <c r="AQ1130" i="1"/>
  <c r="AT1127" i="1"/>
  <c r="AQ1126" i="1"/>
  <c r="AT1123" i="1"/>
  <c r="AQ1122" i="1"/>
  <c r="AT1119" i="1"/>
  <c r="AQ1118" i="1"/>
  <c r="AT1115" i="1"/>
  <c r="AQ1114" i="1"/>
  <c r="AT1111" i="1"/>
  <c r="AQ1110" i="1"/>
  <c r="AT1107" i="1"/>
  <c r="AP1182" i="1"/>
  <c r="AS1179" i="1"/>
  <c r="AP1178" i="1"/>
  <c r="AS1175" i="1"/>
  <c r="AP1174" i="1"/>
  <c r="AS1171" i="1"/>
  <c r="AP1170" i="1"/>
  <c r="AS1167" i="1"/>
  <c r="AP1166" i="1"/>
  <c r="AS1163" i="1"/>
  <c r="AP1162" i="1"/>
  <c r="AS1159" i="1"/>
  <c r="AP1158" i="1"/>
  <c r="AS1155" i="1"/>
  <c r="AP1154" i="1"/>
  <c r="AS1151" i="1"/>
  <c r="AP1150" i="1"/>
  <c r="AS1147" i="1"/>
  <c r="AP1146" i="1"/>
  <c r="AS1143" i="1"/>
  <c r="AP1142" i="1"/>
  <c r="AO1182" i="1"/>
  <c r="AQ1180" i="1"/>
  <c r="AP1176" i="1"/>
  <c r="AO1172" i="1"/>
  <c r="AT1165" i="1"/>
  <c r="AR1163" i="1"/>
  <c r="AS1161" i="1"/>
  <c r="AQ1159" i="1"/>
  <c r="AR1157" i="1"/>
  <c r="AP1155" i="1"/>
  <c r="AO1151" i="1"/>
  <c r="AT1144" i="1"/>
  <c r="AS1140" i="1"/>
  <c r="AT1136" i="1"/>
  <c r="AO1131" i="1"/>
  <c r="AP1127" i="1"/>
  <c r="AR1125" i="1"/>
  <c r="AQ1123" i="1"/>
  <c r="AS1121" i="1"/>
  <c r="AR1119" i="1"/>
  <c r="AT1117" i="1"/>
  <c r="AS1115" i="1"/>
  <c r="AO1108" i="1"/>
  <c r="AP1180" i="1"/>
  <c r="AO1176" i="1"/>
  <c r="AT1169" i="1"/>
  <c r="AR1167" i="1"/>
  <c r="AS1165" i="1"/>
  <c r="AQ1163" i="1"/>
  <c r="AR1161" i="1"/>
  <c r="AP1159" i="1"/>
  <c r="AO1155" i="1"/>
  <c r="AT1148" i="1"/>
  <c r="AS1144" i="1"/>
  <c r="AR1140" i="1"/>
  <c r="AS1136" i="1"/>
  <c r="AT1132" i="1"/>
  <c r="AO1127" i="1"/>
  <c r="AP1123" i="1"/>
  <c r="AR1121" i="1"/>
  <c r="AQ1119" i="1"/>
  <c r="AS1117" i="1"/>
  <c r="AR1115" i="1"/>
  <c r="AT1113" i="1"/>
  <c r="AS1111" i="1"/>
  <c r="AO1180" i="1"/>
  <c r="AT1173" i="1"/>
  <c r="AR1171" i="1"/>
  <c r="AS1169" i="1"/>
  <c r="AQ1167" i="1"/>
  <c r="AR1165" i="1"/>
  <c r="AP1163" i="1"/>
  <c r="AO1159" i="1"/>
  <c r="AT1152" i="1"/>
  <c r="AS1148" i="1"/>
  <c r="AR1144" i="1"/>
  <c r="AO1142" i="1"/>
  <c r="AQ1140" i="1"/>
  <c r="AP1138" i="1"/>
  <c r="AR1136" i="1"/>
  <c r="AS1132" i="1"/>
  <c r="AT1128" i="1"/>
  <c r="AO1123" i="1"/>
  <c r="AP1119" i="1"/>
  <c r="AR1117" i="1"/>
  <c r="AQ1115" i="1"/>
  <c r="AS1113" i="1"/>
  <c r="AR1111" i="1"/>
  <c r="AT1109" i="1"/>
  <c r="AT1177" i="1"/>
  <c r="AR1175" i="1"/>
  <c r="AS1173" i="1"/>
  <c r="AQ1171" i="1"/>
  <c r="AR1169" i="1"/>
  <c r="AP1167" i="1"/>
  <c r="AO1163" i="1"/>
  <c r="AT1156" i="1"/>
  <c r="AS1152" i="1"/>
  <c r="AR1148" i="1"/>
  <c r="AO1146" i="1"/>
  <c r="AQ1144" i="1"/>
  <c r="AP1140" i="1"/>
  <c r="AO1138" i="1"/>
  <c r="AQ1136" i="1"/>
  <c r="AP1134" i="1"/>
  <c r="AR1132" i="1"/>
  <c r="AS1128" i="1"/>
  <c r="AT1124" i="1"/>
  <c r="AO1119" i="1"/>
  <c r="AP1115" i="1"/>
  <c r="AR1113" i="1"/>
  <c r="AQ1111" i="1"/>
  <c r="AS1109" i="1"/>
  <c r="AS1107" i="1"/>
  <c r="AT1181" i="1"/>
  <c r="AQ1175" i="1"/>
  <c r="AR1173" i="1"/>
  <c r="AP1171" i="1"/>
  <c r="AO1167" i="1"/>
  <c r="AT1160" i="1"/>
  <c r="AS1156" i="1"/>
  <c r="AR1152" i="1"/>
  <c r="AO1150" i="1"/>
  <c r="AQ1148" i="1"/>
  <c r="AP1144" i="1"/>
  <c r="AR1179" i="1"/>
  <c r="AS1177" i="1"/>
  <c r="AS1181" i="1"/>
  <c r="AR1181" i="1"/>
  <c r="AT1180" i="1"/>
  <c r="AS1180" i="1"/>
  <c r="AR1180" i="1"/>
  <c r="AR1177" i="1"/>
  <c r="AO1171" i="1"/>
  <c r="AQ1168" i="1"/>
  <c r="AT1164" i="1"/>
  <c r="AO1158" i="1"/>
  <c r="AR1155" i="1"/>
  <c r="AP1152" i="1"/>
  <c r="AS1149" i="1"/>
  <c r="AS1139" i="1"/>
  <c r="AR1137" i="1"/>
  <c r="AO1134" i="1"/>
  <c r="AS1131" i="1"/>
  <c r="AS1129" i="1"/>
  <c r="AP1124" i="1"/>
  <c r="AT1121" i="1"/>
  <c r="AP1116" i="1"/>
  <c r="AP1108" i="1"/>
  <c r="AS1172" i="1"/>
  <c r="AO1166" i="1"/>
  <c r="AO1160" i="1"/>
  <c r="AR1156" i="1"/>
  <c r="AT1153" i="1"/>
  <c r="AQ1147" i="1"/>
  <c r="AR1135" i="1"/>
  <c r="AO1130" i="1"/>
  <c r="AS1125" i="1"/>
  <c r="AP1122" i="1"/>
  <c r="AO1120" i="1"/>
  <c r="AP1114" i="1"/>
  <c r="AP1175" i="1"/>
  <c r="AR1172" i="1"/>
  <c r="AQ1156" i="1"/>
  <c r="AS1153" i="1"/>
  <c r="AP1147" i="1"/>
  <c r="AR1143" i="1"/>
  <c r="AQ1135" i="1"/>
  <c r="AQ1132" i="1"/>
  <c r="AS1127" i="1"/>
  <c r="AO1122" i="1"/>
  <c r="AT1116" i="1"/>
  <c r="AO1114" i="1"/>
  <c r="AP1111" i="1"/>
  <c r="AT1108" i="1"/>
  <c r="AO1175" i="1"/>
  <c r="AQ1172" i="1"/>
  <c r="AT1168" i="1"/>
  <c r="AO1162" i="1"/>
  <c r="AR1159" i="1"/>
  <c r="AP1156" i="1"/>
  <c r="AR1153" i="1"/>
  <c r="AO1147" i="1"/>
  <c r="AQ1143" i="1"/>
  <c r="AT1140" i="1"/>
  <c r="AP1135" i="1"/>
  <c r="AP1132" i="1"/>
  <c r="AS1124" i="1"/>
  <c r="AS1119" i="1"/>
  <c r="AS1116" i="1"/>
  <c r="AO1111" i="1"/>
  <c r="AS1108" i="1"/>
  <c r="AP1172" i="1"/>
  <c r="AS1168" i="1"/>
  <c r="AO1156" i="1"/>
  <c r="AP1143" i="1"/>
  <c r="AO1140" i="1"/>
  <c r="AT1137" i="1"/>
  <c r="AO1135" i="1"/>
  <c r="AO1132" i="1"/>
  <c r="AQ1127" i="1"/>
  <c r="AR1124" i="1"/>
  <c r="AR1116" i="1"/>
  <c r="AR1108" i="1"/>
  <c r="AR1168" i="1"/>
  <c r="AQ1152" i="1"/>
  <c r="AT1149" i="1"/>
  <c r="AO1143" i="1"/>
  <c r="AS1137" i="1"/>
  <c r="AT1129" i="1"/>
  <c r="AQ1124" i="1"/>
  <c r="AQ1116" i="1"/>
  <c r="AQ1108" i="1"/>
  <c r="AO1174" i="1"/>
  <c r="AP1168" i="1"/>
  <c r="AS1164" i="1"/>
  <c r="AT1161" i="1"/>
  <c r="AQ1155" i="1"/>
  <c r="AO1152" i="1"/>
  <c r="AR1149" i="1"/>
  <c r="AT1145" i="1"/>
  <c r="AR1139" i="1"/>
  <c r="AR1131" i="1"/>
  <c r="AR1129" i="1"/>
  <c r="AP1126" i="1"/>
  <c r="AO1124" i="1"/>
  <c r="AP1118" i="1"/>
  <c r="AO1116" i="1"/>
  <c r="AT1112" i="1"/>
  <c r="AP1110" i="1"/>
  <c r="AS1176" i="1"/>
  <c r="AO1170" i="1"/>
  <c r="AP1164" i="1"/>
  <c r="AR1160" i="1"/>
  <c r="AT1157" i="1"/>
  <c r="AO1148" i="1"/>
  <c r="AO1136" i="1"/>
  <c r="AT1133" i="1"/>
  <c r="AQ1128" i="1"/>
  <c r="AQ1112" i="1"/>
  <c r="AP1107" i="1"/>
  <c r="AP1179" i="1"/>
  <c r="AO1164" i="1"/>
  <c r="AQ1160" i="1"/>
  <c r="AS1157" i="1"/>
  <c r="AP1151" i="1"/>
  <c r="AS1141" i="1"/>
  <c r="AS1133" i="1"/>
  <c r="AP1128" i="1"/>
  <c r="AQ1120" i="1"/>
  <c r="AP1112" i="1"/>
  <c r="AR1109" i="1"/>
  <c r="AO1107" i="1"/>
  <c r="AO1179" i="1"/>
  <c r="AQ1176" i="1"/>
  <c r="AT1172" i="1"/>
  <c r="AP1160" i="1"/>
  <c r="AR1147" i="1"/>
  <c r="AO1144" i="1"/>
  <c r="AR1141" i="1"/>
  <c r="AS1135" i="1"/>
  <c r="AR1133" i="1"/>
  <c r="AP1130" i="1"/>
  <c r="AO1128" i="1"/>
  <c r="AT1125" i="1"/>
  <c r="AP1120" i="1"/>
  <c r="AO1112" i="1"/>
  <c r="AR1127" i="1"/>
  <c r="AO1168" i="1"/>
  <c r="AR1164" i="1"/>
  <c r="AS1145" i="1"/>
  <c r="AQ1139" i="1"/>
  <c r="AQ1131" i="1"/>
  <c r="AO1126" i="1"/>
  <c r="AT1120" i="1"/>
  <c r="AO1118" i="1"/>
  <c r="AS1112" i="1"/>
  <c r="AO1110" i="1"/>
  <c r="AR1107" i="1"/>
  <c r="AT1176" i="1"/>
  <c r="AQ1164" i="1"/>
  <c r="AS1160" i="1"/>
  <c r="AO1154" i="1"/>
  <c r="AR1151" i="1"/>
  <c r="AP1148" i="1"/>
  <c r="AR1145" i="1"/>
  <c r="AP1139" i="1"/>
  <c r="AP1136" i="1"/>
  <c r="AP1131" i="1"/>
  <c r="AR1128" i="1"/>
  <c r="AS1123" i="1"/>
  <c r="AS1120" i="1"/>
  <c r="AO1115" i="1"/>
  <c r="AR1112" i="1"/>
  <c r="AQ1107" i="1"/>
  <c r="AQ1179" i="1"/>
  <c r="AQ1151" i="1"/>
  <c r="AT1141" i="1"/>
  <c r="AO1139" i="1"/>
  <c r="AR1123" i="1"/>
  <c r="AR1120" i="1"/>
  <c r="AR1176" i="1"/>
  <c r="AO1178" i="1"/>
  <c r="AT1106" i="1"/>
  <c r="AQ1105" i="1"/>
  <c r="AT1102" i="1"/>
  <c r="AQ1101" i="1"/>
  <c r="AT1098" i="1"/>
  <c r="AQ1097" i="1"/>
  <c r="AT1094" i="1"/>
  <c r="AQ1093" i="1"/>
  <c r="AT1090" i="1"/>
  <c r="AQ1089" i="1"/>
  <c r="AT1086" i="1"/>
  <c r="AQ1085" i="1"/>
  <c r="AT1082" i="1"/>
  <c r="AQ1081" i="1"/>
  <c r="AT1078" i="1"/>
  <c r="AQ1077" i="1"/>
  <c r="AT1074" i="1"/>
  <c r="AQ1073" i="1"/>
  <c r="AT1070" i="1"/>
  <c r="AQ1069" i="1"/>
  <c r="AT1066" i="1"/>
  <c r="AQ1065" i="1"/>
  <c r="AT1062" i="1"/>
  <c r="AQ1061" i="1"/>
  <c r="AT1058" i="1"/>
  <c r="AQ1057" i="1"/>
  <c r="AT1054" i="1"/>
  <c r="AQ1053" i="1"/>
  <c r="AT1050" i="1"/>
  <c r="AQ1049" i="1"/>
  <c r="AT1046" i="1"/>
  <c r="AQ1045" i="1"/>
  <c r="AT1042" i="1"/>
  <c r="AQ1041" i="1"/>
  <c r="AT1038" i="1"/>
  <c r="AQ1037" i="1"/>
  <c r="AT1034" i="1"/>
  <c r="AQ1033" i="1"/>
  <c r="AS1106" i="1"/>
  <c r="AP1105" i="1"/>
  <c r="AS1102" i="1"/>
  <c r="AP1101" i="1"/>
  <c r="AS1098" i="1"/>
  <c r="AP1097" i="1"/>
  <c r="AS1094" i="1"/>
  <c r="AP1093" i="1"/>
  <c r="AS1090" i="1"/>
  <c r="AP1089" i="1"/>
  <c r="AS1086" i="1"/>
  <c r="AP1085" i="1"/>
  <c r="AS1082" i="1"/>
  <c r="AP1081" i="1"/>
  <c r="AS1078" i="1"/>
  <c r="AP1077" i="1"/>
  <c r="AS1074" i="1"/>
  <c r="AP1073" i="1"/>
  <c r="AS1070" i="1"/>
  <c r="AP1069" i="1"/>
  <c r="AS1066" i="1"/>
  <c r="AP1065" i="1"/>
  <c r="AS1062" i="1"/>
  <c r="AP1061" i="1"/>
  <c r="AS1058" i="1"/>
  <c r="AP1057" i="1"/>
  <c r="AS1054" i="1"/>
  <c r="AP1053" i="1"/>
  <c r="AS1050" i="1"/>
  <c r="AP1049" i="1"/>
  <c r="AS1046" i="1"/>
  <c r="AP1045" i="1"/>
  <c r="AS1042" i="1"/>
  <c r="AP1041" i="1"/>
  <c r="AS1038" i="1"/>
  <c r="AP1037" i="1"/>
  <c r="AS1034" i="1"/>
  <c r="AP1033" i="1"/>
  <c r="AR1106" i="1"/>
  <c r="AO1105" i="1"/>
  <c r="AR1102" i="1"/>
  <c r="AO1101" i="1"/>
  <c r="AR1098" i="1"/>
  <c r="AO1097" i="1"/>
  <c r="AR1094" i="1"/>
  <c r="AO1093" i="1"/>
  <c r="AR1090" i="1"/>
  <c r="AO1089" i="1"/>
  <c r="AR1086" i="1"/>
  <c r="AO1085" i="1"/>
  <c r="AR1082" i="1"/>
  <c r="AO1081" i="1"/>
  <c r="AR1078" i="1"/>
  <c r="AO1077" i="1"/>
  <c r="AR1074" i="1"/>
  <c r="AO1073" i="1"/>
  <c r="AR1070" i="1"/>
  <c r="AO1069" i="1"/>
  <c r="AR1066" i="1"/>
  <c r="AO1065" i="1"/>
  <c r="AR1062" i="1"/>
  <c r="AO1061" i="1"/>
  <c r="AR1058" i="1"/>
  <c r="AO1057" i="1"/>
  <c r="AR1054" i="1"/>
  <c r="AO1053" i="1"/>
  <c r="AR1050" i="1"/>
  <c r="AO1049" i="1"/>
  <c r="AR1046" i="1"/>
  <c r="AO1045" i="1"/>
  <c r="AR1042" i="1"/>
  <c r="AO1041" i="1"/>
  <c r="AR1038" i="1"/>
  <c r="AO1037" i="1"/>
  <c r="AR1034" i="1"/>
  <c r="AO1033" i="1"/>
  <c r="AQ1106" i="1"/>
  <c r="AT1103" i="1"/>
  <c r="AQ1102" i="1"/>
  <c r="AT1099" i="1"/>
  <c r="AQ1098" i="1"/>
  <c r="AT1095" i="1"/>
  <c r="AQ1094" i="1"/>
  <c r="AT1091" i="1"/>
  <c r="AQ1090" i="1"/>
  <c r="AT1087" i="1"/>
  <c r="AQ1086" i="1"/>
  <c r="AT1083" i="1"/>
  <c r="AQ1082" i="1"/>
  <c r="AT1079" i="1"/>
  <c r="AQ1078" i="1"/>
  <c r="AT1075" i="1"/>
  <c r="AQ1074" i="1"/>
  <c r="AT1071" i="1"/>
  <c r="AQ1070" i="1"/>
  <c r="AT1067" i="1"/>
  <c r="AQ1066" i="1"/>
  <c r="AT1063" i="1"/>
  <c r="AQ1062" i="1"/>
  <c r="AT1059" i="1"/>
  <c r="AQ1058" i="1"/>
  <c r="AT1055" i="1"/>
  <c r="AQ1054" i="1"/>
  <c r="AT1051" i="1"/>
  <c r="AQ1050" i="1"/>
  <c r="AT1047" i="1"/>
  <c r="AQ1046" i="1"/>
  <c r="AT1043" i="1"/>
  <c r="AQ1042" i="1"/>
  <c r="AT1039" i="1"/>
  <c r="AQ1038" i="1"/>
  <c r="AT1035" i="1"/>
  <c r="AQ1034" i="1"/>
  <c r="AT1031" i="1"/>
  <c r="AP1106" i="1"/>
  <c r="AS1099" i="1"/>
  <c r="AP1098" i="1"/>
  <c r="AS1095" i="1"/>
  <c r="AP1094" i="1"/>
  <c r="AS1091" i="1"/>
  <c r="AP1090" i="1"/>
  <c r="AS1087" i="1"/>
  <c r="AP1086" i="1"/>
  <c r="AS1083" i="1"/>
  <c r="AP1082" i="1"/>
  <c r="AS1079" i="1"/>
  <c r="AP1078" i="1"/>
  <c r="AS1075" i="1"/>
  <c r="AP1074" i="1"/>
  <c r="AS1071" i="1"/>
  <c r="AP1070" i="1"/>
  <c r="AS1067" i="1"/>
  <c r="AP1066" i="1"/>
  <c r="AS1063" i="1"/>
  <c r="AP1062" i="1"/>
  <c r="AO1106" i="1"/>
  <c r="AQ1104" i="1"/>
  <c r="AP1102" i="1"/>
  <c r="AR1100" i="1"/>
  <c r="AO1098" i="1"/>
  <c r="AQ1096" i="1"/>
  <c r="AP1092" i="1"/>
  <c r="AO1088" i="1"/>
  <c r="AT1081" i="1"/>
  <c r="AR1079" i="1"/>
  <c r="AS1077" i="1"/>
  <c r="AQ1075" i="1"/>
  <c r="AR1073" i="1"/>
  <c r="AP1071" i="1"/>
  <c r="AO1067" i="1"/>
  <c r="AT1060" i="1"/>
  <c r="AO1055" i="1"/>
  <c r="AP1051" i="1"/>
  <c r="AR1049" i="1"/>
  <c r="AQ1047" i="1"/>
  <c r="AS1045" i="1"/>
  <c r="AR1043" i="1"/>
  <c r="AT1041" i="1"/>
  <c r="AS1039" i="1"/>
  <c r="AO1032" i="1"/>
  <c r="AO1100" i="1"/>
  <c r="AT1093" i="1"/>
  <c r="AR1091" i="1"/>
  <c r="AS1089" i="1"/>
  <c r="AQ1087" i="1"/>
  <c r="AP1083" i="1"/>
  <c r="AO1079" i="1"/>
  <c r="AT1072" i="1"/>
  <c r="AS1068" i="1"/>
  <c r="AO1062" i="1"/>
  <c r="AP1058" i="1"/>
  <c r="AS1052" i="1"/>
  <c r="AT1048" i="1"/>
  <c r="AT1105" i="1"/>
  <c r="AT1097" i="1"/>
  <c r="AR1095" i="1"/>
  <c r="AS1093" i="1"/>
  <c r="AQ1091" i="1"/>
  <c r="AR1089" i="1"/>
  <c r="AP1087" i="1"/>
  <c r="AT1076" i="1"/>
  <c r="AP1104" i="1"/>
  <c r="AO1102" i="1"/>
  <c r="AQ1100" i="1"/>
  <c r="AP1096" i="1"/>
  <c r="AO1092" i="1"/>
  <c r="AT1085" i="1"/>
  <c r="AR1083" i="1"/>
  <c r="AS1081" i="1"/>
  <c r="AQ1079" i="1"/>
  <c r="AR1077" i="1"/>
  <c r="AP1075" i="1"/>
  <c r="AO1071" i="1"/>
  <c r="AT1064" i="1"/>
  <c r="AS1060" i="1"/>
  <c r="AT1056" i="1"/>
  <c r="AO1051" i="1"/>
  <c r="AP1047" i="1"/>
  <c r="AR1045" i="1"/>
  <c r="AQ1043" i="1"/>
  <c r="AS1041" i="1"/>
  <c r="AR1039" i="1"/>
  <c r="AT1037" i="1"/>
  <c r="AS1035" i="1"/>
  <c r="AO1104" i="1"/>
  <c r="AP1100" i="1"/>
  <c r="AO1096" i="1"/>
  <c r="AT1089" i="1"/>
  <c r="AR1087" i="1"/>
  <c r="AS1085" i="1"/>
  <c r="AQ1083" i="1"/>
  <c r="AR1081" i="1"/>
  <c r="AP1079" i="1"/>
  <c r="AO1075" i="1"/>
  <c r="AT1068" i="1"/>
  <c r="AS1064" i="1"/>
  <c r="AR1060" i="1"/>
  <c r="AS1056" i="1"/>
  <c r="AT1052" i="1"/>
  <c r="AO1047" i="1"/>
  <c r="AP1043" i="1"/>
  <c r="AR1041" i="1"/>
  <c r="AQ1039" i="1"/>
  <c r="AS1037" i="1"/>
  <c r="AR1035" i="1"/>
  <c r="AT1033" i="1"/>
  <c r="AS1031" i="1"/>
  <c r="AR1085" i="1"/>
  <c r="AR1064" i="1"/>
  <c r="AQ1060" i="1"/>
  <c r="AR1056" i="1"/>
  <c r="AO1043" i="1"/>
  <c r="AP1039" i="1"/>
  <c r="AR1037" i="1"/>
  <c r="AQ1035" i="1"/>
  <c r="AS1033" i="1"/>
  <c r="AR1031" i="1"/>
  <c r="AS1103" i="1"/>
  <c r="AO1083" i="1"/>
  <c r="AS1072" i="1"/>
  <c r="AS1105" i="1"/>
  <c r="AR1103" i="1"/>
  <c r="AT1101" i="1"/>
  <c r="AR1099" i="1"/>
  <c r="AS1097" i="1"/>
  <c r="AQ1095" i="1"/>
  <c r="AR1093" i="1"/>
  <c r="AP1091" i="1"/>
  <c r="AO1087" i="1"/>
  <c r="AT1080" i="1"/>
  <c r="AS1076" i="1"/>
  <c r="AR1072" i="1"/>
  <c r="AO1070" i="1"/>
  <c r="AQ1068" i="1"/>
  <c r="AP1064" i="1"/>
  <c r="AO1060" i="1"/>
  <c r="AP1056" i="1"/>
  <c r="AO1054" i="1"/>
  <c r="AQ1052" i="1"/>
  <c r="AP1050" i="1"/>
  <c r="AR1048" i="1"/>
  <c r="AS1044" i="1"/>
  <c r="AT1040" i="1"/>
  <c r="AO1035" i="1"/>
  <c r="AP1031" i="1"/>
  <c r="AR1105" i="1"/>
  <c r="AQ1103" i="1"/>
  <c r="AS1101" i="1"/>
  <c r="AQ1099" i="1"/>
  <c r="AR1097" i="1"/>
  <c r="AP1095" i="1"/>
  <c r="AO1091" i="1"/>
  <c r="AT1084" i="1"/>
  <c r="AS1080" i="1"/>
  <c r="AR1076" i="1"/>
  <c r="AO1074" i="1"/>
  <c r="AQ1072" i="1"/>
  <c r="AP1068" i="1"/>
  <c r="AO1064" i="1"/>
  <c r="AO1056" i="1"/>
  <c r="AP1052" i="1"/>
  <c r="AO1050" i="1"/>
  <c r="AQ1048" i="1"/>
  <c r="AP1046" i="1"/>
  <c r="AR1044" i="1"/>
  <c r="AS1040" i="1"/>
  <c r="AT1036" i="1"/>
  <c r="AO1031" i="1"/>
  <c r="AO1090" i="1"/>
  <c r="AO1086" i="1"/>
  <c r="AO1082" i="1"/>
  <c r="AO1078" i="1"/>
  <c r="AP1063" i="1"/>
  <c r="AS1057" i="1"/>
  <c r="AR1047" i="1"/>
  <c r="AQ1040" i="1"/>
  <c r="AS1036" i="1"/>
  <c r="AT1092" i="1"/>
  <c r="AP1084" i="1"/>
  <c r="AR1101" i="1"/>
  <c r="AO1066" i="1"/>
  <c r="AO1063" i="1"/>
  <c r="AS1059" i="1"/>
  <c r="AR1057" i="1"/>
  <c r="AT1053" i="1"/>
  <c r="AS1043" i="1"/>
  <c r="AP1040" i="1"/>
  <c r="AR1036" i="1"/>
  <c r="AR1033" i="1"/>
  <c r="AS1096" i="1"/>
  <c r="AQ1088" i="1"/>
  <c r="AT1069" i="1"/>
  <c r="AR1059" i="1"/>
  <c r="AS1053" i="1"/>
  <c r="AO1046" i="1"/>
  <c r="AO1040" i="1"/>
  <c r="AQ1036" i="1"/>
  <c r="AT1096" i="1"/>
  <c r="AT1073" i="1"/>
  <c r="AS1069" i="1"/>
  <c r="AQ1059" i="1"/>
  <c r="AQ1056" i="1"/>
  <c r="AR1053" i="1"/>
  <c r="AP1036" i="1"/>
  <c r="AT1032" i="1"/>
  <c r="AT1100" i="1"/>
  <c r="AT1088" i="1"/>
  <c r="AS1084" i="1"/>
  <c r="AT1077" i="1"/>
  <c r="AS1073" i="1"/>
  <c r="AR1069" i="1"/>
  <c r="AT1065" i="1"/>
  <c r="AP1059" i="1"/>
  <c r="AT1049" i="1"/>
  <c r="AP1042" i="1"/>
  <c r="AO1039" i="1"/>
  <c r="AO1036" i="1"/>
  <c r="AS1032" i="1"/>
  <c r="AQ1092" i="1"/>
  <c r="AP1080" i="1"/>
  <c r="AP1076" i="1"/>
  <c r="AO1072" i="1"/>
  <c r="AO1068" i="1"/>
  <c r="AS1061" i="1"/>
  <c r="AQ1055" i="1"/>
  <c r="AS1048" i="1"/>
  <c r="AP1038" i="1"/>
  <c r="AP1032" i="1"/>
  <c r="AO1099" i="1"/>
  <c r="AP1088" i="1"/>
  <c r="AO1084" i="1"/>
  <c r="AO1080" i="1"/>
  <c r="AO1076" i="1"/>
  <c r="AQ1064" i="1"/>
  <c r="AR1061" i="1"/>
  <c r="AO1058" i="1"/>
  <c r="AP1055" i="1"/>
  <c r="AS1051" i="1"/>
  <c r="AP1048" i="1"/>
  <c r="AT1044" i="1"/>
  <c r="AO1038" i="1"/>
  <c r="AR1071" i="1"/>
  <c r="AR1067" i="1"/>
  <c r="AR1051" i="1"/>
  <c r="AO1048" i="1"/>
  <c r="AQ1044" i="1"/>
  <c r="AP1034" i="1"/>
  <c r="AQ1031" i="1"/>
  <c r="AR1075" i="1"/>
  <c r="AQ1071" i="1"/>
  <c r="AQ1067" i="1"/>
  <c r="AR1063" i="1"/>
  <c r="AP1054" i="1"/>
  <c r="AQ1051" i="1"/>
  <c r="AP1044" i="1"/>
  <c r="AT1104" i="1"/>
  <c r="AS1104" i="1"/>
  <c r="AR1104" i="1"/>
  <c r="AS1100" i="1"/>
  <c r="AR1096" i="1"/>
  <c r="AS1092" i="1"/>
  <c r="AS1088" i="1"/>
  <c r="AR1084" i="1"/>
  <c r="AR1080" i="1"/>
  <c r="AS1065" i="1"/>
  <c r="AO1059" i="1"/>
  <c r="AS1055" i="1"/>
  <c r="AR1052" i="1"/>
  <c r="AS1049" i="1"/>
  <c r="AO1042" i="1"/>
  <c r="AR1032" i="1"/>
  <c r="AR1092" i="1"/>
  <c r="AR1088" i="1"/>
  <c r="AQ1084" i="1"/>
  <c r="AQ1080" i="1"/>
  <c r="AQ1076" i="1"/>
  <c r="AP1072" i="1"/>
  <c r="AR1068" i="1"/>
  <c r="AR1065" i="1"/>
  <c r="AT1061" i="1"/>
  <c r="AR1055" i="1"/>
  <c r="AO1052" i="1"/>
  <c r="AT1045" i="1"/>
  <c r="AP1035" i="1"/>
  <c r="AQ1032" i="1"/>
  <c r="AP1103" i="1"/>
  <c r="AO1095" i="1"/>
  <c r="AP1099" i="1"/>
  <c r="AO1103" i="1"/>
  <c r="AP1067" i="1"/>
  <c r="AR1040" i="1"/>
  <c r="AO1094" i="1"/>
  <c r="AS1047" i="1"/>
  <c r="AT1057" i="1"/>
  <c r="AQ1063" i="1"/>
  <c r="AO1044" i="1"/>
  <c r="AO1034" i="1"/>
  <c r="AP1060" i="1"/>
  <c r="AT1030" i="1"/>
  <c r="AQ1029" i="1"/>
  <c r="AT1026" i="1"/>
  <c r="AQ1025" i="1"/>
  <c r="AT1022" i="1"/>
  <c r="AQ1021" i="1"/>
  <c r="AT1018" i="1"/>
  <c r="AQ1017" i="1"/>
  <c r="AT1014" i="1"/>
  <c r="AQ1013" i="1"/>
  <c r="AT1010" i="1"/>
  <c r="AQ1009" i="1"/>
  <c r="AT1006" i="1"/>
  <c r="AQ1005" i="1"/>
  <c r="AT1002" i="1"/>
  <c r="AQ1001" i="1"/>
  <c r="AT998" i="1"/>
  <c r="AQ997" i="1"/>
  <c r="AT994" i="1"/>
  <c r="AQ993" i="1"/>
  <c r="AT990" i="1"/>
  <c r="AQ989" i="1"/>
  <c r="AT986" i="1"/>
  <c r="AQ985" i="1"/>
  <c r="AT982" i="1"/>
  <c r="AQ981" i="1"/>
  <c r="AT978" i="1"/>
  <c r="AQ977" i="1"/>
  <c r="AT974" i="1"/>
  <c r="AQ973" i="1"/>
  <c r="AT970" i="1"/>
  <c r="AQ969" i="1"/>
  <c r="AT966" i="1"/>
  <c r="AQ965" i="1"/>
  <c r="AT962" i="1"/>
  <c r="AQ961" i="1"/>
  <c r="AT958" i="1"/>
  <c r="AQ957" i="1"/>
  <c r="AS1030" i="1"/>
  <c r="AP1029" i="1"/>
  <c r="AS1026" i="1"/>
  <c r="AP1025" i="1"/>
  <c r="AS1022" i="1"/>
  <c r="AP1021" i="1"/>
  <c r="AS1018" i="1"/>
  <c r="AP1017" i="1"/>
  <c r="AS1014" i="1"/>
  <c r="AP1013" i="1"/>
  <c r="AS1010" i="1"/>
  <c r="AP1009" i="1"/>
  <c r="AS1006" i="1"/>
  <c r="AP1005" i="1"/>
  <c r="AS1002" i="1"/>
  <c r="AP1001" i="1"/>
  <c r="AS998" i="1"/>
  <c r="AP997" i="1"/>
  <c r="AS994" i="1"/>
  <c r="AP993" i="1"/>
  <c r="AS990" i="1"/>
  <c r="AP989" i="1"/>
  <c r="AS986" i="1"/>
  <c r="AP985" i="1"/>
  <c r="AS982" i="1"/>
  <c r="AP981" i="1"/>
  <c r="AS978" i="1"/>
  <c r="AP977" i="1"/>
  <c r="AS974" i="1"/>
  <c r="AP973" i="1"/>
  <c r="AS970" i="1"/>
  <c r="AP969" i="1"/>
  <c r="AS966" i="1"/>
  <c r="AP965" i="1"/>
  <c r="AS962" i="1"/>
  <c r="AP961" i="1"/>
  <c r="AS958" i="1"/>
  <c r="AP957" i="1"/>
  <c r="AR1030" i="1"/>
  <c r="AO1029" i="1"/>
  <c r="AR1026" i="1"/>
  <c r="AO1025" i="1"/>
  <c r="AR1022" i="1"/>
  <c r="AO1021" i="1"/>
  <c r="AR1018" i="1"/>
  <c r="AO1017" i="1"/>
  <c r="AR1014" i="1"/>
  <c r="AO1013" i="1"/>
  <c r="AR1010" i="1"/>
  <c r="AO1009" i="1"/>
  <c r="AR1006" i="1"/>
  <c r="AO1005" i="1"/>
  <c r="AR1002" i="1"/>
  <c r="AO1001" i="1"/>
  <c r="AR998" i="1"/>
  <c r="AO997" i="1"/>
  <c r="AR994" i="1"/>
  <c r="AO993" i="1"/>
  <c r="AR990" i="1"/>
  <c r="AO989" i="1"/>
  <c r="AR986" i="1"/>
  <c r="AO985" i="1"/>
  <c r="AR982" i="1"/>
  <c r="AO981" i="1"/>
  <c r="AR978" i="1"/>
  <c r="AO977" i="1"/>
  <c r="AR974" i="1"/>
  <c r="AO973" i="1"/>
  <c r="AR970" i="1"/>
  <c r="AO969" i="1"/>
  <c r="AR966" i="1"/>
  <c r="AO965" i="1"/>
  <c r="AR962" i="1"/>
  <c r="AO961" i="1"/>
  <c r="AR958" i="1"/>
  <c r="AO957" i="1"/>
  <c r="AQ1030" i="1"/>
  <c r="AT1027" i="1"/>
  <c r="AQ1026" i="1"/>
  <c r="AT1023" i="1"/>
  <c r="AQ1022" i="1"/>
  <c r="AT1019" i="1"/>
  <c r="AQ1018" i="1"/>
  <c r="AT1015" i="1"/>
  <c r="AQ1014" i="1"/>
  <c r="AT1011" i="1"/>
  <c r="AQ1010" i="1"/>
  <c r="AT1007" i="1"/>
  <c r="AQ1006" i="1"/>
  <c r="AT1003" i="1"/>
  <c r="AQ1002" i="1"/>
  <c r="AT999" i="1"/>
  <c r="AQ998" i="1"/>
  <c r="AP1030" i="1"/>
  <c r="AR1028" i="1"/>
  <c r="AT1024" i="1"/>
  <c r="AO1023" i="1"/>
  <c r="AQ1019" i="1"/>
  <c r="AS1017" i="1"/>
  <c r="AS1015" i="1"/>
  <c r="AP1008" i="1"/>
  <c r="AP1006" i="1"/>
  <c r="AR1004" i="1"/>
  <c r="AT1000" i="1"/>
  <c r="AO999" i="1"/>
  <c r="AR995" i="1"/>
  <c r="AO992" i="1"/>
  <c r="AQ990" i="1"/>
  <c r="AT988" i="1"/>
  <c r="AP987" i="1"/>
  <c r="AS985" i="1"/>
  <c r="AO982" i="1"/>
  <c r="AR980" i="1"/>
  <c r="AS975" i="1"/>
  <c r="AP972" i="1"/>
  <c r="AQ967" i="1"/>
  <c r="AT965" i="1"/>
  <c r="AP962" i="1"/>
  <c r="AS960" i="1"/>
  <c r="AO959" i="1"/>
  <c r="AR957" i="1"/>
  <c r="AT955" i="1"/>
  <c r="AP1028" i="1"/>
  <c r="AP1026" i="1"/>
  <c r="AR1024" i="1"/>
  <c r="AT1020" i="1"/>
  <c r="AO1019" i="1"/>
  <c r="AQ1015" i="1"/>
  <c r="AS1013" i="1"/>
  <c r="AS1011" i="1"/>
  <c r="AP1004" i="1"/>
  <c r="AP1002" i="1"/>
  <c r="AR1000" i="1"/>
  <c r="AT996" i="1"/>
  <c r="AP995" i="1"/>
  <c r="AS993" i="1"/>
  <c r="AO990" i="1"/>
  <c r="AR988" i="1"/>
  <c r="AS983" i="1"/>
  <c r="AP980" i="1"/>
  <c r="AQ975" i="1"/>
  <c r="AT973" i="1"/>
  <c r="AP970" i="1"/>
  <c r="AS968" i="1"/>
  <c r="AO967" i="1"/>
  <c r="AR965" i="1"/>
  <c r="AT963" i="1"/>
  <c r="AQ960" i="1"/>
  <c r="AR955" i="1"/>
  <c r="AO1028" i="1"/>
  <c r="AO1026" i="1"/>
  <c r="AQ1024" i="1"/>
  <c r="AS1020" i="1"/>
  <c r="AP1015" i="1"/>
  <c r="AR1013" i="1"/>
  <c r="AR1011" i="1"/>
  <c r="AT1009" i="1"/>
  <c r="AO1004" i="1"/>
  <c r="AO1002" i="1"/>
  <c r="AQ1000" i="1"/>
  <c r="AO1030" i="1"/>
  <c r="AQ1028" i="1"/>
  <c r="AS1024" i="1"/>
  <c r="AP1019" i="1"/>
  <c r="AR1017" i="1"/>
  <c r="AR1015" i="1"/>
  <c r="AT1013" i="1"/>
  <c r="AO1008" i="1"/>
  <c r="AO1006" i="1"/>
  <c r="AQ1004" i="1"/>
  <c r="AS1000" i="1"/>
  <c r="AQ995" i="1"/>
  <c r="AT993" i="1"/>
  <c r="AP990" i="1"/>
  <c r="AS988" i="1"/>
  <c r="AO987" i="1"/>
  <c r="AR985" i="1"/>
  <c r="AT983" i="1"/>
  <c r="AQ980" i="1"/>
  <c r="AR975" i="1"/>
  <c r="AO972" i="1"/>
  <c r="AQ970" i="1"/>
  <c r="AT968" i="1"/>
  <c r="AP967" i="1"/>
  <c r="AS965" i="1"/>
  <c r="AO962" i="1"/>
  <c r="AR960" i="1"/>
  <c r="AS955" i="1"/>
  <c r="AT1029" i="1"/>
  <c r="AO1024" i="1"/>
  <c r="AO1022" i="1"/>
  <c r="AQ1020" i="1"/>
  <c r="AS1016" i="1"/>
  <c r="AP1011" i="1"/>
  <c r="AR1009" i="1"/>
  <c r="AR1007" i="1"/>
  <c r="AT1005" i="1"/>
  <c r="AO1000" i="1"/>
  <c r="AO998" i="1"/>
  <c r="AQ996" i="1"/>
  <c r="AR991" i="1"/>
  <c r="AO988" i="1"/>
  <c r="AQ986" i="1"/>
  <c r="AT984" i="1"/>
  <c r="AP983" i="1"/>
  <c r="AS981" i="1"/>
  <c r="AO978" i="1"/>
  <c r="AR976" i="1"/>
  <c r="AS971" i="1"/>
  <c r="AP968" i="1"/>
  <c r="AQ963" i="1"/>
  <c r="AT961" i="1"/>
  <c r="AP958" i="1"/>
  <c r="AS956" i="1"/>
  <c r="AO955" i="1"/>
  <c r="AS1029" i="1"/>
  <c r="AP1027" i="1"/>
  <c r="AP1024" i="1"/>
  <c r="AT1021" i="1"/>
  <c r="AP1018" i="1"/>
  <c r="AR1012" i="1"/>
  <c r="AO1010" i="1"/>
  <c r="AS1007" i="1"/>
  <c r="AR999" i="1"/>
  <c r="AS996" i="1"/>
  <c r="AQ994" i="1"/>
  <c r="AQ992" i="1"/>
  <c r="AT987" i="1"/>
  <c r="AT980" i="1"/>
  <c r="AS976" i="1"/>
  <c r="AP974" i="1"/>
  <c r="AS967" i="1"/>
  <c r="AT964" i="1"/>
  <c r="AP960" i="1"/>
  <c r="AO958" i="1"/>
  <c r="AO956" i="1"/>
  <c r="AO1027" i="1"/>
  <c r="AS1021" i="1"/>
  <c r="AO1018" i="1"/>
  <c r="AQ1012" i="1"/>
  <c r="AQ1007" i="1"/>
  <c r="AT1004" i="1"/>
  <c r="AQ999" i="1"/>
  <c r="AR996" i="1"/>
  <c r="AP994" i="1"/>
  <c r="AP992" i="1"/>
  <c r="AS987" i="1"/>
  <c r="AS980" i="1"/>
  <c r="AQ978" i="1"/>
  <c r="AQ976" i="1"/>
  <c r="AO974" i="1"/>
  <c r="AT969" i="1"/>
  <c r="AR967" i="1"/>
  <c r="AS964" i="1"/>
  <c r="AO960" i="1"/>
  <c r="AR1029" i="1"/>
  <c r="AR1021" i="1"/>
  <c r="AO1015" i="1"/>
  <c r="AP1012" i="1"/>
  <c r="AP1007" i="1"/>
  <c r="AS1004" i="1"/>
  <c r="AP999" i="1"/>
  <c r="AP996" i="1"/>
  <c r="AO994" i="1"/>
  <c r="AT989" i="1"/>
  <c r="AR987" i="1"/>
  <c r="AS984" i="1"/>
  <c r="AO980" i="1"/>
  <c r="AP978" i="1"/>
  <c r="AP976" i="1"/>
  <c r="AT971" i="1"/>
  <c r="AS969" i="1"/>
  <c r="AR964" i="1"/>
  <c r="AO1012" i="1"/>
  <c r="AS1009" i="1"/>
  <c r="AO1007" i="1"/>
  <c r="AT1001" i="1"/>
  <c r="AS989" i="1"/>
  <c r="AQ987" i="1"/>
  <c r="AR984" i="1"/>
  <c r="AQ982" i="1"/>
  <c r="AQ964" i="1"/>
  <c r="AQ962" i="1"/>
  <c r="AT991" i="1"/>
  <c r="AR989" i="1"/>
  <c r="AQ984" i="1"/>
  <c r="AP982" i="1"/>
  <c r="AT959" i="1"/>
  <c r="AT957" i="1"/>
  <c r="AP955" i="1"/>
  <c r="AT1016" i="1"/>
  <c r="AQ1003" i="1"/>
  <c r="AT981" i="1"/>
  <c r="AS977" i="1"/>
  <c r="AQ968" i="1"/>
  <c r="AQ959" i="1"/>
  <c r="AS1025" i="1"/>
  <c r="AR1008" i="1"/>
  <c r="AP1003" i="1"/>
  <c r="AP1000" i="1"/>
  <c r="AS1023" i="1"/>
  <c r="AO996" i="1"/>
  <c r="AO976" i="1"/>
  <c r="AR971" i="1"/>
  <c r="AR969" i="1"/>
  <c r="AQ955" i="1"/>
  <c r="AR1023" i="1"/>
  <c r="AR1020" i="1"/>
  <c r="AS1001" i="1"/>
  <c r="AP998" i="1"/>
  <c r="AS973" i="1"/>
  <c r="AQ971" i="1"/>
  <c r="AQ966" i="1"/>
  <c r="AP964" i="1"/>
  <c r="AT1025" i="1"/>
  <c r="AO1011" i="1"/>
  <c r="AS1008" i="1"/>
  <c r="AS995" i="1"/>
  <c r="AP991" i="1"/>
  <c r="AO986" i="1"/>
  <c r="AR979" i="1"/>
  <c r="AP975" i="1"/>
  <c r="AR961" i="1"/>
  <c r="AT1028" i="1"/>
  <c r="AQ1023" i="1"/>
  <c r="AP1020" i="1"/>
  <c r="AT1017" i="1"/>
  <c r="AP1014" i="1"/>
  <c r="AS1003" i="1"/>
  <c r="AR1001" i="1"/>
  <c r="AR993" i="1"/>
  <c r="AS991" i="1"/>
  <c r="AP984" i="1"/>
  <c r="AT979" i="1"/>
  <c r="AR973" i="1"/>
  <c r="AP971" i="1"/>
  <c r="AP966" i="1"/>
  <c r="AO964" i="1"/>
  <c r="AS959" i="1"/>
  <c r="AS957" i="1"/>
  <c r="AS1028" i="1"/>
  <c r="AP1023" i="1"/>
  <c r="AO1020" i="1"/>
  <c r="AO1014" i="1"/>
  <c r="AQ1011" i="1"/>
  <c r="AT1008" i="1"/>
  <c r="AR1003" i="1"/>
  <c r="AT995" i="1"/>
  <c r="AQ991" i="1"/>
  <c r="AP986" i="1"/>
  <c r="AO984" i="1"/>
  <c r="AS979" i="1"/>
  <c r="AT977" i="1"/>
  <c r="AT975" i="1"/>
  <c r="AO971" i="1"/>
  <c r="AR968" i="1"/>
  <c r="AO966" i="1"/>
  <c r="AS961" i="1"/>
  <c r="AR959" i="1"/>
  <c r="AS1019" i="1"/>
  <c r="AQ1008" i="1"/>
  <c r="AR997" i="1"/>
  <c r="AT992" i="1"/>
  <c r="AQ988" i="1"/>
  <c r="AR983" i="1"/>
  <c r="AQ979" i="1"/>
  <c r="AO975" i="1"/>
  <c r="AR1019" i="1"/>
  <c r="AS992" i="1"/>
  <c r="AP988" i="1"/>
  <c r="AQ983" i="1"/>
  <c r="AP979" i="1"/>
  <c r="AT956" i="1"/>
  <c r="AS1012" i="1"/>
  <c r="AQ974" i="1"/>
  <c r="AQ956" i="1"/>
  <c r="AS1027" i="1"/>
  <c r="AO995" i="1"/>
  <c r="AT960" i="1"/>
  <c r="AP956" i="1"/>
  <c r="AR972" i="1"/>
  <c r="AT997" i="1"/>
  <c r="AQ972" i="1"/>
  <c r="AQ958" i="1"/>
  <c r="AR1025" i="1"/>
  <c r="AO1003" i="1"/>
  <c r="AS997" i="1"/>
  <c r="AT1012" i="1"/>
  <c r="AR992" i="1"/>
  <c r="AO983" i="1"/>
  <c r="AO979" i="1"/>
  <c r="AO970" i="1"/>
  <c r="AR956" i="1"/>
  <c r="AT976" i="1"/>
  <c r="AO963" i="1"/>
  <c r="AT967" i="1"/>
  <c r="AR1027" i="1"/>
  <c r="AP1022" i="1"/>
  <c r="AR1016" i="1"/>
  <c r="AO991" i="1"/>
  <c r="AQ1027" i="1"/>
  <c r="AQ1016" i="1"/>
  <c r="AS1005" i="1"/>
  <c r="AR981" i="1"/>
  <c r="AR977" i="1"/>
  <c r="AS963" i="1"/>
  <c r="AP1016" i="1"/>
  <c r="AR1005" i="1"/>
  <c r="AS999" i="1"/>
  <c r="AT972" i="1"/>
  <c r="AO968" i="1"/>
  <c r="AR963" i="1"/>
  <c r="AP959" i="1"/>
  <c r="AO1016" i="1"/>
  <c r="AP1010" i="1"/>
  <c r="AT985" i="1"/>
  <c r="AS972" i="1"/>
  <c r="AP963" i="1"/>
  <c r="AT654" i="1"/>
  <c r="AP653" i="1"/>
  <c r="AT651" i="1"/>
  <c r="AP650" i="1"/>
  <c r="AT648" i="1"/>
  <c r="AP647" i="1"/>
  <c r="AT645" i="1"/>
  <c r="AP644" i="1"/>
  <c r="AT642" i="1"/>
  <c r="AP641" i="1"/>
  <c r="AT639" i="1"/>
  <c r="AP638" i="1"/>
  <c r="AT636" i="1"/>
  <c r="AP635" i="1"/>
  <c r="AT633" i="1"/>
  <c r="AP632" i="1"/>
  <c r="AT630" i="1"/>
  <c r="AP629" i="1"/>
  <c r="AT627" i="1"/>
  <c r="AP626" i="1"/>
  <c r="AT624" i="1"/>
  <c r="AP623" i="1"/>
  <c r="AT621" i="1"/>
  <c r="AP620" i="1"/>
  <c r="AT618" i="1"/>
  <c r="AP617" i="1"/>
  <c r="AT615" i="1"/>
  <c r="AP614" i="1"/>
  <c r="AT612" i="1"/>
  <c r="AP611" i="1"/>
  <c r="AT609" i="1"/>
  <c r="AP608" i="1"/>
  <c r="AT606" i="1"/>
  <c r="AP605" i="1"/>
  <c r="AT603" i="1"/>
  <c r="AP602" i="1"/>
  <c r="AT600" i="1"/>
  <c r="AP599" i="1"/>
  <c r="AT597" i="1"/>
  <c r="AP596" i="1"/>
  <c r="AO648" i="1"/>
  <c r="AS654" i="1"/>
  <c r="AO653" i="1"/>
  <c r="AS651" i="1"/>
  <c r="AO650" i="1"/>
  <c r="AS648" i="1"/>
  <c r="AO647" i="1"/>
  <c r="AS645" i="1"/>
  <c r="AO644" i="1"/>
  <c r="AS642" i="1"/>
  <c r="AO641" i="1"/>
  <c r="AS639" i="1"/>
  <c r="AO638" i="1"/>
  <c r="AS636" i="1"/>
  <c r="AO635" i="1"/>
  <c r="AS633" i="1"/>
  <c r="AO632" i="1"/>
  <c r="AS630" i="1"/>
  <c r="AO629" i="1"/>
  <c r="AS627" i="1"/>
  <c r="AO626" i="1"/>
  <c r="AS624" i="1"/>
  <c r="AO623" i="1"/>
  <c r="AS621" i="1"/>
  <c r="AO620" i="1"/>
  <c r="AS618" i="1"/>
  <c r="AO617" i="1"/>
  <c r="AS615" i="1"/>
  <c r="AO614" i="1"/>
  <c r="AS612" i="1"/>
  <c r="AO611" i="1"/>
  <c r="AS609" i="1"/>
  <c r="AO608" i="1"/>
  <c r="AS606" i="1"/>
  <c r="AO605" i="1"/>
  <c r="AS603" i="1"/>
  <c r="AO602" i="1"/>
  <c r="AS600" i="1"/>
  <c r="AO599" i="1"/>
  <c r="AS597" i="1"/>
  <c r="AO596" i="1"/>
  <c r="AS652" i="1"/>
  <c r="AR654" i="1"/>
  <c r="AR651" i="1"/>
  <c r="AR648" i="1"/>
  <c r="AR645" i="1"/>
  <c r="AR642" i="1"/>
  <c r="AR639" i="1"/>
  <c r="AR636" i="1"/>
  <c r="AR633" i="1"/>
  <c r="AR630" i="1"/>
  <c r="AR627" i="1"/>
  <c r="AR624" i="1"/>
  <c r="AR621" i="1"/>
  <c r="AR618" i="1"/>
  <c r="AR615" i="1"/>
  <c r="AR612" i="1"/>
  <c r="AR609" i="1"/>
  <c r="AR606" i="1"/>
  <c r="AR603" i="1"/>
  <c r="AR600" i="1"/>
  <c r="AR597" i="1"/>
  <c r="AS649" i="1"/>
  <c r="AQ654" i="1"/>
  <c r="AQ651" i="1"/>
  <c r="AQ648" i="1"/>
  <c r="AQ645" i="1"/>
  <c r="AQ642" i="1"/>
  <c r="AQ639" i="1"/>
  <c r="AQ636" i="1"/>
  <c r="AQ633" i="1"/>
  <c r="AQ630" i="1"/>
  <c r="AQ627" i="1"/>
  <c r="AQ624" i="1"/>
  <c r="AQ621" i="1"/>
  <c r="AQ618" i="1"/>
  <c r="AQ615" i="1"/>
  <c r="AQ612" i="1"/>
  <c r="AQ609" i="1"/>
  <c r="AQ606" i="1"/>
  <c r="AQ603" i="1"/>
  <c r="AQ600" i="1"/>
  <c r="AQ597" i="1"/>
  <c r="AO654" i="1"/>
  <c r="AS646" i="1"/>
  <c r="AO645" i="1"/>
  <c r="AS643" i="1"/>
  <c r="AO642" i="1"/>
  <c r="AS640" i="1"/>
  <c r="AO639" i="1"/>
  <c r="AS637" i="1"/>
  <c r="AO636" i="1"/>
  <c r="AS634" i="1"/>
  <c r="AO633" i="1"/>
  <c r="AS631" i="1"/>
  <c r="AO630" i="1"/>
  <c r="AS628" i="1"/>
  <c r="AO627" i="1"/>
  <c r="AS625" i="1"/>
  <c r="AO624" i="1"/>
  <c r="AS622" i="1"/>
  <c r="AO621" i="1"/>
  <c r="AS619" i="1"/>
  <c r="AO618" i="1"/>
  <c r="AS616" i="1"/>
  <c r="AO615" i="1"/>
  <c r="AS613" i="1"/>
  <c r="AO612" i="1"/>
  <c r="AS610" i="1"/>
  <c r="AO609" i="1"/>
  <c r="AS607" i="1"/>
  <c r="AO606" i="1"/>
  <c r="AS604" i="1"/>
  <c r="AO603" i="1"/>
  <c r="AS601" i="1"/>
  <c r="AO600" i="1"/>
  <c r="AS598" i="1"/>
  <c r="AO597" i="1"/>
  <c r="AS595" i="1"/>
  <c r="AR646" i="1"/>
  <c r="AR643" i="1"/>
  <c r="AR640" i="1"/>
  <c r="AR637" i="1"/>
  <c r="AR634" i="1"/>
  <c r="AR631" i="1"/>
  <c r="AR628" i="1"/>
  <c r="AR625" i="1"/>
  <c r="AR622" i="1"/>
  <c r="AR619" i="1"/>
  <c r="AR616" i="1"/>
  <c r="AR613" i="1"/>
  <c r="AR610" i="1"/>
  <c r="AR607" i="1"/>
  <c r="AP654" i="1"/>
  <c r="AT652" i="1"/>
  <c r="AP651" i="1"/>
  <c r="AT649" i="1"/>
  <c r="AP648" i="1"/>
  <c r="AT646" i="1"/>
  <c r="AP645" i="1"/>
  <c r="AT643" i="1"/>
  <c r="AP642" i="1"/>
  <c r="AT640" i="1"/>
  <c r="AP639" i="1"/>
  <c r="AT637" i="1"/>
  <c r="AP636" i="1"/>
  <c r="AT634" i="1"/>
  <c r="AP633" i="1"/>
  <c r="AT631" i="1"/>
  <c r="AP630" i="1"/>
  <c r="AT628" i="1"/>
  <c r="AP627" i="1"/>
  <c r="AT625" i="1"/>
  <c r="AP624" i="1"/>
  <c r="AT622" i="1"/>
  <c r="AP621" i="1"/>
  <c r="AT619" i="1"/>
  <c r="AP618" i="1"/>
  <c r="AT616" i="1"/>
  <c r="AP615" i="1"/>
  <c r="AT613" i="1"/>
  <c r="AP612" i="1"/>
  <c r="AT610" i="1"/>
  <c r="AP609" i="1"/>
  <c r="AT607" i="1"/>
  <c r="AP606" i="1"/>
  <c r="AT604" i="1"/>
  <c r="AP603" i="1"/>
  <c r="AT601" i="1"/>
  <c r="AP600" i="1"/>
  <c r="AT598" i="1"/>
  <c r="AP597" i="1"/>
  <c r="AT595" i="1"/>
  <c r="AO651" i="1"/>
  <c r="AO649" i="1"/>
  <c r="AP646" i="1"/>
  <c r="AP643" i="1"/>
  <c r="AP640" i="1"/>
  <c r="AP637" i="1"/>
  <c r="AP634" i="1"/>
  <c r="AP631" i="1"/>
  <c r="AP628" i="1"/>
  <c r="AP625" i="1"/>
  <c r="AP622" i="1"/>
  <c r="AP619" i="1"/>
  <c r="AP616" i="1"/>
  <c r="AP613" i="1"/>
  <c r="AP610" i="1"/>
  <c r="AP607" i="1"/>
  <c r="AR604" i="1"/>
  <c r="AR599" i="1"/>
  <c r="AT596" i="1"/>
  <c r="AT650" i="1"/>
  <c r="AO604" i="1"/>
  <c r="AQ601" i="1"/>
  <c r="AQ596" i="1"/>
  <c r="AS650" i="1"/>
  <c r="AQ646" i="1"/>
  <c r="AT653" i="1"/>
  <c r="AO646" i="1"/>
  <c r="AO643" i="1"/>
  <c r="AO640" i="1"/>
  <c r="AO637" i="1"/>
  <c r="AO634" i="1"/>
  <c r="AO631" i="1"/>
  <c r="AO628" i="1"/>
  <c r="AO625" i="1"/>
  <c r="AO622" i="1"/>
  <c r="AO619" i="1"/>
  <c r="AO616" i="1"/>
  <c r="AO613" i="1"/>
  <c r="AO610" i="1"/>
  <c r="AO607" i="1"/>
  <c r="AQ604" i="1"/>
  <c r="AQ599" i="1"/>
  <c r="AS596" i="1"/>
  <c r="AS653" i="1"/>
  <c r="AP604" i="1"/>
  <c r="AR601" i="1"/>
  <c r="AR596" i="1"/>
  <c r="AR653" i="1"/>
  <c r="AQ653" i="1"/>
  <c r="AP601" i="1"/>
  <c r="AR598" i="1"/>
  <c r="AQ643" i="1"/>
  <c r="AQ640" i="1"/>
  <c r="AQ637" i="1"/>
  <c r="AQ634" i="1"/>
  <c r="AQ631" i="1"/>
  <c r="AQ628" i="1"/>
  <c r="AQ625" i="1"/>
  <c r="AQ622" i="1"/>
  <c r="AQ619" i="1"/>
  <c r="AQ616" i="1"/>
  <c r="AQ613" i="1"/>
  <c r="AQ610" i="1"/>
  <c r="AQ607" i="1"/>
  <c r="AQ602" i="1"/>
  <c r="AS599" i="1"/>
  <c r="AR650" i="1"/>
  <c r="AT647" i="1"/>
  <c r="AT644" i="1"/>
  <c r="AT641" i="1"/>
  <c r="AT638" i="1"/>
  <c r="AT635" i="1"/>
  <c r="AT632" i="1"/>
  <c r="AT629" i="1"/>
  <c r="AT626" i="1"/>
  <c r="AT623" i="1"/>
  <c r="AT620" i="1"/>
  <c r="AT617" i="1"/>
  <c r="AT614" i="1"/>
  <c r="AT611" i="1"/>
  <c r="AT608" i="1"/>
  <c r="AO601" i="1"/>
  <c r="AQ598" i="1"/>
  <c r="AR647" i="1"/>
  <c r="AR641" i="1"/>
  <c r="AR638" i="1"/>
  <c r="AR632" i="1"/>
  <c r="AR626" i="1"/>
  <c r="AR620" i="1"/>
  <c r="AR614" i="1"/>
  <c r="AR608" i="1"/>
  <c r="AO598" i="1"/>
  <c r="AQ647" i="1"/>
  <c r="AQ644" i="1"/>
  <c r="AQ638" i="1"/>
  <c r="AQ632" i="1"/>
  <c r="AQ626" i="1"/>
  <c r="AQ620" i="1"/>
  <c r="AQ614" i="1"/>
  <c r="AQ608" i="1"/>
  <c r="AT602" i="1"/>
  <c r="AP652" i="1"/>
  <c r="AR649" i="1"/>
  <c r="AQ605" i="1"/>
  <c r="AS602" i="1"/>
  <c r="AO595" i="1"/>
  <c r="AO652" i="1"/>
  <c r="AQ649" i="1"/>
  <c r="AR602" i="1"/>
  <c r="AT599" i="1"/>
  <c r="AP649" i="1"/>
  <c r="AQ650" i="1"/>
  <c r="AS647" i="1"/>
  <c r="AS644" i="1"/>
  <c r="AS641" i="1"/>
  <c r="AS638" i="1"/>
  <c r="AS635" i="1"/>
  <c r="AS632" i="1"/>
  <c r="AS629" i="1"/>
  <c r="AS626" i="1"/>
  <c r="AS623" i="1"/>
  <c r="AS620" i="1"/>
  <c r="AS617" i="1"/>
  <c r="AS614" i="1"/>
  <c r="AS611" i="1"/>
  <c r="AS608" i="1"/>
  <c r="AT605" i="1"/>
  <c r="AP598" i="1"/>
  <c r="AR595" i="1"/>
  <c r="AR652" i="1"/>
  <c r="AR644" i="1"/>
  <c r="AR635" i="1"/>
  <c r="AR629" i="1"/>
  <c r="AR623" i="1"/>
  <c r="AR617" i="1"/>
  <c r="AR611" i="1"/>
  <c r="AS605" i="1"/>
  <c r="AQ595" i="1"/>
  <c r="AQ652" i="1"/>
  <c r="AQ641" i="1"/>
  <c r="AQ635" i="1"/>
  <c r="AQ629" i="1"/>
  <c r="AQ623" i="1"/>
  <c r="AQ617" i="1"/>
  <c r="AQ611" i="1"/>
  <c r="AR605" i="1"/>
  <c r="AP595" i="1"/>
  <c r="AT714" i="1"/>
  <c r="AP713" i="1"/>
  <c r="AT711" i="1"/>
  <c r="AP710" i="1"/>
  <c r="AT708" i="1"/>
  <c r="AP707" i="1"/>
  <c r="AT705" i="1"/>
  <c r="AP704" i="1"/>
  <c r="AT702" i="1"/>
  <c r="AP701" i="1"/>
  <c r="AT699" i="1"/>
  <c r="AP698" i="1"/>
  <c r="AT696" i="1"/>
  <c r="AP695" i="1"/>
  <c r="AT693" i="1"/>
  <c r="AP692" i="1"/>
  <c r="AT690" i="1"/>
  <c r="AP689" i="1"/>
  <c r="AT687" i="1"/>
  <c r="AP686" i="1"/>
  <c r="AT684" i="1"/>
  <c r="AP683" i="1"/>
  <c r="AT681" i="1"/>
  <c r="AP680" i="1"/>
  <c r="AT678" i="1"/>
  <c r="AP677" i="1"/>
  <c r="AT675" i="1"/>
  <c r="AP674" i="1"/>
  <c r="AT672" i="1"/>
  <c r="AP671" i="1"/>
  <c r="AT669" i="1"/>
  <c r="AP668" i="1"/>
  <c r="AT666" i="1"/>
  <c r="AP665" i="1"/>
  <c r="AT663" i="1"/>
  <c r="AP662" i="1"/>
  <c r="AT660" i="1"/>
  <c r="AP659" i="1"/>
  <c r="AT657" i="1"/>
  <c r="AP656" i="1"/>
  <c r="AT709" i="1"/>
  <c r="AT706" i="1"/>
  <c r="AT700" i="1"/>
  <c r="AP696" i="1"/>
  <c r="AP693" i="1"/>
  <c r="AT688" i="1"/>
  <c r="AP681" i="1"/>
  <c r="AP675" i="1"/>
  <c r="AP669" i="1"/>
  <c r="AT664" i="1"/>
  <c r="AO711" i="1"/>
  <c r="AS706" i="1"/>
  <c r="AS700" i="1"/>
  <c r="AO693" i="1"/>
  <c r="AS685" i="1"/>
  <c r="AS676" i="1"/>
  <c r="AO666" i="1"/>
  <c r="AS658" i="1"/>
  <c r="AR700" i="1"/>
  <c r="AR685" i="1"/>
  <c r="AR658" i="1"/>
  <c r="AQ706" i="1"/>
  <c r="AQ703" i="1"/>
  <c r="AQ691" i="1"/>
  <c r="AQ688" i="1"/>
  <c r="AQ685" i="1"/>
  <c r="AQ673" i="1"/>
  <c r="AT710" i="1"/>
  <c r="AT704" i="1"/>
  <c r="AP700" i="1"/>
  <c r="AT695" i="1"/>
  <c r="AT692" i="1"/>
  <c r="AT689" i="1"/>
  <c r="AP685" i="1"/>
  <c r="AT680" i="1"/>
  <c r="AS714" i="1"/>
  <c r="AO713" i="1"/>
  <c r="AS711" i="1"/>
  <c r="AO710" i="1"/>
  <c r="AS708" i="1"/>
  <c r="AO707" i="1"/>
  <c r="AS705" i="1"/>
  <c r="AO704" i="1"/>
  <c r="AS702" i="1"/>
  <c r="AO701" i="1"/>
  <c r="AS699" i="1"/>
  <c r="AO698" i="1"/>
  <c r="AS696" i="1"/>
  <c r="AO695" i="1"/>
  <c r="AS693" i="1"/>
  <c r="AO692" i="1"/>
  <c r="AS690" i="1"/>
  <c r="AO689" i="1"/>
  <c r="AS687" i="1"/>
  <c r="AO686" i="1"/>
  <c r="AS684" i="1"/>
  <c r="AO683" i="1"/>
  <c r="AS681" i="1"/>
  <c r="AO680" i="1"/>
  <c r="AS678" i="1"/>
  <c r="AO677" i="1"/>
  <c r="AS675" i="1"/>
  <c r="AO674" i="1"/>
  <c r="AS672" i="1"/>
  <c r="AO671" i="1"/>
  <c r="AS669" i="1"/>
  <c r="AO668" i="1"/>
  <c r="AS666" i="1"/>
  <c r="AO665" i="1"/>
  <c r="AS663" i="1"/>
  <c r="AO662" i="1"/>
  <c r="AS660" i="1"/>
  <c r="AO659" i="1"/>
  <c r="AS657" i="1"/>
  <c r="AO656" i="1"/>
  <c r="AP711" i="1"/>
  <c r="AP708" i="1"/>
  <c r="AT703" i="1"/>
  <c r="AT697" i="1"/>
  <c r="AT691" i="1"/>
  <c r="AP687" i="1"/>
  <c r="AT682" i="1"/>
  <c r="AP678" i="1"/>
  <c r="AT673" i="1"/>
  <c r="AT667" i="1"/>
  <c r="AT658" i="1"/>
  <c r="AO714" i="1"/>
  <c r="AO702" i="1"/>
  <c r="AO696" i="1"/>
  <c r="AS688" i="1"/>
  <c r="AS679" i="1"/>
  <c r="AO669" i="1"/>
  <c r="AO660" i="1"/>
  <c r="AR712" i="1"/>
  <c r="AR691" i="1"/>
  <c r="AR676" i="1"/>
  <c r="AR661" i="1"/>
  <c r="AQ676" i="1"/>
  <c r="AQ661" i="1"/>
  <c r="AT713" i="1"/>
  <c r="AP706" i="1"/>
  <c r="AT701" i="1"/>
  <c r="AP697" i="1"/>
  <c r="AP694" i="1"/>
  <c r="AP691" i="1"/>
  <c r="AT686" i="1"/>
  <c r="AT683" i="1"/>
  <c r="AP679" i="1"/>
  <c r="AT674" i="1"/>
  <c r="AT671" i="1"/>
  <c r="AR714" i="1"/>
  <c r="AR711" i="1"/>
  <c r="AR708" i="1"/>
  <c r="AR705" i="1"/>
  <c r="AR702" i="1"/>
  <c r="AR699" i="1"/>
  <c r="AR696" i="1"/>
  <c r="AR693" i="1"/>
  <c r="AR690" i="1"/>
  <c r="AR687" i="1"/>
  <c r="AR684" i="1"/>
  <c r="AR681" i="1"/>
  <c r="AR678" i="1"/>
  <c r="AR675" i="1"/>
  <c r="AR672" i="1"/>
  <c r="AR669" i="1"/>
  <c r="AR666" i="1"/>
  <c r="AR663" i="1"/>
  <c r="AR660" i="1"/>
  <c r="AR657" i="1"/>
  <c r="AT712" i="1"/>
  <c r="AP705" i="1"/>
  <c r="AP702" i="1"/>
  <c r="AP699" i="1"/>
  <c r="AT694" i="1"/>
  <c r="AP690" i="1"/>
  <c r="AT685" i="1"/>
  <c r="AT679" i="1"/>
  <c r="AT670" i="1"/>
  <c r="AT661" i="1"/>
  <c r="AS709" i="1"/>
  <c r="AO705" i="1"/>
  <c r="AS697" i="1"/>
  <c r="AO690" i="1"/>
  <c r="AO681" i="1"/>
  <c r="AO672" i="1"/>
  <c r="AO663" i="1"/>
  <c r="AS655" i="1"/>
  <c r="AR709" i="1"/>
  <c r="AR706" i="1"/>
  <c r="AR679" i="1"/>
  <c r="AR673" i="1"/>
  <c r="AR667" i="1"/>
  <c r="AQ712" i="1"/>
  <c r="AQ700" i="1"/>
  <c r="AQ697" i="1"/>
  <c r="AQ682" i="1"/>
  <c r="AQ679" i="1"/>
  <c r="AQ655" i="1"/>
  <c r="AP712" i="1"/>
  <c r="AT707" i="1"/>
  <c r="AP703" i="1"/>
  <c r="AT698" i="1"/>
  <c r="AP688" i="1"/>
  <c r="AP682" i="1"/>
  <c r="AT677" i="1"/>
  <c r="AP673" i="1"/>
  <c r="AQ714" i="1"/>
  <c r="AQ711" i="1"/>
  <c r="AQ708" i="1"/>
  <c r="AQ705" i="1"/>
  <c r="AQ702" i="1"/>
  <c r="AQ699" i="1"/>
  <c r="AQ696" i="1"/>
  <c r="AQ693" i="1"/>
  <c r="AQ690" i="1"/>
  <c r="AQ687" i="1"/>
  <c r="AQ684" i="1"/>
  <c r="AQ681" i="1"/>
  <c r="AQ678" i="1"/>
  <c r="AQ675" i="1"/>
  <c r="AQ672" i="1"/>
  <c r="AQ669" i="1"/>
  <c r="AQ666" i="1"/>
  <c r="AQ663" i="1"/>
  <c r="AQ660" i="1"/>
  <c r="AQ657" i="1"/>
  <c r="AP714" i="1"/>
  <c r="AP684" i="1"/>
  <c r="AT676" i="1"/>
  <c r="AP672" i="1"/>
  <c r="AP666" i="1"/>
  <c r="AP663" i="1"/>
  <c r="AP660" i="1"/>
  <c r="AP657" i="1"/>
  <c r="AT655" i="1"/>
  <c r="AS712" i="1"/>
  <c r="AO708" i="1"/>
  <c r="AS703" i="1"/>
  <c r="AO699" i="1"/>
  <c r="AS694" i="1"/>
  <c r="AS691" i="1"/>
  <c r="AO687" i="1"/>
  <c r="AO684" i="1"/>
  <c r="AS682" i="1"/>
  <c r="AO678" i="1"/>
  <c r="AO675" i="1"/>
  <c r="AS673" i="1"/>
  <c r="AS670" i="1"/>
  <c r="AS667" i="1"/>
  <c r="AS664" i="1"/>
  <c r="AS661" i="1"/>
  <c r="AO657" i="1"/>
  <c r="AR703" i="1"/>
  <c r="AR697" i="1"/>
  <c r="AR694" i="1"/>
  <c r="AR688" i="1"/>
  <c r="AR682" i="1"/>
  <c r="AR670" i="1"/>
  <c r="AR664" i="1"/>
  <c r="AR655" i="1"/>
  <c r="AQ709" i="1"/>
  <c r="AQ694" i="1"/>
  <c r="AQ670" i="1"/>
  <c r="AQ667" i="1"/>
  <c r="AQ664" i="1"/>
  <c r="AQ658" i="1"/>
  <c r="AQ710" i="1"/>
  <c r="AR698" i="1"/>
  <c r="AR686" i="1"/>
  <c r="AS674" i="1"/>
  <c r="AP664" i="1"/>
  <c r="AO661" i="1"/>
  <c r="AS713" i="1"/>
  <c r="AO706" i="1"/>
  <c r="AQ698" i="1"/>
  <c r="AO694" i="1"/>
  <c r="AQ686" i="1"/>
  <c r="AO682" i="1"/>
  <c r="AR674" i="1"/>
  <c r="AP667" i="1"/>
  <c r="AO664" i="1"/>
  <c r="AR713" i="1"/>
  <c r="AS701" i="1"/>
  <c r="AS689" i="1"/>
  <c r="AS677" i="1"/>
  <c r="AQ674" i="1"/>
  <c r="AP670" i="1"/>
  <c r="AO667" i="1"/>
  <c r="AQ713" i="1"/>
  <c r="AP709" i="1"/>
  <c r="AR701" i="1"/>
  <c r="AR689" i="1"/>
  <c r="AR677" i="1"/>
  <c r="AO670" i="1"/>
  <c r="AT656" i="1"/>
  <c r="AO709" i="1"/>
  <c r="AQ701" i="1"/>
  <c r="AO697" i="1"/>
  <c r="AQ689" i="1"/>
  <c r="AO685" i="1"/>
  <c r="AQ677" i="1"/>
  <c r="AT659" i="1"/>
  <c r="AS656" i="1"/>
  <c r="AS704" i="1"/>
  <c r="AS692" i="1"/>
  <c r="AS680" i="1"/>
  <c r="AO673" i="1"/>
  <c r="AT662" i="1"/>
  <c r="AS659" i="1"/>
  <c r="AR656" i="1"/>
  <c r="AO712" i="1"/>
  <c r="AR704" i="1"/>
  <c r="AR692" i="1"/>
  <c r="AR680" i="1"/>
  <c r="AT665" i="1"/>
  <c r="AS662" i="1"/>
  <c r="AR659" i="1"/>
  <c r="AQ656" i="1"/>
  <c r="AQ704" i="1"/>
  <c r="AO700" i="1"/>
  <c r="AQ692" i="1"/>
  <c r="AO688" i="1"/>
  <c r="AQ680" i="1"/>
  <c r="AP676" i="1"/>
  <c r="AT668" i="1"/>
  <c r="AS665" i="1"/>
  <c r="AR662" i="1"/>
  <c r="AQ659" i="1"/>
  <c r="AS707" i="1"/>
  <c r="AS695" i="1"/>
  <c r="AS683" i="1"/>
  <c r="AO676" i="1"/>
  <c r="AS668" i="1"/>
  <c r="AR665" i="1"/>
  <c r="AQ662" i="1"/>
  <c r="AR695" i="1"/>
  <c r="AR683" i="1"/>
  <c r="AS671" i="1"/>
  <c r="AR668" i="1"/>
  <c r="AQ665" i="1"/>
  <c r="AP655" i="1"/>
  <c r="AS710" i="1"/>
  <c r="AO703" i="1"/>
  <c r="AQ695" i="1"/>
  <c r="AO691" i="1"/>
  <c r="AQ683" i="1"/>
  <c r="AO679" i="1"/>
  <c r="AR671" i="1"/>
  <c r="AQ668" i="1"/>
  <c r="AP658" i="1"/>
  <c r="AO655" i="1"/>
  <c r="AR710" i="1"/>
  <c r="AP661" i="1"/>
  <c r="AR707" i="1"/>
  <c r="AQ707" i="1"/>
  <c r="AS698" i="1"/>
  <c r="AS686" i="1"/>
  <c r="AQ671" i="1"/>
  <c r="AO658" i="1"/>
  <c r="AT774" i="1"/>
  <c r="AP773" i="1"/>
  <c r="AT771" i="1"/>
  <c r="AP770" i="1"/>
  <c r="AT768" i="1"/>
  <c r="AP767" i="1"/>
  <c r="AT765" i="1"/>
  <c r="AP764" i="1"/>
  <c r="AT762" i="1"/>
  <c r="AP761" i="1"/>
  <c r="AT759" i="1"/>
  <c r="AP758" i="1"/>
  <c r="AT756" i="1"/>
  <c r="AP755" i="1"/>
  <c r="AT753" i="1"/>
  <c r="AP752" i="1"/>
  <c r="AT750" i="1"/>
  <c r="AP749" i="1"/>
  <c r="AT747" i="1"/>
  <c r="AP746" i="1"/>
  <c r="AT744" i="1"/>
  <c r="AP743" i="1"/>
  <c r="AT741" i="1"/>
  <c r="AP740" i="1"/>
  <c r="AT738" i="1"/>
  <c r="AP737" i="1"/>
  <c r="AT735" i="1"/>
  <c r="AP734" i="1"/>
  <c r="AT732" i="1"/>
  <c r="AP731" i="1"/>
  <c r="AT729" i="1"/>
  <c r="AP728" i="1"/>
  <c r="AT726" i="1"/>
  <c r="AP725" i="1"/>
  <c r="AT723" i="1"/>
  <c r="AP722" i="1"/>
  <c r="AT720" i="1"/>
  <c r="AP719" i="1"/>
  <c r="AT717" i="1"/>
  <c r="AP716" i="1"/>
  <c r="AQ771" i="1"/>
  <c r="AQ768" i="1"/>
  <c r="AQ759" i="1"/>
  <c r="AQ747" i="1"/>
  <c r="AQ744" i="1"/>
  <c r="AQ741" i="1"/>
  <c r="AQ738" i="1"/>
  <c r="AQ735" i="1"/>
  <c r="AQ729" i="1"/>
  <c r="AQ717" i="1"/>
  <c r="AP771" i="1"/>
  <c r="AP747" i="1"/>
  <c r="AP738" i="1"/>
  <c r="AT733" i="1"/>
  <c r="AT727" i="1"/>
  <c r="AP720" i="1"/>
  <c r="AT715" i="1"/>
  <c r="AS774" i="1"/>
  <c r="AO773" i="1"/>
  <c r="AS771" i="1"/>
  <c r="AO770" i="1"/>
  <c r="AS768" i="1"/>
  <c r="AO767" i="1"/>
  <c r="AS765" i="1"/>
  <c r="AO764" i="1"/>
  <c r="AS762" i="1"/>
  <c r="AO761" i="1"/>
  <c r="AS759" i="1"/>
  <c r="AO758" i="1"/>
  <c r="AS756" i="1"/>
  <c r="AO755" i="1"/>
  <c r="AS753" i="1"/>
  <c r="AO752" i="1"/>
  <c r="AS750" i="1"/>
  <c r="AO749" i="1"/>
  <c r="AS747" i="1"/>
  <c r="AO746" i="1"/>
  <c r="AS744" i="1"/>
  <c r="AO743" i="1"/>
  <c r="AS741" i="1"/>
  <c r="AO740" i="1"/>
  <c r="AS738" i="1"/>
  <c r="AO737" i="1"/>
  <c r="AS735" i="1"/>
  <c r="AO734" i="1"/>
  <c r="AS732" i="1"/>
  <c r="AO731" i="1"/>
  <c r="AS729" i="1"/>
  <c r="AO728" i="1"/>
  <c r="AS726" i="1"/>
  <c r="AO725" i="1"/>
  <c r="AS723" i="1"/>
  <c r="AO722" i="1"/>
  <c r="AS720" i="1"/>
  <c r="AO719" i="1"/>
  <c r="AS717" i="1"/>
  <c r="AO716" i="1"/>
  <c r="AQ762" i="1"/>
  <c r="AQ750" i="1"/>
  <c r="AQ732" i="1"/>
  <c r="AQ720" i="1"/>
  <c r="AT772" i="1"/>
  <c r="AT745" i="1"/>
  <c r="AT736" i="1"/>
  <c r="AT730" i="1"/>
  <c r="AP723" i="1"/>
  <c r="AP717" i="1"/>
  <c r="AR774" i="1"/>
  <c r="AR771" i="1"/>
  <c r="AR768" i="1"/>
  <c r="AR765" i="1"/>
  <c r="AR762" i="1"/>
  <c r="AR759" i="1"/>
  <c r="AR756" i="1"/>
  <c r="AR753" i="1"/>
  <c r="AR750" i="1"/>
  <c r="AR747" i="1"/>
  <c r="AR744" i="1"/>
  <c r="AR741" i="1"/>
  <c r="AR738" i="1"/>
  <c r="AR735" i="1"/>
  <c r="AR732" i="1"/>
  <c r="AR729" i="1"/>
  <c r="AR726" i="1"/>
  <c r="AR723" i="1"/>
  <c r="AR720" i="1"/>
  <c r="AR717" i="1"/>
  <c r="AQ774" i="1"/>
  <c r="AQ765" i="1"/>
  <c r="AQ756" i="1"/>
  <c r="AQ753" i="1"/>
  <c r="AQ726" i="1"/>
  <c r="AQ723" i="1"/>
  <c r="AP774" i="1"/>
  <c r="AT769" i="1"/>
  <c r="AP768" i="1"/>
  <c r="AT766" i="1"/>
  <c r="AP765" i="1"/>
  <c r="AT763" i="1"/>
  <c r="AP762" i="1"/>
  <c r="AT760" i="1"/>
  <c r="AP759" i="1"/>
  <c r="AT757" i="1"/>
  <c r="AP756" i="1"/>
  <c r="AT754" i="1"/>
  <c r="AP753" i="1"/>
  <c r="AT751" i="1"/>
  <c r="AP750" i="1"/>
  <c r="AT748" i="1"/>
  <c r="AP744" i="1"/>
  <c r="AT742" i="1"/>
  <c r="AP741" i="1"/>
  <c r="AT739" i="1"/>
  <c r="AP735" i="1"/>
  <c r="AP732" i="1"/>
  <c r="AP729" i="1"/>
  <c r="AP726" i="1"/>
  <c r="AT724" i="1"/>
  <c r="AT721" i="1"/>
  <c r="AT718" i="1"/>
  <c r="AO774" i="1"/>
  <c r="AS769" i="1"/>
  <c r="AO768" i="1"/>
  <c r="AS766" i="1"/>
  <c r="AO765" i="1"/>
  <c r="AS763" i="1"/>
  <c r="AO762" i="1"/>
  <c r="AS760" i="1"/>
  <c r="AP769" i="1"/>
  <c r="AQ766" i="1"/>
  <c r="AR763" i="1"/>
  <c r="AR758" i="1"/>
  <c r="AP751" i="1"/>
  <c r="AS748" i="1"/>
  <c r="AR746" i="1"/>
  <c r="AP739" i="1"/>
  <c r="AS736" i="1"/>
  <c r="AR734" i="1"/>
  <c r="AP727" i="1"/>
  <c r="AS724" i="1"/>
  <c r="AR722" i="1"/>
  <c r="AP715" i="1"/>
  <c r="AO769" i="1"/>
  <c r="AP766" i="1"/>
  <c r="AQ763" i="1"/>
  <c r="AR760" i="1"/>
  <c r="AQ758" i="1"/>
  <c r="AT755" i="1"/>
  <c r="AO753" i="1"/>
  <c r="AO751" i="1"/>
  <c r="AR748" i="1"/>
  <c r="AQ746" i="1"/>
  <c r="AT743" i="1"/>
  <c r="AO741" i="1"/>
  <c r="AO739" i="1"/>
  <c r="AR736" i="1"/>
  <c r="AQ734" i="1"/>
  <c r="AT731" i="1"/>
  <c r="AO729" i="1"/>
  <c r="AO727" i="1"/>
  <c r="AR724" i="1"/>
  <c r="AQ722" i="1"/>
  <c r="AT719" i="1"/>
  <c r="AO717" i="1"/>
  <c r="AO715" i="1"/>
  <c r="AT773" i="1"/>
  <c r="AO771" i="1"/>
  <c r="AO766" i="1"/>
  <c r="AP763" i="1"/>
  <c r="AQ760" i="1"/>
  <c r="AS755" i="1"/>
  <c r="AQ748" i="1"/>
  <c r="AS743" i="1"/>
  <c r="AQ736" i="1"/>
  <c r="AS731" i="1"/>
  <c r="AQ724" i="1"/>
  <c r="AS719" i="1"/>
  <c r="AS773" i="1"/>
  <c r="AO763" i="1"/>
  <c r="AP760" i="1"/>
  <c r="AS757" i="1"/>
  <c r="AR755" i="1"/>
  <c r="AP748" i="1"/>
  <c r="AS745" i="1"/>
  <c r="AR743" i="1"/>
  <c r="AP736" i="1"/>
  <c r="AS733" i="1"/>
  <c r="AR731" i="1"/>
  <c r="AP724" i="1"/>
  <c r="AS721" i="1"/>
  <c r="AR719" i="1"/>
  <c r="AR773" i="1"/>
  <c r="AO760" i="1"/>
  <c r="AR757" i="1"/>
  <c r="AQ755" i="1"/>
  <c r="AT752" i="1"/>
  <c r="AO750" i="1"/>
  <c r="AO748" i="1"/>
  <c r="AQ773" i="1"/>
  <c r="AT770" i="1"/>
  <c r="AQ757" i="1"/>
  <c r="AS752" i="1"/>
  <c r="AQ745" i="1"/>
  <c r="AS740" i="1"/>
  <c r="AQ733" i="1"/>
  <c r="AS728" i="1"/>
  <c r="AQ721" i="1"/>
  <c r="AS716" i="1"/>
  <c r="AS770" i="1"/>
  <c r="AT767" i="1"/>
  <c r="AP757" i="1"/>
  <c r="AS754" i="1"/>
  <c r="AR752" i="1"/>
  <c r="AP745" i="1"/>
  <c r="AS742" i="1"/>
  <c r="AR740" i="1"/>
  <c r="AP733" i="1"/>
  <c r="AS730" i="1"/>
  <c r="AR728" i="1"/>
  <c r="AP721" i="1"/>
  <c r="AS718" i="1"/>
  <c r="AR716" i="1"/>
  <c r="AS772" i="1"/>
  <c r="AR770" i="1"/>
  <c r="AS767" i="1"/>
  <c r="AT764" i="1"/>
  <c r="AO759" i="1"/>
  <c r="AO757" i="1"/>
  <c r="AR754" i="1"/>
  <c r="AQ752" i="1"/>
  <c r="AT749" i="1"/>
  <c r="AO747" i="1"/>
  <c r="AO745" i="1"/>
  <c r="AR742" i="1"/>
  <c r="AQ740" i="1"/>
  <c r="AT737" i="1"/>
  <c r="AO735" i="1"/>
  <c r="AO733" i="1"/>
  <c r="AR730" i="1"/>
  <c r="AQ728" i="1"/>
  <c r="AT725" i="1"/>
  <c r="AO723" i="1"/>
  <c r="AO721" i="1"/>
  <c r="AR718" i="1"/>
  <c r="AQ716" i="1"/>
  <c r="AT758" i="1"/>
  <c r="AR739" i="1"/>
  <c r="AQ730" i="1"/>
  <c r="AO726" i="1"/>
  <c r="AS758" i="1"/>
  <c r="AQ743" i="1"/>
  <c r="AQ739" i="1"/>
  <c r="AT734" i="1"/>
  <c r="AP730" i="1"/>
  <c r="AR721" i="1"/>
  <c r="AR772" i="1"/>
  <c r="AS734" i="1"/>
  <c r="AO730" i="1"/>
  <c r="AS725" i="1"/>
  <c r="AQ772" i="1"/>
  <c r="AR767" i="1"/>
  <c r="AQ742" i="1"/>
  <c r="AO738" i="1"/>
  <c r="AR725" i="1"/>
  <c r="AT716" i="1"/>
  <c r="AP772" i="1"/>
  <c r="AQ767" i="1"/>
  <c r="AT761" i="1"/>
  <c r="AS751" i="1"/>
  <c r="AT746" i="1"/>
  <c r="AP742" i="1"/>
  <c r="AR733" i="1"/>
  <c r="AQ725" i="1"/>
  <c r="AO720" i="1"/>
  <c r="AR764" i="1"/>
  <c r="AQ764" i="1"/>
  <c r="AO772" i="1"/>
  <c r="AS761" i="1"/>
  <c r="AO756" i="1"/>
  <c r="AR751" i="1"/>
  <c r="AS746" i="1"/>
  <c r="AO742" i="1"/>
  <c r="AS737" i="1"/>
  <c r="AS715" i="1"/>
  <c r="AR766" i="1"/>
  <c r="AR761" i="1"/>
  <c r="AQ751" i="1"/>
  <c r="AR737" i="1"/>
  <c r="AT728" i="1"/>
  <c r="AO724" i="1"/>
  <c r="AR715" i="1"/>
  <c r="AQ761" i="1"/>
  <c r="AR745" i="1"/>
  <c r="AQ737" i="1"/>
  <c r="AO732" i="1"/>
  <c r="AQ719" i="1"/>
  <c r="AQ715" i="1"/>
  <c r="AQ770" i="1"/>
  <c r="AS727" i="1"/>
  <c r="AS764" i="1"/>
  <c r="AQ754" i="1"/>
  <c r="AS749" i="1"/>
  <c r="AT740" i="1"/>
  <c r="AO736" i="1"/>
  <c r="AR727" i="1"/>
  <c r="AQ718" i="1"/>
  <c r="AR769" i="1"/>
  <c r="AP754" i="1"/>
  <c r="AR749" i="1"/>
  <c r="AO744" i="1"/>
  <c r="AQ731" i="1"/>
  <c r="AQ727" i="1"/>
  <c r="AT722" i="1"/>
  <c r="AP718" i="1"/>
  <c r="AQ769" i="1"/>
  <c r="AO754" i="1"/>
  <c r="AQ749" i="1"/>
  <c r="AS739" i="1"/>
  <c r="AS722" i="1"/>
  <c r="AO718" i="1"/>
  <c r="AT834" i="1"/>
  <c r="AP833" i="1"/>
  <c r="AT831" i="1"/>
  <c r="AP830" i="1"/>
  <c r="AT828" i="1"/>
  <c r="AP827" i="1"/>
  <c r="AT825" i="1"/>
  <c r="AP824" i="1"/>
  <c r="AT822" i="1"/>
  <c r="AP821" i="1"/>
  <c r="AT819" i="1"/>
  <c r="AP818" i="1"/>
  <c r="AT816" i="1"/>
  <c r="AP815" i="1"/>
  <c r="AT813" i="1"/>
  <c r="AP812" i="1"/>
  <c r="AT810" i="1"/>
  <c r="AP809" i="1"/>
  <c r="AT807" i="1"/>
  <c r="AP806" i="1"/>
  <c r="AT804" i="1"/>
  <c r="AP803" i="1"/>
  <c r="AT801" i="1"/>
  <c r="AP800" i="1"/>
  <c r="AT798" i="1"/>
  <c r="AP797" i="1"/>
  <c r="AT795" i="1"/>
  <c r="AP794" i="1"/>
  <c r="AT792" i="1"/>
  <c r="AP791" i="1"/>
  <c r="AT789" i="1"/>
  <c r="AP788" i="1"/>
  <c r="AT786" i="1"/>
  <c r="AP785" i="1"/>
  <c r="AT783" i="1"/>
  <c r="AP782" i="1"/>
  <c r="AT780" i="1"/>
  <c r="AP779" i="1"/>
  <c r="AT777" i="1"/>
  <c r="AP776" i="1"/>
  <c r="AR825" i="1"/>
  <c r="AR819" i="1"/>
  <c r="AR810" i="1"/>
  <c r="AR804" i="1"/>
  <c r="AR789" i="1"/>
  <c r="AR786" i="1"/>
  <c r="AS834" i="1"/>
  <c r="AO833" i="1"/>
  <c r="AS831" i="1"/>
  <c r="AO830" i="1"/>
  <c r="AS828" i="1"/>
  <c r="AO827" i="1"/>
  <c r="AS825" i="1"/>
  <c r="AO824" i="1"/>
  <c r="AS822" i="1"/>
  <c r="AO821" i="1"/>
  <c r="AS819" i="1"/>
  <c r="AO818" i="1"/>
  <c r="AS816" i="1"/>
  <c r="AO815" i="1"/>
  <c r="AS813" i="1"/>
  <c r="AO812" i="1"/>
  <c r="AS810" i="1"/>
  <c r="AO809" i="1"/>
  <c r="AS807" i="1"/>
  <c r="AO806" i="1"/>
  <c r="AS804" i="1"/>
  <c r="AO803" i="1"/>
  <c r="AS801" i="1"/>
  <c r="AO800" i="1"/>
  <c r="AS798" i="1"/>
  <c r="AO797" i="1"/>
  <c r="AS795" i="1"/>
  <c r="AO794" i="1"/>
  <c r="AS792" i="1"/>
  <c r="AO791" i="1"/>
  <c r="AS789" i="1"/>
  <c r="AO788" i="1"/>
  <c r="AS786" i="1"/>
  <c r="AO785" i="1"/>
  <c r="AS783" i="1"/>
  <c r="AO782" i="1"/>
  <c r="AS780" i="1"/>
  <c r="AO779" i="1"/>
  <c r="AS777" i="1"/>
  <c r="AO776" i="1"/>
  <c r="AR831" i="1"/>
  <c r="AR828" i="1"/>
  <c r="AR822" i="1"/>
  <c r="AR816" i="1"/>
  <c r="AR813" i="1"/>
  <c r="AR807" i="1"/>
  <c r="AR801" i="1"/>
  <c r="AR798" i="1"/>
  <c r="AR795" i="1"/>
  <c r="AR792" i="1"/>
  <c r="AR783" i="1"/>
  <c r="AR780" i="1"/>
  <c r="AR777" i="1"/>
  <c r="AR834" i="1"/>
  <c r="AQ834" i="1"/>
  <c r="AQ831" i="1"/>
  <c r="AQ828" i="1"/>
  <c r="AQ825" i="1"/>
  <c r="AQ822" i="1"/>
  <c r="AQ819" i="1"/>
  <c r="AQ816" i="1"/>
  <c r="AQ813" i="1"/>
  <c r="AQ810" i="1"/>
  <c r="AQ807" i="1"/>
  <c r="AQ804" i="1"/>
  <c r="AQ801" i="1"/>
  <c r="AQ798" i="1"/>
  <c r="AQ795" i="1"/>
  <c r="AQ792" i="1"/>
  <c r="AQ789" i="1"/>
  <c r="AQ786" i="1"/>
  <c r="AQ783" i="1"/>
  <c r="AQ780" i="1"/>
  <c r="AQ777" i="1"/>
  <c r="AP834" i="1"/>
  <c r="AT832" i="1"/>
  <c r="AP831" i="1"/>
  <c r="AT829" i="1"/>
  <c r="AP828" i="1"/>
  <c r="AT826" i="1"/>
  <c r="AP825" i="1"/>
  <c r="AT823" i="1"/>
  <c r="AP822" i="1"/>
  <c r="AT820" i="1"/>
  <c r="AP819" i="1"/>
  <c r="AT817" i="1"/>
  <c r="AP816" i="1"/>
  <c r="AT814" i="1"/>
  <c r="AP813" i="1"/>
  <c r="AT811" i="1"/>
  <c r="AP810" i="1"/>
  <c r="AT808" i="1"/>
  <c r="AP807" i="1"/>
  <c r="AT805" i="1"/>
  <c r="AP804" i="1"/>
  <c r="AT802" i="1"/>
  <c r="AP801" i="1"/>
  <c r="AT799" i="1"/>
  <c r="AP798" i="1"/>
  <c r="AT796" i="1"/>
  <c r="AP795" i="1"/>
  <c r="AT793" i="1"/>
  <c r="AP792" i="1"/>
  <c r="AT790" i="1"/>
  <c r="AP789" i="1"/>
  <c r="AT787" i="1"/>
  <c r="AP786" i="1"/>
  <c r="AT784" i="1"/>
  <c r="AP783" i="1"/>
  <c r="AT781" i="1"/>
  <c r="AP780" i="1"/>
  <c r="AT778" i="1"/>
  <c r="AP777" i="1"/>
  <c r="AT775" i="1"/>
  <c r="AO834" i="1"/>
  <c r="AS829" i="1"/>
  <c r="AO828" i="1"/>
  <c r="AS826" i="1"/>
  <c r="AO825" i="1"/>
  <c r="AS823" i="1"/>
  <c r="AO822" i="1"/>
  <c r="AS820" i="1"/>
  <c r="AO819" i="1"/>
  <c r="AS817" i="1"/>
  <c r="AO816" i="1"/>
  <c r="AS814" i="1"/>
  <c r="AO813" i="1"/>
  <c r="AS811" i="1"/>
  <c r="AO810" i="1"/>
  <c r="AS808" i="1"/>
  <c r="AO807" i="1"/>
  <c r="AS805" i="1"/>
  <c r="AO804" i="1"/>
  <c r="AS802" i="1"/>
  <c r="AO832" i="1"/>
  <c r="AR829" i="1"/>
  <c r="AR824" i="1"/>
  <c r="AT821" i="1"/>
  <c r="AP814" i="1"/>
  <c r="AR811" i="1"/>
  <c r="AR806" i="1"/>
  <c r="AT803" i="1"/>
  <c r="AO801" i="1"/>
  <c r="AP799" i="1"/>
  <c r="AS794" i="1"/>
  <c r="AO792" i="1"/>
  <c r="AP790" i="1"/>
  <c r="AS785" i="1"/>
  <c r="AO783" i="1"/>
  <c r="AP781" i="1"/>
  <c r="AS776" i="1"/>
  <c r="AT833" i="1"/>
  <c r="AP829" i="1"/>
  <c r="AR826" i="1"/>
  <c r="AR821" i="1"/>
  <c r="AT818" i="1"/>
  <c r="AP811" i="1"/>
  <c r="AR808" i="1"/>
  <c r="AR803" i="1"/>
  <c r="AR796" i="1"/>
  <c r="AQ794" i="1"/>
  <c r="AR787" i="1"/>
  <c r="AQ785" i="1"/>
  <c r="AR778" i="1"/>
  <c r="AQ776" i="1"/>
  <c r="AS833" i="1"/>
  <c r="AO829" i="1"/>
  <c r="AQ826" i="1"/>
  <c r="AQ821" i="1"/>
  <c r="AS818" i="1"/>
  <c r="AO811" i="1"/>
  <c r="AQ808" i="1"/>
  <c r="AQ803" i="1"/>
  <c r="AT800" i="1"/>
  <c r="AQ796" i="1"/>
  <c r="AT791" i="1"/>
  <c r="AT782" i="1"/>
  <c r="AQ778" i="1"/>
  <c r="AR833" i="1"/>
  <c r="AP826" i="1"/>
  <c r="AR823" i="1"/>
  <c r="AR818" i="1"/>
  <c r="AT815" i="1"/>
  <c r="AP808" i="1"/>
  <c r="AR805" i="1"/>
  <c r="AS800" i="1"/>
  <c r="AO798" i="1"/>
  <c r="AP796" i="1"/>
  <c r="AS791" i="1"/>
  <c r="AO789" i="1"/>
  <c r="AP787" i="1"/>
  <c r="AS782" i="1"/>
  <c r="AO780" i="1"/>
  <c r="AP778" i="1"/>
  <c r="AS830" i="1"/>
  <c r="AR830" i="1"/>
  <c r="AT809" i="1"/>
  <c r="AS797" i="1"/>
  <c r="AP793" i="1"/>
  <c r="AO786" i="1"/>
  <c r="AO777" i="1"/>
  <c r="AT824" i="1"/>
  <c r="AQ790" i="1"/>
  <c r="AQ829" i="1"/>
  <c r="AQ824" i="1"/>
  <c r="AS821" i="1"/>
  <c r="AO814" i="1"/>
  <c r="AQ811" i="1"/>
  <c r="AQ806" i="1"/>
  <c r="AS803" i="1"/>
  <c r="AO799" i="1"/>
  <c r="AS796" i="1"/>
  <c r="AR794" i="1"/>
  <c r="AO790" i="1"/>
  <c r="AS787" i="1"/>
  <c r="AR785" i="1"/>
  <c r="AO781" i="1"/>
  <c r="AS778" i="1"/>
  <c r="AR776" i="1"/>
  <c r="AO831" i="1"/>
  <c r="AQ830" i="1"/>
  <c r="AQ817" i="1"/>
  <c r="AS809" i="1"/>
  <c r="AS799" i="1"/>
  <c r="AR797" i="1"/>
  <c r="AS790" i="1"/>
  <c r="AR788" i="1"/>
  <c r="AS781" i="1"/>
  <c r="AR779" i="1"/>
  <c r="AO775" i="1"/>
  <c r="AQ832" i="1"/>
  <c r="AT806" i="1"/>
  <c r="AQ797" i="1"/>
  <c r="AR790" i="1"/>
  <c r="AQ788" i="1"/>
  <c r="AQ779" i="1"/>
  <c r="AQ827" i="1"/>
  <c r="AO817" i="1"/>
  <c r="AQ809" i="1"/>
  <c r="AS806" i="1"/>
  <c r="AQ799" i="1"/>
  <c r="AT794" i="1"/>
  <c r="AQ781" i="1"/>
  <c r="AT776" i="1"/>
  <c r="AQ787" i="1"/>
  <c r="AT827" i="1"/>
  <c r="AR832" i="1"/>
  <c r="AO820" i="1"/>
  <c r="AQ812" i="1"/>
  <c r="AO802" i="1"/>
  <c r="AO793" i="1"/>
  <c r="AO784" i="1"/>
  <c r="AP817" i="1"/>
  <c r="AR814" i="1"/>
  <c r="AR809" i="1"/>
  <c r="AR781" i="1"/>
  <c r="AS824" i="1"/>
  <c r="AQ833" i="1"/>
  <c r="AO826" i="1"/>
  <c r="AQ823" i="1"/>
  <c r="AQ818" i="1"/>
  <c r="AS815" i="1"/>
  <c r="AO808" i="1"/>
  <c r="AQ805" i="1"/>
  <c r="AR800" i="1"/>
  <c r="AO796" i="1"/>
  <c r="AS793" i="1"/>
  <c r="AR791" i="1"/>
  <c r="AO787" i="1"/>
  <c r="AS784" i="1"/>
  <c r="AR782" i="1"/>
  <c r="AO778" i="1"/>
  <c r="AS775" i="1"/>
  <c r="AT830" i="1"/>
  <c r="AP823" i="1"/>
  <c r="AR820" i="1"/>
  <c r="AR815" i="1"/>
  <c r="AT812" i="1"/>
  <c r="AP805" i="1"/>
  <c r="AR802" i="1"/>
  <c r="AQ800" i="1"/>
  <c r="AR793" i="1"/>
  <c r="AQ791" i="1"/>
  <c r="AR784" i="1"/>
  <c r="AQ782" i="1"/>
  <c r="AR775" i="1"/>
  <c r="AO823" i="1"/>
  <c r="AQ820" i="1"/>
  <c r="AQ815" i="1"/>
  <c r="AS812" i="1"/>
  <c r="AO805" i="1"/>
  <c r="AQ802" i="1"/>
  <c r="AT797" i="1"/>
  <c r="AQ793" i="1"/>
  <c r="AT788" i="1"/>
  <c r="AQ784" i="1"/>
  <c r="AT779" i="1"/>
  <c r="AQ775" i="1"/>
  <c r="AS832" i="1"/>
  <c r="AP820" i="1"/>
  <c r="AR817" i="1"/>
  <c r="AR812" i="1"/>
  <c r="AP802" i="1"/>
  <c r="AO795" i="1"/>
  <c r="AS788" i="1"/>
  <c r="AP784" i="1"/>
  <c r="AS779" i="1"/>
  <c r="AP775" i="1"/>
  <c r="AS827" i="1"/>
  <c r="AR827" i="1"/>
  <c r="AR799" i="1"/>
  <c r="AP832" i="1"/>
  <c r="AQ814" i="1"/>
  <c r="AT785" i="1"/>
  <c r="AT894" i="1"/>
  <c r="AP893" i="1"/>
  <c r="AT891" i="1"/>
  <c r="AP890" i="1"/>
  <c r="AT888" i="1"/>
  <c r="AP887" i="1"/>
  <c r="AT885" i="1"/>
  <c r="AP884" i="1"/>
  <c r="AT882" i="1"/>
  <c r="AP881" i="1"/>
  <c r="AT879" i="1"/>
  <c r="AP878" i="1"/>
  <c r="AT876" i="1"/>
  <c r="AP875" i="1"/>
  <c r="AT873" i="1"/>
  <c r="AP872" i="1"/>
  <c r="AT870" i="1"/>
  <c r="AP869" i="1"/>
  <c r="AT867" i="1"/>
  <c r="AP866" i="1"/>
  <c r="AT864" i="1"/>
  <c r="AP863" i="1"/>
  <c r="AT861" i="1"/>
  <c r="AP860" i="1"/>
  <c r="AT858" i="1"/>
  <c r="AP857" i="1"/>
  <c r="AT855" i="1"/>
  <c r="AP854" i="1"/>
  <c r="AT852" i="1"/>
  <c r="AP851" i="1"/>
  <c r="AT849" i="1"/>
  <c r="AP848" i="1"/>
  <c r="AT846" i="1"/>
  <c r="AP845" i="1"/>
  <c r="AT843" i="1"/>
  <c r="AP842" i="1"/>
  <c r="AT840" i="1"/>
  <c r="AP839" i="1"/>
  <c r="AT837" i="1"/>
  <c r="AP836" i="1"/>
  <c r="AT889" i="1"/>
  <c r="AP885" i="1"/>
  <c r="AT880" i="1"/>
  <c r="AP876" i="1"/>
  <c r="AP873" i="1"/>
  <c r="AT868" i="1"/>
  <c r="AP864" i="1"/>
  <c r="AT859" i="1"/>
  <c r="AP855" i="1"/>
  <c r="AT850" i="1"/>
  <c r="AP846" i="1"/>
  <c r="AT841" i="1"/>
  <c r="AP837" i="1"/>
  <c r="AS889" i="1"/>
  <c r="AS880" i="1"/>
  <c r="AS871" i="1"/>
  <c r="AS862" i="1"/>
  <c r="AO852" i="1"/>
  <c r="AO843" i="1"/>
  <c r="AR883" i="1"/>
  <c r="AR874" i="1"/>
  <c r="AR868" i="1"/>
  <c r="AR856" i="1"/>
  <c r="AR844" i="1"/>
  <c r="AR838" i="1"/>
  <c r="AQ859" i="1"/>
  <c r="AQ841" i="1"/>
  <c r="AQ835" i="1"/>
  <c r="AT890" i="1"/>
  <c r="AT881" i="1"/>
  <c r="AP871" i="1"/>
  <c r="AP862" i="1"/>
  <c r="AT854" i="1"/>
  <c r="AP847" i="1"/>
  <c r="AT839" i="1"/>
  <c r="AP835" i="1"/>
  <c r="AS894" i="1"/>
  <c r="AO893" i="1"/>
  <c r="AS891" i="1"/>
  <c r="AO890" i="1"/>
  <c r="AS888" i="1"/>
  <c r="AO887" i="1"/>
  <c r="AS885" i="1"/>
  <c r="AO884" i="1"/>
  <c r="AS882" i="1"/>
  <c r="AO881" i="1"/>
  <c r="AS879" i="1"/>
  <c r="AO878" i="1"/>
  <c r="AS876" i="1"/>
  <c r="AO875" i="1"/>
  <c r="AS873" i="1"/>
  <c r="AO872" i="1"/>
  <c r="AS870" i="1"/>
  <c r="AO869" i="1"/>
  <c r="AS867" i="1"/>
  <c r="AO866" i="1"/>
  <c r="AS864" i="1"/>
  <c r="AO863" i="1"/>
  <c r="AS861" i="1"/>
  <c r="AO860" i="1"/>
  <c r="AS858" i="1"/>
  <c r="AO857" i="1"/>
  <c r="AS855" i="1"/>
  <c r="AO854" i="1"/>
  <c r="AS852" i="1"/>
  <c r="AO851" i="1"/>
  <c r="AS849" i="1"/>
  <c r="AO848" i="1"/>
  <c r="AS846" i="1"/>
  <c r="AO845" i="1"/>
  <c r="AS843" i="1"/>
  <c r="AO842" i="1"/>
  <c r="AS840" i="1"/>
  <c r="AO839" i="1"/>
  <c r="AS837" i="1"/>
  <c r="AO836" i="1"/>
  <c r="AP891" i="1"/>
  <c r="AP888" i="1"/>
  <c r="AT886" i="1"/>
  <c r="AP882" i="1"/>
  <c r="AP879" i="1"/>
  <c r="AT874" i="1"/>
  <c r="AP870" i="1"/>
  <c r="AT865" i="1"/>
  <c r="AP861" i="1"/>
  <c r="AT856" i="1"/>
  <c r="AP852" i="1"/>
  <c r="AT847" i="1"/>
  <c r="AP840" i="1"/>
  <c r="AT835" i="1"/>
  <c r="AS892" i="1"/>
  <c r="AS877" i="1"/>
  <c r="AO867" i="1"/>
  <c r="AS856" i="1"/>
  <c r="AS847" i="1"/>
  <c r="AS838" i="1"/>
  <c r="AR892" i="1"/>
  <c r="AR886" i="1"/>
  <c r="AR871" i="1"/>
  <c r="AR865" i="1"/>
  <c r="AR859" i="1"/>
  <c r="AR853" i="1"/>
  <c r="AR847" i="1"/>
  <c r="AQ886" i="1"/>
  <c r="AQ874" i="1"/>
  <c r="AQ871" i="1"/>
  <c r="AQ868" i="1"/>
  <c r="AQ856" i="1"/>
  <c r="AQ853" i="1"/>
  <c r="AQ850" i="1"/>
  <c r="AQ847" i="1"/>
  <c r="AQ844" i="1"/>
  <c r="AT893" i="1"/>
  <c r="AP880" i="1"/>
  <c r="AP868" i="1"/>
  <c r="AT860" i="1"/>
  <c r="AT851" i="1"/>
  <c r="AR894" i="1"/>
  <c r="AR891" i="1"/>
  <c r="AR888" i="1"/>
  <c r="AR885" i="1"/>
  <c r="AR882" i="1"/>
  <c r="AR879" i="1"/>
  <c r="AR876" i="1"/>
  <c r="AR873" i="1"/>
  <c r="AR870" i="1"/>
  <c r="AR867" i="1"/>
  <c r="AR864" i="1"/>
  <c r="AR861" i="1"/>
  <c r="AR858" i="1"/>
  <c r="AR855" i="1"/>
  <c r="AR852" i="1"/>
  <c r="AR849" i="1"/>
  <c r="AR846" i="1"/>
  <c r="AR843" i="1"/>
  <c r="AR840" i="1"/>
  <c r="AR837" i="1"/>
  <c r="AT892" i="1"/>
  <c r="AT883" i="1"/>
  <c r="AT877" i="1"/>
  <c r="AT871" i="1"/>
  <c r="AP867" i="1"/>
  <c r="AT862" i="1"/>
  <c r="AP858" i="1"/>
  <c r="AT853" i="1"/>
  <c r="AP849" i="1"/>
  <c r="AT844" i="1"/>
  <c r="AT838" i="1"/>
  <c r="AO891" i="1"/>
  <c r="AO876" i="1"/>
  <c r="AS865" i="1"/>
  <c r="AO855" i="1"/>
  <c r="AS844" i="1"/>
  <c r="AS835" i="1"/>
  <c r="AR841" i="1"/>
  <c r="AQ892" i="1"/>
  <c r="AQ883" i="1"/>
  <c r="AQ880" i="1"/>
  <c r="AQ877" i="1"/>
  <c r="AQ865" i="1"/>
  <c r="AQ862" i="1"/>
  <c r="AQ838" i="1"/>
  <c r="AP892" i="1"/>
  <c r="AP883" i="1"/>
  <c r="AT872" i="1"/>
  <c r="AT863" i="1"/>
  <c r="AP856" i="1"/>
  <c r="AT848" i="1"/>
  <c r="AP841" i="1"/>
  <c r="AT836" i="1"/>
  <c r="AQ894" i="1"/>
  <c r="AQ891" i="1"/>
  <c r="AQ888" i="1"/>
  <c r="AQ885" i="1"/>
  <c r="AQ882" i="1"/>
  <c r="AQ879" i="1"/>
  <c r="AQ876" i="1"/>
  <c r="AQ873" i="1"/>
  <c r="AQ870" i="1"/>
  <c r="AQ867" i="1"/>
  <c r="AQ864" i="1"/>
  <c r="AQ861" i="1"/>
  <c r="AQ858" i="1"/>
  <c r="AQ855" i="1"/>
  <c r="AQ852" i="1"/>
  <c r="AQ849" i="1"/>
  <c r="AQ846" i="1"/>
  <c r="AQ843" i="1"/>
  <c r="AQ840" i="1"/>
  <c r="AQ837" i="1"/>
  <c r="AP894" i="1"/>
  <c r="AP843" i="1"/>
  <c r="AO894" i="1"/>
  <c r="AO888" i="1"/>
  <c r="AS886" i="1"/>
  <c r="AO885" i="1"/>
  <c r="AS883" i="1"/>
  <c r="AO882" i="1"/>
  <c r="AO879" i="1"/>
  <c r="AS874" i="1"/>
  <c r="AO873" i="1"/>
  <c r="AO870" i="1"/>
  <c r="AS868" i="1"/>
  <c r="AO864" i="1"/>
  <c r="AO861" i="1"/>
  <c r="AS859" i="1"/>
  <c r="AO858" i="1"/>
  <c r="AS853" i="1"/>
  <c r="AS850" i="1"/>
  <c r="AO849" i="1"/>
  <c r="AO846" i="1"/>
  <c r="AS841" i="1"/>
  <c r="AO840" i="1"/>
  <c r="AO837" i="1"/>
  <c r="AR889" i="1"/>
  <c r="AR880" i="1"/>
  <c r="AR877" i="1"/>
  <c r="AR862" i="1"/>
  <c r="AR850" i="1"/>
  <c r="AR835" i="1"/>
  <c r="AQ889" i="1"/>
  <c r="AP889" i="1"/>
  <c r="AT887" i="1"/>
  <c r="AP886" i="1"/>
  <c r="AT884" i="1"/>
  <c r="AT878" i="1"/>
  <c r="AP877" i="1"/>
  <c r="AT875" i="1"/>
  <c r="AP874" i="1"/>
  <c r="AT869" i="1"/>
  <c r="AT866" i="1"/>
  <c r="AP865" i="1"/>
  <c r="AP859" i="1"/>
  <c r="AT857" i="1"/>
  <c r="AP853" i="1"/>
  <c r="AP850" i="1"/>
  <c r="AT845" i="1"/>
  <c r="AT842" i="1"/>
  <c r="AP838" i="1"/>
  <c r="AQ890" i="1"/>
  <c r="AO886" i="1"/>
  <c r="AQ878" i="1"/>
  <c r="AO874" i="1"/>
  <c r="AQ866" i="1"/>
  <c r="AO862" i="1"/>
  <c r="AQ854" i="1"/>
  <c r="AO850" i="1"/>
  <c r="AR842" i="1"/>
  <c r="AS893" i="1"/>
  <c r="AS881" i="1"/>
  <c r="AS869" i="1"/>
  <c r="AS857" i="1"/>
  <c r="AS845" i="1"/>
  <c r="AQ842" i="1"/>
  <c r="AO838" i="1"/>
  <c r="AR893" i="1"/>
  <c r="AR881" i="1"/>
  <c r="AR869" i="1"/>
  <c r="AR857" i="1"/>
  <c r="AR845" i="1"/>
  <c r="AQ893" i="1"/>
  <c r="AO889" i="1"/>
  <c r="AQ881" i="1"/>
  <c r="AO877" i="1"/>
  <c r="AQ869" i="1"/>
  <c r="AO865" i="1"/>
  <c r="AQ857" i="1"/>
  <c r="AO853" i="1"/>
  <c r="AQ845" i="1"/>
  <c r="AS884" i="1"/>
  <c r="AS872" i="1"/>
  <c r="AS860" i="1"/>
  <c r="AS848" i="1"/>
  <c r="AO841" i="1"/>
  <c r="AO859" i="1"/>
  <c r="AO847" i="1"/>
  <c r="AO835" i="1"/>
  <c r="AR890" i="1"/>
  <c r="AR866" i="1"/>
  <c r="AR884" i="1"/>
  <c r="AR872" i="1"/>
  <c r="AR860" i="1"/>
  <c r="AR848" i="1"/>
  <c r="AS836" i="1"/>
  <c r="AS887" i="1"/>
  <c r="AS863" i="1"/>
  <c r="AS851" i="1"/>
  <c r="AO844" i="1"/>
  <c r="AQ836" i="1"/>
  <c r="AR887" i="1"/>
  <c r="AS839" i="1"/>
  <c r="AO883" i="1"/>
  <c r="AQ875" i="1"/>
  <c r="AO871" i="1"/>
  <c r="AQ863" i="1"/>
  <c r="AS890" i="1"/>
  <c r="AQ839" i="1"/>
  <c r="AR878" i="1"/>
  <c r="AS842" i="1"/>
  <c r="AO892" i="1"/>
  <c r="AQ884" i="1"/>
  <c r="AO880" i="1"/>
  <c r="AQ872" i="1"/>
  <c r="AO868" i="1"/>
  <c r="AQ860" i="1"/>
  <c r="AO856" i="1"/>
  <c r="AQ848" i="1"/>
  <c r="AP844" i="1"/>
  <c r="AR836" i="1"/>
  <c r="AS875" i="1"/>
  <c r="AR875" i="1"/>
  <c r="AR863" i="1"/>
  <c r="AR851" i="1"/>
  <c r="AQ887" i="1"/>
  <c r="AQ851" i="1"/>
  <c r="AR839" i="1"/>
  <c r="AS878" i="1"/>
  <c r="AS866" i="1"/>
  <c r="AS854" i="1"/>
  <c r="AR854" i="1"/>
  <c r="AT904" i="1"/>
  <c r="AP903" i="1"/>
  <c r="AT901" i="1"/>
  <c r="AP900" i="1"/>
  <c r="AT898" i="1"/>
  <c r="AP897" i="1"/>
  <c r="AT895" i="1"/>
  <c r="AS899" i="1"/>
  <c r="AT903" i="1"/>
  <c r="AS900" i="1"/>
  <c r="AO896" i="1"/>
  <c r="AR900" i="1"/>
  <c r="AS904" i="1"/>
  <c r="AO903" i="1"/>
  <c r="AS901" i="1"/>
  <c r="AO900" i="1"/>
  <c r="AS898" i="1"/>
  <c r="AO897" i="1"/>
  <c r="AS895" i="1"/>
  <c r="AO901" i="1"/>
  <c r="AR899" i="1"/>
  <c r="AQ902" i="1"/>
  <c r="AP902" i="1"/>
  <c r="AT897" i="1"/>
  <c r="AS903" i="1"/>
  <c r="AR903" i="1"/>
  <c r="AR897" i="1"/>
  <c r="AQ900" i="1"/>
  <c r="AR904" i="1"/>
  <c r="AR901" i="1"/>
  <c r="AR898" i="1"/>
  <c r="AR895" i="1"/>
  <c r="AS902" i="1"/>
  <c r="AR896" i="1"/>
  <c r="AQ896" i="1"/>
  <c r="AT900" i="1"/>
  <c r="AP896" i="1"/>
  <c r="AO902" i="1"/>
  <c r="AQ903" i="1"/>
  <c r="AQ897" i="1"/>
  <c r="AQ904" i="1"/>
  <c r="AQ901" i="1"/>
  <c r="AQ898" i="1"/>
  <c r="AQ895" i="1"/>
  <c r="AP904" i="1"/>
  <c r="AT902" i="1"/>
  <c r="AP901" i="1"/>
  <c r="AT899" i="1"/>
  <c r="AP898" i="1"/>
  <c r="AT896" i="1"/>
  <c r="AP895" i="1"/>
  <c r="AO904" i="1"/>
  <c r="AO898" i="1"/>
  <c r="AS896" i="1"/>
  <c r="AO895" i="1"/>
  <c r="AR902" i="1"/>
  <c r="AQ899" i="1"/>
  <c r="AP899" i="1"/>
  <c r="AO899" i="1"/>
  <c r="AS897" i="1"/>
  <c r="AT914" i="1"/>
  <c r="AP913" i="1"/>
  <c r="AT911" i="1"/>
  <c r="AP910" i="1"/>
  <c r="AT908" i="1"/>
  <c r="AP907" i="1"/>
  <c r="AT905" i="1"/>
  <c r="AQ911" i="1"/>
  <c r="AQ908" i="1"/>
  <c r="AQ912" i="1"/>
  <c r="AT910" i="1"/>
  <c r="AS910" i="1"/>
  <c r="AR910" i="1"/>
  <c r="AQ910" i="1"/>
  <c r="AS914" i="1"/>
  <c r="AO913" i="1"/>
  <c r="AS911" i="1"/>
  <c r="AO910" i="1"/>
  <c r="AS908" i="1"/>
  <c r="AO907" i="1"/>
  <c r="AS905" i="1"/>
  <c r="AQ914" i="1"/>
  <c r="AR912" i="1"/>
  <c r="AQ909" i="1"/>
  <c r="AQ906" i="1"/>
  <c r="AP909" i="1"/>
  <c r="AT907" i="1"/>
  <c r="AP906" i="1"/>
  <c r="AO909" i="1"/>
  <c r="AS907" i="1"/>
  <c r="AR907" i="1"/>
  <c r="AQ913" i="1"/>
  <c r="AQ907" i="1"/>
  <c r="AR914" i="1"/>
  <c r="AR911" i="1"/>
  <c r="AR908" i="1"/>
  <c r="AR905" i="1"/>
  <c r="AQ905" i="1"/>
  <c r="AR909" i="1"/>
  <c r="AP912" i="1"/>
  <c r="AO912" i="1"/>
  <c r="AP914" i="1"/>
  <c r="AT912" i="1"/>
  <c r="AP911" i="1"/>
  <c r="AT909" i="1"/>
  <c r="AP908" i="1"/>
  <c r="AT906" i="1"/>
  <c r="AP905" i="1"/>
  <c r="AO914" i="1"/>
  <c r="AS912" i="1"/>
  <c r="AO911" i="1"/>
  <c r="AS909" i="1"/>
  <c r="AO908" i="1"/>
  <c r="AS906" i="1"/>
  <c r="AO905" i="1"/>
  <c r="AR906" i="1"/>
  <c r="AT913" i="1"/>
  <c r="AS913" i="1"/>
  <c r="AO906" i="1"/>
  <c r="AR913" i="1"/>
  <c r="AT924" i="1"/>
  <c r="AP923" i="1"/>
  <c r="AT921" i="1"/>
  <c r="AP920" i="1"/>
  <c r="AT918" i="1"/>
  <c r="AP917" i="1"/>
  <c r="AT915" i="1"/>
  <c r="AQ921" i="1"/>
  <c r="AQ918" i="1"/>
  <c r="AP924" i="1"/>
  <c r="AT919" i="1"/>
  <c r="AT916" i="1"/>
  <c r="AT920" i="1"/>
  <c r="AS923" i="1"/>
  <c r="AR923" i="1"/>
  <c r="AS924" i="1"/>
  <c r="AO923" i="1"/>
  <c r="AS921" i="1"/>
  <c r="AO920" i="1"/>
  <c r="AS918" i="1"/>
  <c r="AO917" i="1"/>
  <c r="AS915" i="1"/>
  <c r="AQ924" i="1"/>
  <c r="AP921" i="1"/>
  <c r="AP919" i="1"/>
  <c r="AO919" i="1"/>
  <c r="AS917" i="1"/>
  <c r="AO916" i="1"/>
  <c r="AR917" i="1"/>
  <c r="AQ917" i="1"/>
  <c r="AR924" i="1"/>
  <c r="AR921" i="1"/>
  <c r="AR918" i="1"/>
  <c r="AR915" i="1"/>
  <c r="AQ915" i="1"/>
  <c r="AT922" i="1"/>
  <c r="AP918" i="1"/>
  <c r="AP915" i="1"/>
  <c r="AP922" i="1"/>
  <c r="AO922" i="1"/>
  <c r="AR920" i="1"/>
  <c r="AQ923" i="1"/>
  <c r="AO924" i="1"/>
  <c r="AS922" i="1"/>
  <c r="AO921" i="1"/>
  <c r="AS919" i="1"/>
  <c r="AO918" i="1"/>
  <c r="AS916" i="1"/>
  <c r="AO915" i="1"/>
  <c r="AR922" i="1"/>
  <c r="AR919" i="1"/>
  <c r="AR916" i="1"/>
  <c r="AQ922" i="1"/>
  <c r="AQ919" i="1"/>
  <c r="AQ916" i="1"/>
  <c r="AT923" i="1"/>
  <c r="AT917" i="1"/>
  <c r="AP916" i="1"/>
  <c r="AS920" i="1"/>
  <c r="AQ920" i="1"/>
  <c r="AT934" i="1"/>
  <c r="AP933" i="1"/>
  <c r="AT931" i="1"/>
  <c r="AP930" i="1"/>
  <c r="AT928" i="1"/>
  <c r="AP927" i="1"/>
  <c r="AT925" i="1"/>
  <c r="AT929" i="1"/>
  <c r="AP928" i="1"/>
  <c r="AQ932" i="1"/>
  <c r="AP932" i="1"/>
  <c r="AO932" i="1"/>
  <c r="AR930" i="1"/>
  <c r="AS934" i="1"/>
  <c r="AO933" i="1"/>
  <c r="AS931" i="1"/>
  <c r="AO930" i="1"/>
  <c r="AS928" i="1"/>
  <c r="AO927" i="1"/>
  <c r="AS925" i="1"/>
  <c r="AP931" i="1"/>
  <c r="AT926" i="1"/>
  <c r="AT930" i="1"/>
  <c r="AS927" i="1"/>
  <c r="AQ927" i="1"/>
  <c r="AR934" i="1"/>
  <c r="AR931" i="1"/>
  <c r="AR928" i="1"/>
  <c r="AR925" i="1"/>
  <c r="AT932" i="1"/>
  <c r="AP925" i="1"/>
  <c r="AQ929" i="1"/>
  <c r="AP929" i="1"/>
  <c r="AS930" i="1"/>
  <c r="AR927" i="1"/>
  <c r="AQ934" i="1"/>
  <c r="AQ931" i="1"/>
  <c r="AQ928" i="1"/>
  <c r="AQ925" i="1"/>
  <c r="AP934" i="1"/>
  <c r="AT927" i="1"/>
  <c r="AP926" i="1"/>
  <c r="AS933" i="1"/>
  <c r="AO926" i="1"/>
  <c r="AR933" i="1"/>
  <c r="AQ933" i="1"/>
  <c r="AO934" i="1"/>
  <c r="AS932" i="1"/>
  <c r="AO931" i="1"/>
  <c r="AS929" i="1"/>
  <c r="AO928" i="1"/>
  <c r="AS926" i="1"/>
  <c r="AO925" i="1"/>
  <c r="AR932" i="1"/>
  <c r="AR929" i="1"/>
  <c r="AR926" i="1"/>
  <c r="AQ926" i="1"/>
  <c r="AT933" i="1"/>
  <c r="AO929" i="1"/>
  <c r="AQ930" i="1"/>
  <c r="AT944" i="1"/>
  <c r="AP943" i="1"/>
  <c r="AT941" i="1"/>
  <c r="AP940" i="1"/>
  <c r="AT938" i="1"/>
  <c r="AP937" i="1"/>
  <c r="AT935" i="1"/>
  <c r="AR938" i="1"/>
  <c r="AR935" i="1"/>
  <c r="AS942" i="1"/>
  <c r="AQ942" i="1"/>
  <c r="AQ939" i="1"/>
  <c r="AT940" i="1"/>
  <c r="AO942" i="1"/>
  <c r="AR940" i="1"/>
  <c r="AQ943" i="1"/>
  <c r="AQ937" i="1"/>
  <c r="AS944" i="1"/>
  <c r="AO943" i="1"/>
  <c r="AS941" i="1"/>
  <c r="AO940" i="1"/>
  <c r="AS938" i="1"/>
  <c r="AO937" i="1"/>
  <c r="AS935" i="1"/>
  <c r="AR944" i="1"/>
  <c r="AR941" i="1"/>
  <c r="AO941" i="1"/>
  <c r="AR942" i="1"/>
  <c r="AR939" i="1"/>
  <c r="AR936" i="1"/>
  <c r="AQ936" i="1"/>
  <c r="AT943" i="1"/>
  <c r="AS943" i="1"/>
  <c r="AR943" i="1"/>
  <c r="AQ944" i="1"/>
  <c r="AQ941" i="1"/>
  <c r="AQ938" i="1"/>
  <c r="AQ935" i="1"/>
  <c r="AP944" i="1"/>
  <c r="AT942" i="1"/>
  <c r="AP941" i="1"/>
  <c r="AT939" i="1"/>
  <c r="AP938" i="1"/>
  <c r="AT936" i="1"/>
  <c r="AP935" i="1"/>
  <c r="AO944" i="1"/>
  <c r="AS939" i="1"/>
  <c r="AO938" i="1"/>
  <c r="AS936" i="1"/>
  <c r="AO935" i="1"/>
  <c r="AP942" i="1"/>
  <c r="AP939" i="1"/>
  <c r="AT937" i="1"/>
  <c r="AP936" i="1"/>
  <c r="AS940" i="1"/>
  <c r="AO939" i="1"/>
  <c r="AS937" i="1"/>
  <c r="AO936" i="1"/>
  <c r="AR937" i="1"/>
  <c r="AQ940" i="1"/>
  <c r="AT949" i="1"/>
  <c r="AP948" i="1"/>
  <c r="AT946" i="1"/>
  <c r="AP945" i="1"/>
  <c r="AS949" i="1"/>
  <c r="AO948" i="1"/>
  <c r="AS946" i="1"/>
  <c r="AO945" i="1"/>
  <c r="AP946" i="1"/>
  <c r="AS947" i="1"/>
  <c r="AR949" i="1"/>
  <c r="AR946" i="1"/>
  <c r="AT947" i="1"/>
  <c r="AO946" i="1"/>
  <c r="AQ949" i="1"/>
  <c r="AQ946" i="1"/>
  <c r="AP949" i="1"/>
  <c r="AO949" i="1"/>
  <c r="AR947" i="1"/>
  <c r="AQ947" i="1"/>
  <c r="AT948" i="1"/>
  <c r="AP947" i="1"/>
  <c r="AT945" i="1"/>
  <c r="AS948" i="1"/>
  <c r="AO947" i="1"/>
  <c r="AS945" i="1"/>
  <c r="AR948" i="1"/>
  <c r="AR945" i="1"/>
  <c r="AQ948" i="1"/>
  <c r="AQ945" i="1"/>
  <c r="AO389" i="1"/>
  <c r="AQ387" i="1"/>
  <c r="AT443" i="1"/>
  <c r="AP442" i="1"/>
  <c r="AT440" i="1"/>
  <c r="AP439" i="1"/>
  <c r="AT437" i="1"/>
  <c r="AP436" i="1"/>
  <c r="AT434" i="1"/>
  <c r="AP433" i="1"/>
  <c r="AT431" i="1"/>
  <c r="AP430" i="1"/>
  <c r="AT428" i="1"/>
  <c r="AP427" i="1"/>
  <c r="AT425" i="1"/>
  <c r="AP424" i="1"/>
  <c r="AT422" i="1"/>
  <c r="AP421" i="1"/>
  <c r="AT419" i="1"/>
  <c r="AP418" i="1"/>
  <c r="AT416" i="1"/>
  <c r="AP415" i="1"/>
  <c r="AT413" i="1"/>
  <c r="AP412" i="1"/>
  <c r="AT410" i="1"/>
  <c r="AP409" i="1"/>
  <c r="AT407" i="1"/>
  <c r="AP406" i="1"/>
  <c r="AT404" i="1"/>
  <c r="AP403" i="1"/>
  <c r="AT401" i="1"/>
  <c r="AP400" i="1"/>
  <c r="AT398" i="1"/>
  <c r="AP397" i="1"/>
  <c r="AT395" i="1"/>
  <c r="AP394" i="1"/>
  <c r="AT392" i="1"/>
  <c r="AP391" i="1"/>
  <c r="AT389" i="1"/>
  <c r="AP388" i="1"/>
  <c r="AT386" i="1"/>
  <c r="AP385" i="1"/>
  <c r="AT383" i="1"/>
  <c r="AP382" i="1"/>
  <c r="AT380" i="1"/>
  <c r="AP379" i="1"/>
  <c r="AT377" i="1"/>
  <c r="AP376" i="1"/>
  <c r="AT374" i="1"/>
  <c r="AP373" i="1"/>
  <c r="AT371" i="1"/>
  <c r="AP370" i="1"/>
  <c r="AT368" i="1"/>
  <c r="AP367" i="1"/>
  <c r="AT365" i="1"/>
  <c r="AP364" i="1"/>
  <c r="AT362" i="1"/>
  <c r="AP361" i="1"/>
  <c r="AT359" i="1"/>
  <c r="AP358" i="1"/>
  <c r="AT356" i="1"/>
  <c r="AP355" i="1"/>
  <c r="AT353" i="1"/>
  <c r="AP352" i="1"/>
  <c r="AT350" i="1"/>
  <c r="AP349" i="1"/>
  <c r="AT347" i="1"/>
  <c r="AP346" i="1"/>
  <c r="AT344" i="1"/>
  <c r="AP343" i="1"/>
  <c r="AT341" i="1"/>
  <c r="AP340" i="1"/>
  <c r="AT338" i="1"/>
  <c r="AP337" i="1"/>
  <c r="AT335" i="1"/>
  <c r="AP334" i="1"/>
  <c r="AT332" i="1"/>
  <c r="AP331" i="1"/>
  <c r="AT329" i="1"/>
  <c r="AP328" i="1"/>
  <c r="AT326" i="1"/>
  <c r="AP325" i="1"/>
  <c r="AT323" i="1"/>
  <c r="AP322" i="1"/>
  <c r="AT320" i="1"/>
  <c r="AP319" i="1"/>
  <c r="AT317" i="1"/>
  <c r="AS443" i="1"/>
  <c r="AO442" i="1"/>
  <c r="AS440" i="1"/>
  <c r="AO439" i="1"/>
  <c r="AS437" i="1"/>
  <c r="AO436" i="1"/>
  <c r="AS434" i="1"/>
  <c r="AO433" i="1"/>
  <c r="AS431" i="1"/>
  <c r="AO430" i="1"/>
  <c r="AS428" i="1"/>
  <c r="AO427" i="1"/>
  <c r="AS425" i="1"/>
  <c r="AO424" i="1"/>
  <c r="AS422" i="1"/>
  <c r="AO421" i="1"/>
  <c r="AS419" i="1"/>
  <c r="AO418" i="1"/>
  <c r="AS416" i="1"/>
  <c r="AO415" i="1"/>
  <c r="AS413" i="1"/>
  <c r="AO412" i="1"/>
  <c r="AS410" i="1"/>
  <c r="AO409" i="1"/>
  <c r="AS407" i="1"/>
  <c r="AO406" i="1"/>
  <c r="AS404" i="1"/>
  <c r="AO403" i="1"/>
  <c r="AS401" i="1"/>
  <c r="AO400" i="1"/>
  <c r="AS398" i="1"/>
  <c r="AO397" i="1"/>
  <c r="AS395" i="1"/>
  <c r="AO394" i="1"/>
  <c r="AS392" i="1"/>
  <c r="AO391" i="1"/>
  <c r="AS389" i="1"/>
  <c r="AO388" i="1"/>
  <c r="AS386" i="1"/>
  <c r="AO385" i="1"/>
  <c r="AS383" i="1"/>
  <c r="AO382" i="1"/>
  <c r="AS380" i="1"/>
  <c r="AO379" i="1"/>
  <c r="AS377" i="1"/>
  <c r="AO376" i="1"/>
  <c r="AS374" i="1"/>
  <c r="AO373" i="1"/>
  <c r="AS371" i="1"/>
  <c r="AO370" i="1"/>
  <c r="AS368" i="1"/>
  <c r="AO367" i="1"/>
  <c r="AS365" i="1"/>
  <c r="AO364" i="1"/>
  <c r="AS362" i="1"/>
  <c r="AO361" i="1"/>
  <c r="AS359" i="1"/>
  <c r="AO358" i="1"/>
  <c r="AS356" i="1"/>
  <c r="AO355" i="1"/>
  <c r="AS353" i="1"/>
  <c r="AO352" i="1"/>
  <c r="AS350" i="1"/>
  <c r="AO349" i="1"/>
  <c r="AS347" i="1"/>
  <c r="AO346" i="1"/>
  <c r="AS344" i="1"/>
  <c r="AO343" i="1"/>
  <c r="AS341" i="1"/>
  <c r="AO340" i="1"/>
  <c r="AS338" i="1"/>
  <c r="AO337" i="1"/>
  <c r="AS335" i="1"/>
  <c r="AO334" i="1"/>
  <c r="AS332" i="1"/>
  <c r="AO331" i="1"/>
  <c r="AS329" i="1"/>
  <c r="AO328" i="1"/>
  <c r="AS326" i="1"/>
  <c r="AO325" i="1"/>
  <c r="AS323" i="1"/>
  <c r="AO322" i="1"/>
  <c r="AS320" i="1"/>
  <c r="AO319" i="1"/>
  <c r="AS317" i="1"/>
  <c r="AR443" i="1"/>
  <c r="AR440" i="1"/>
  <c r="AR437" i="1"/>
  <c r="AR434" i="1"/>
  <c r="AR431" i="1"/>
  <c r="AR428" i="1"/>
  <c r="AR425" i="1"/>
  <c r="AR422" i="1"/>
  <c r="AR419" i="1"/>
  <c r="AR416" i="1"/>
  <c r="AR413" i="1"/>
  <c r="AR410" i="1"/>
  <c r="AR407" i="1"/>
  <c r="AR404" i="1"/>
  <c r="AR401" i="1"/>
  <c r="AR398" i="1"/>
  <c r="AR395" i="1"/>
  <c r="AR392" i="1"/>
  <c r="AR389" i="1"/>
  <c r="AR386" i="1"/>
  <c r="AR383" i="1"/>
  <c r="AR380" i="1"/>
  <c r="AR377" i="1"/>
  <c r="AR374" i="1"/>
  <c r="AR371" i="1"/>
  <c r="AR368" i="1"/>
  <c r="AR365" i="1"/>
  <c r="AR362" i="1"/>
  <c r="AR359" i="1"/>
  <c r="AR356" i="1"/>
  <c r="AR353" i="1"/>
  <c r="AR350" i="1"/>
  <c r="AR347" i="1"/>
  <c r="AR344" i="1"/>
  <c r="AR341" i="1"/>
  <c r="AR338" i="1"/>
  <c r="AR335" i="1"/>
  <c r="AR332" i="1"/>
  <c r="AR329" i="1"/>
  <c r="AR326" i="1"/>
  <c r="AR323" i="1"/>
  <c r="AR320" i="1"/>
  <c r="AR317" i="1"/>
  <c r="AQ443" i="1"/>
  <c r="AQ440" i="1"/>
  <c r="AQ437" i="1"/>
  <c r="AQ434" i="1"/>
  <c r="AQ431" i="1"/>
  <c r="AQ428" i="1"/>
  <c r="AQ425" i="1"/>
  <c r="AQ422" i="1"/>
  <c r="AQ419" i="1"/>
  <c r="AQ416" i="1"/>
  <c r="AQ413" i="1"/>
  <c r="AQ410" i="1"/>
  <c r="AQ407" i="1"/>
  <c r="AQ404" i="1"/>
  <c r="AQ401" i="1"/>
  <c r="AQ398" i="1"/>
  <c r="AQ395" i="1"/>
  <c r="AQ392" i="1"/>
  <c r="AP443" i="1"/>
  <c r="AT441" i="1"/>
  <c r="AP440" i="1"/>
  <c r="AT438" i="1"/>
  <c r="AP437" i="1"/>
  <c r="AT435" i="1"/>
  <c r="AP434" i="1"/>
  <c r="AT432" i="1"/>
  <c r="AP431" i="1"/>
  <c r="AT429" i="1"/>
  <c r="AP428" i="1"/>
  <c r="AT426" i="1"/>
  <c r="AP425" i="1"/>
  <c r="AT423" i="1"/>
  <c r="AP422" i="1"/>
  <c r="AT420" i="1"/>
  <c r="AP419" i="1"/>
  <c r="AT417" i="1"/>
  <c r="AP416" i="1"/>
  <c r="AT414" i="1"/>
  <c r="AP413" i="1"/>
  <c r="AT411" i="1"/>
  <c r="AP410" i="1"/>
  <c r="AT408" i="1"/>
  <c r="AP407" i="1"/>
  <c r="AT405" i="1"/>
  <c r="AP404" i="1"/>
  <c r="AT402" i="1"/>
  <c r="AP401" i="1"/>
  <c r="AT399" i="1"/>
  <c r="AP398" i="1"/>
  <c r="AT396" i="1"/>
  <c r="AP395" i="1"/>
  <c r="AT393" i="1"/>
  <c r="AP392" i="1"/>
  <c r="AT390" i="1"/>
  <c r="AP389" i="1"/>
  <c r="AT387" i="1"/>
  <c r="AP386" i="1"/>
  <c r="AT384" i="1"/>
  <c r="AP383" i="1"/>
  <c r="AT381" i="1"/>
  <c r="AP380" i="1"/>
  <c r="AT378" i="1"/>
  <c r="AP377" i="1"/>
  <c r="AT375" i="1"/>
  <c r="AP374" i="1"/>
  <c r="AT372" i="1"/>
  <c r="AP371" i="1"/>
  <c r="AT369" i="1"/>
  <c r="AP368" i="1"/>
  <c r="AT366" i="1"/>
  <c r="AP365" i="1"/>
  <c r="AT363" i="1"/>
  <c r="AP362" i="1"/>
  <c r="AT360" i="1"/>
  <c r="AP359" i="1"/>
  <c r="AT357" i="1"/>
  <c r="AP356" i="1"/>
  <c r="AT354" i="1"/>
  <c r="AP353" i="1"/>
  <c r="AT351" i="1"/>
  <c r="AP350" i="1"/>
  <c r="AT348" i="1"/>
  <c r="AP347" i="1"/>
  <c r="AT345" i="1"/>
  <c r="AP344" i="1"/>
  <c r="AT342" i="1"/>
  <c r="AP341" i="1"/>
  <c r="AT339" i="1"/>
  <c r="AP338" i="1"/>
  <c r="AT336" i="1"/>
  <c r="AP335" i="1"/>
  <c r="AT333" i="1"/>
  <c r="AP332" i="1"/>
  <c r="AT330" i="1"/>
  <c r="AP329" i="1"/>
  <c r="AT327" i="1"/>
  <c r="AP326" i="1"/>
  <c r="AT324" i="1"/>
  <c r="AP323" i="1"/>
  <c r="AT321" i="1"/>
  <c r="AP320" i="1"/>
  <c r="AT318" i="1"/>
  <c r="AP317" i="1"/>
  <c r="AO443" i="1"/>
  <c r="AQ441" i="1"/>
  <c r="AQ438" i="1"/>
  <c r="AQ435" i="1"/>
  <c r="AQ432" i="1"/>
  <c r="AQ429" i="1"/>
  <c r="AQ426" i="1"/>
  <c r="AQ423" i="1"/>
  <c r="AQ420" i="1"/>
  <c r="AQ417" i="1"/>
  <c r="AQ414" i="1"/>
  <c r="AQ411" i="1"/>
  <c r="AQ408" i="1"/>
  <c r="AQ405" i="1"/>
  <c r="AQ402" i="1"/>
  <c r="AQ399" i="1"/>
  <c r="AQ396" i="1"/>
  <c r="AQ393" i="1"/>
  <c r="AT442" i="1"/>
  <c r="AP441" i="1"/>
  <c r="AT439" i="1"/>
  <c r="AP438" i="1"/>
  <c r="AT436" i="1"/>
  <c r="AP435" i="1"/>
  <c r="AT433" i="1"/>
  <c r="AP432" i="1"/>
  <c r="AT430" i="1"/>
  <c r="AP429" i="1"/>
  <c r="AT427" i="1"/>
  <c r="AP426" i="1"/>
  <c r="AT424" i="1"/>
  <c r="AP423" i="1"/>
  <c r="AT421" i="1"/>
  <c r="AP420" i="1"/>
  <c r="AT418" i="1"/>
  <c r="AP417" i="1"/>
  <c r="AT415" i="1"/>
  <c r="AP414" i="1"/>
  <c r="AT412" i="1"/>
  <c r="AP411" i="1"/>
  <c r="AT409" i="1"/>
  <c r="AP408" i="1"/>
  <c r="AT406" i="1"/>
  <c r="AP405" i="1"/>
  <c r="AT403" i="1"/>
  <c r="AP402" i="1"/>
  <c r="AT400" i="1"/>
  <c r="AP399" i="1"/>
  <c r="AT397" i="1"/>
  <c r="AP396" i="1"/>
  <c r="AT394" i="1"/>
  <c r="AP393" i="1"/>
  <c r="AT391" i="1"/>
  <c r="AP390" i="1"/>
  <c r="AS442" i="1"/>
  <c r="AO441" i="1"/>
  <c r="AS439" i="1"/>
  <c r="AO438" i="1"/>
  <c r="AS436" i="1"/>
  <c r="AO435" i="1"/>
  <c r="AS433" i="1"/>
  <c r="AO432" i="1"/>
  <c r="AS430" i="1"/>
  <c r="AO429" i="1"/>
  <c r="AS427" i="1"/>
  <c r="AO426" i="1"/>
  <c r="AS424" i="1"/>
  <c r="AO423" i="1"/>
  <c r="AS421" i="1"/>
  <c r="AO420" i="1"/>
  <c r="AS418" i="1"/>
  <c r="AO417" i="1"/>
  <c r="AS415" i="1"/>
  <c r="AO414" i="1"/>
  <c r="AS412" i="1"/>
  <c r="AO411" i="1"/>
  <c r="AS409" i="1"/>
  <c r="AO408" i="1"/>
  <c r="AS406" i="1"/>
  <c r="AO405" i="1"/>
  <c r="AS403" i="1"/>
  <c r="AO402" i="1"/>
  <c r="AS400" i="1"/>
  <c r="AO399" i="1"/>
  <c r="AS397" i="1"/>
  <c r="AO396" i="1"/>
  <c r="AS394" i="1"/>
  <c r="AO393" i="1"/>
  <c r="AS391" i="1"/>
  <c r="AO390" i="1"/>
  <c r="AS388" i="1"/>
  <c r="AO387" i="1"/>
  <c r="AS385" i="1"/>
  <c r="AO384" i="1"/>
  <c r="AS382" i="1"/>
  <c r="AO381" i="1"/>
  <c r="AS379" i="1"/>
  <c r="AO378" i="1"/>
  <c r="AS376" i="1"/>
  <c r="AO375" i="1"/>
  <c r="AS373" i="1"/>
  <c r="AO372" i="1"/>
  <c r="AS370" i="1"/>
  <c r="AO369" i="1"/>
  <c r="AS367" i="1"/>
  <c r="AO366" i="1"/>
  <c r="AS364" i="1"/>
  <c r="AO363" i="1"/>
  <c r="AS361" i="1"/>
  <c r="AO360" i="1"/>
  <c r="AS358" i="1"/>
  <c r="AO357" i="1"/>
  <c r="AS355" i="1"/>
  <c r="AO354" i="1"/>
  <c r="AS352" i="1"/>
  <c r="AO351" i="1"/>
  <c r="AS349" i="1"/>
  <c r="AO348" i="1"/>
  <c r="AS346" i="1"/>
  <c r="AO345" i="1"/>
  <c r="AS343" i="1"/>
  <c r="AO342" i="1"/>
  <c r="AS340" i="1"/>
  <c r="AO339" i="1"/>
  <c r="AS337" i="1"/>
  <c r="AO336" i="1"/>
  <c r="AS334" i="1"/>
  <c r="AO333" i="1"/>
  <c r="AS331" i="1"/>
  <c r="AO330" i="1"/>
  <c r="AS328" i="1"/>
  <c r="AO327" i="1"/>
  <c r="AS325" i="1"/>
  <c r="AO324" i="1"/>
  <c r="AS322" i="1"/>
  <c r="AO321" i="1"/>
  <c r="AS319" i="1"/>
  <c r="AO318" i="1"/>
  <c r="AS316" i="1"/>
  <c r="AR442" i="1"/>
  <c r="AR439" i="1"/>
  <c r="AR436" i="1"/>
  <c r="AR433" i="1"/>
  <c r="AR430" i="1"/>
  <c r="AR427" i="1"/>
  <c r="AR424" i="1"/>
  <c r="AR421" i="1"/>
  <c r="AR418" i="1"/>
  <c r="AR415" i="1"/>
  <c r="AR412" i="1"/>
  <c r="AR409" i="1"/>
  <c r="AR406" i="1"/>
  <c r="AR403" i="1"/>
  <c r="AR400" i="1"/>
  <c r="AR397" i="1"/>
  <c r="AR394" i="1"/>
  <c r="AR391" i="1"/>
  <c r="AR388" i="1"/>
  <c r="AR385" i="1"/>
  <c r="AR382" i="1"/>
  <c r="AR379" i="1"/>
  <c r="AR376" i="1"/>
  <c r="AR373" i="1"/>
  <c r="AR370" i="1"/>
  <c r="AR367" i="1"/>
  <c r="AR364" i="1"/>
  <c r="AR361" i="1"/>
  <c r="AR358" i="1"/>
  <c r="AR355" i="1"/>
  <c r="AR352" i="1"/>
  <c r="AR349" i="1"/>
  <c r="AR346" i="1"/>
  <c r="AR343" i="1"/>
  <c r="AR340" i="1"/>
  <c r="AR337" i="1"/>
  <c r="AR334" i="1"/>
  <c r="AR331" i="1"/>
  <c r="AR328" i="1"/>
  <c r="AR325" i="1"/>
  <c r="AR322" i="1"/>
  <c r="AR319" i="1"/>
  <c r="AS438" i="1"/>
  <c r="AS429" i="1"/>
  <c r="AS420" i="1"/>
  <c r="AS411" i="1"/>
  <c r="AS402" i="1"/>
  <c r="AS393" i="1"/>
  <c r="AQ389" i="1"/>
  <c r="AQ386" i="1"/>
  <c r="AQ383" i="1"/>
  <c r="AQ380" i="1"/>
  <c r="AQ377" i="1"/>
  <c r="AQ374" i="1"/>
  <c r="AQ371" i="1"/>
  <c r="AQ368" i="1"/>
  <c r="AQ365" i="1"/>
  <c r="AQ362" i="1"/>
  <c r="AQ359" i="1"/>
  <c r="AQ356" i="1"/>
  <c r="AQ353" i="1"/>
  <c r="AQ350" i="1"/>
  <c r="AQ347" i="1"/>
  <c r="AQ344" i="1"/>
  <c r="AQ341" i="1"/>
  <c r="AQ338" i="1"/>
  <c r="AQ335" i="1"/>
  <c r="AQ332" i="1"/>
  <c r="AQ329" i="1"/>
  <c r="AQ326" i="1"/>
  <c r="AQ323" i="1"/>
  <c r="AQ320" i="1"/>
  <c r="AQ317" i="1"/>
  <c r="AS315" i="1"/>
  <c r="AO314" i="1"/>
  <c r="AS312" i="1"/>
  <c r="AO311" i="1"/>
  <c r="AS309" i="1"/>
  <c r="AO308" i="1"/>
  <c r="AS306" i="1"/>
  <c r="AO305" i="1"/>
  <c r="AS303" i="1"/>
  <c r="AO302" i="1"/>
  <c r="AS300" i="1"/>
  <c r="AO299" i="1"/>
  <c r="AS297" i="1"/>
  <c r="AO296" i="1"/>
  <c r="AS294" i="1"/>
  <c r="AO293" i="1"/>
  <c r="AS291" i="1"/>
  <c r="AO290" i="1"/>
  <c r="AO428" i="1"/>
  <c r="AO419" i="1"/>
  <c r="AO401" i="1"/>
  <c r="AO392" i="1"/>
  <c r="AT313" i="1"/>
  <c r="AT307" i="1"/>
  <c r="AP303" i="1"/>
  <c r="AT298" i="1"/>
  <c r="AP294" i="1"/>
  <c r="AR438" i="1"/>
  <c r="AR429" i="1"/>
  <c r="AR420" i="1"/>
  <c r="AR411" i="1"/>
  <c r="AR402" i="1"/>
  <c r="AR393" i="1"/>
  <c r="AO386" i="1"/>
  <c r="AO383" i="1"/>
  <c r="AO380" i="1"/>
  <c r="AO377" i="1"/>
  <c r="AO374" i="1"/>
  <c r="AO371" i="1"/>
  <c r="AO368" i="1"/>
  <c r="AO365" i="1"/>
  <c r="AO362" i="1"/>
  <c r="AO359" i="1"/>
  <c r="AO356" i="1"/>
  <c r="AO353" i="1"/>
  <c r="AO350" i="1"/>
  <c r="AO347" i="1"/>
  <c r="AO344" i="1"/>
  <c r="AO341" i="1"/>
  <c r="AO338" i="1"/>
  <c r="AO335" i="1"/>
  <c r="AO332" i="1"/>
  <c r="AO329" i="1"/>
  <c r="AO326" i="1"/>
  <c r="AO323" i="1"/>
  <c r="AO320" i="1"/>
  <c r="AO317" i="1"/>
  <c r="AR315" i="1"/>
  <c r="AR312" i="1"/>
  <c r="AR309" i="1"/>
  <c r="AR306" i="1"/>
  <c r="AR303" i="1"/>
  <c r="AR300" i="1"/>
  <c r="AR297" i="1"/>
  <c r="AR294" i="1"/>
  <c r="AR291" i="1"/>
  <c r="AO437" i="1"/>
  <c r="AP315" i="1"/>
  <c r="AP312" i="1"/>
  <c r="AP309" i="1"/>
  <c r="AP306" i="1"/>
  <c r="AT301" i="1"/>
  <c r="AP297" i="1"/>
  <c r="AP291" i="1"/>
  <c r="AS432" i="1"/>
  <c r="AQ442" i="1"/>
  <c r="AQ433" i="1"/>
  <c r="AQ424" i="1"/>
  <c r="AQ415" i="1"/>
  <c r="AQ406" i="1"/>
  <c r="AQ397" i="1"/>
  <c r="AQ315" i="1"/>
  <c r="AQ312" i="1"/>
  <c r="AQ309" i="1"/>
  <c r="AQ306" i="1"/>
  <c r="AQ303" i="1"/>
  <c r="AQ300" i="1"/>
  <c r="AQ297" i="1"/>
  <c r="AQ294" i="1"/>
  <c r="AQ291" i="1"/>
  <c r="AO410" i="1"/>
  <c r="AT310" i="1"/>
  <c r="AT304" i="1"/>
  <c r="AP300" i="1"/>
  <c r="AT295" i="1"/>
  <c r="AT292" i="1"/>
  <c r="AS441" i="1"/>
  <c r="AS423" i="1"/>
  <c r="AS414" i="1"/>
  <c r="AR441" i="1"/>
  <c r="AR432" i="1"/>
  <c r="AR423" i="1"/>
  <c r="AR414" i="1"/>
  <c r="AR405" i="1"/>
  <c r="AR396" i="1"/>
  <c r="AQ388" i="1"/>
  <c r="AQ385" i="1"/>
  <c r="AQ382" i="1"/>
  <c r="AQ379" i="1"/>
  <c r="AQ376" i="1"/>
  <c r="AQ373" i="1"/>
  <c r="AQ370" i="1"/>
  <c r="AQ367" i="1"/>
  <c r="AQ364" i="1"/>
  <c r="AQ361" i="1"/>
  <c r="AQ358" i="1"/>
  <c r="AQ355" i="1"/>
  <c r="AQ352" i="1"/>
  <c r="AQ349" i="1"/>
  <c r="AQ346" i="1"/>
  <c r="AQ343" i="1"/>
  <c r="AQ340" i="1"/>
  <c r="AQ337" i="1"/>
  <c r="AQ334" i="1"/>
  <c r="AQ331" i="1"/>
  <c r="AQ328" i="1"/>
  <c r="AQ325" i="1"/>
  <c r="AQ322" i="1"/>
  <c r="AQ319" i="1"/>
  <c r="AR316" i="1"/>
  <c r="AR313" i="1"/>
  <c r="AR310" i="1"/>
  <c r="AR307" i="1"/>
  <c r="AR304" i="1"/>
  <c r="AR301" i="1"/>
  <c r="AR298" i="1"/>
  <c r="AR295" i="1"/>
  <c r="AR292" i="1"/>
  <c r="AR375" i="1"/>
  <c r="AR351" i="1"/>
  <c r="AR333" i="1"/>
  <c r="AR318" i="1"/>
  <c r="AO310" i="1"/>
  <c r="AO304" i="1"/>
  <c r="AS299" i="1"/>
  <c r="AS293" i="1"/>
  <c r="AR435" i="1"/>
  <c r="AQ375" i="1"/>
  <c r="AQ357" i="1"/>
  <c r="AQ342" i="1"/>
  <c r="AQ327" i="1"/>
  <c r="AR314" i="1"/>
  <c r="AR308" i="1"/>
  <c r="AR293" i="1"/>
  <c r="AQ436" i="1"/>
  <c r="AQ427" i="1"/>
  <c r="AQ418" i="1"/>
  <c r="AQ409" i="1"/>
  <c r="AQ400" i="1"/>
  <c r="AQ391" i="1"/>
  <c r="AQ316" i="1"/>
  <c r="AQ313" i="1"/>
  <c r="AQ310" i="1"/>
  <c r="AQ307" i="1"/>
  <c r="AQ304" i="1"/>
  <c r="AQ301" i="1"/>
  <c r="AQ298" i="1"/>
  <c r="AQ295" i="1"/>
  <c r="AQ292" i="1"/>
  <c r="AS435" i="1"/>
  <c r="AS426" i="1"/>
  <c r="AS417" i="1"/>
  <c r="AS408" i="1"/>
  <c r="AS399" i="1"/>
  <c r="AR387" i="1"/>
  <c r="AR381" i="1"/>
  <c r="AR372" i="1"/>
  <c r="AR366" i="1"/>
  <c r="AR360" i="1"/>
  <c r="AR354" i="1"/>
  <c r="AR345" i="1"/>
  <c r="AR339" i="1"/>
  <c r="AR336" i="1"/>
  <c r="AR327" i="1"/>
  <c r="AR321" i="1"/>
  <c r="AS314" i="1"/>
  <c r="AS311" i="1"/>
  <c r="AO307" i="1"/>
  <c r="AS302" i="1"/>
  <c r="AO298" i="1"/>
  <c r="AO295" i="1"/>
  <c r="AS290" i="1"/>
  <c r="AR426" i="1"/>
  <c r="AR417" i="1"/>
  <c r="AR399" i="1"/>
  <c r="AR390" i="1"/>
  <c r="AQ384" i="1"/>
  <c r="AQ381" i="1"/>
  <c r="AQ372" i="1"/>
  <c r="AQ366" i="1"/>
  <c r="AQ360" i="1"/>
  <c r="AQ351" i="1"/>
  <c r="AQ348" i="1"/>
  <c r="AQ339" i="1"/>
  <c r="AQ333" i="1"/>
  <c r="AQ324" i="1"/>
  <c r="AR311" i="1"/>
  <c r="AR290" i="1"/>
  <c r="AO440" i="1"/>
  <c r="AO431" i="1"/>
  <c r="AO422" i="1"/>
  <c r="AO413" i="1"/>
  <c r="AO404" i="1"/>
  <c r="AO395" i="1"/>
  <c r="AS387" i="1"/>
  <c r="AS384" i="1"/>
  <c r="AS381" i="1"/>
  <c r="AS378" i="1"/>
  <c r="AS375" i="1"/>
  <c r="AS372" i="1"/>
  <c r="AS369" i="1"/>
  <c r="AS366" i="1"/>
  <c r="AS363" i="1"/>
  <c r="AS360" i="1"/>
  <c r="AS357" i="1"/>
  <c r="AS354" i="1"/>
  <c r="AS351" i="1"/>
  <c r="AS348" i="1"/>
  <c r="AS345" i="1"/>
  <c r="AS342" i="1"/>
  <c r="AS339" i="1"/>
  <c r="AS336" i="1"/>
  <c r="AS333" i="1"/>
  <c r="AS330" i="1"/>
  <c r="AS327" i="1"/>
  <c r="AS324" i="1"/>
  <c r="AS321" i="1"/>
  <c r="AS318" i="1"/>
  <c r="AP316" i="1"/>
  <c r="AT314" i="1"/>
  <c r="AP313" i="1"/>
  <c r="AT311" i="1"/>
  <c r="AP310" i="1"/>
  <c r="AT308" i="1"/>
  <c r="AP307" i="1"/>
  <c r="AT305" i="1"/>
  <c r="AP304" i="1"/>
  <c r="AT302" i="1"/>
  <c r="AP301" i="1"/>
  <c r="AT299" i="1"/>
  <c r="AP298" i="1"/>
  <c r="AT296" i="1"/>
  <c r="AP295" i="1"/>
  <c r="AT293" i="1"/>
  <c r="AP292" i="1"/>
  <c r="AT290" i="1"/>
  <c r="AS390" i="1"/>
  <c r="AR384" i="1"/>
  <c r="AR378" i="1"/>
  <c r="AR369" i="1"/>
  <c r="AR363" i="1"/>
  <c r="AR357" i="1"/>
  <c r="AR348" i="1"/>
  <c r="AR342" i="1"/>
  <c r="AR330" i="1"/>
  <c r="AR324" i="1"/>
  <c r="AO316" i="1"/>
  <c r="AO313" i="1"/>
  <c r="AS308" i="1"/>
  <c r="AS305" i="1"/>
  <c r="AO301" i="1"/>
  <c r="AS296" i="1"/>
  <c r="AO292" i="1"/>
  <c r="AR408" i="1"/>
  <c r="AQ378" i="1"/>
  <c r="AQ369" i="1"/>
  <c r="AQ363" i="1"/>
  <c r="AQ354" i="1"/>
  <c r="AQ345" i="1"/>
  <c r="AQ336" i="1"/>
  <c r="AQ330" i="1"/>
  <c r="AQ321" i="1"/>
  <c r="AQ318" i="1"/>
  <c r="AR305" i="1"/>
  <c r="AR302" i="1"/>
  <c r="AR299" i="1"/>
  <c r="AR296" i="1"/>
  <c r="AQ412" i="1"/>
  <c r="AQ390" i="1"/>
  <c r="AT361" i="1"/>
  <c r="AP354" i="1"/>
  <c r="AT325" i="1"/>
  <c r="AP318" i="1"/>
  <c r="AQ308" i="1"/>
  <c r="AQ299" i="1"/>
  <c r="AQ290" i="1"/>
  <c r="AT367" i="1"/>
  <c r="AO425" i="1"/>
  <c r="AT352" i="1"/>
  <c r="AT316" i="1"/>
  <c r="AS307" i="1"/>
  <c r="AP330" i="1"/>
  <c r="AQ293" i="1"/>
  <c r="AO434" i="1"/>
  <c r="AT382" i="1"/>
  <c r="AP375" i="1"/>
  <c r="AT346" i="1"/>
  <c r="AP339" i="1"/>
  <c r="AT312" i="1"/>
  <c r="AP308" i="1"/>
  <c r="AT303" i="1"/>
  <c r="AP299" i="1"/>
  <c r="AT294" i="1"/>
  <c r="AP290" i="1"/>
  <c r="AQ403" i="1"/>
  <c r="AT388" i="1"/>
  <c r="AP381" i="1"/>
  <c r="AS298" i="1"/>
  <c r="AT337" i="1"/>
  <c r="AQ311" i="1"/>
  <c r="AQ302" i="1"/>
  <c r="AS396" i="1"/>
  <c r="AP360" i="1"/>
  <c r="AT331" i="1"/>
  <c r="AP324" i="1"/>
  <c r="AO312" i="1"/>
  <c r="AO303" i="1"/>
  <c r="AO294" i="1"/>
  <c r="AP345" i="1"/>
  <c r="AT373" i="1"/>
  <c r="AP366" i="1"/>
  <c r="AO416" i="1"/>
  <c r="AP387" i="1"/>
  <c r="AT358" i="1"/>
  <c r="AP351" i="1"/>
  <c r="AT322" i="1"/>
  <c r="AT315" i="1"/>
  <c r="AP311" i="1"/>
  <c r="AT306" i="1"/>
  <c r="AP302" i="1"/>
  <c r="AT297" i="1"/>
  <c r="AP293" i="1"/>
  <c r="AQ439" i="1"/>
  <c r="AQ394" i="1"/>
  <c r="AT379" i="1"/>
  <c r="AP372" i="1"/>
  <c r="AT343" i="1"/>
  <c r="AP336" i="1"/>
  <c r="AO315" i="1"/>
  <c r="AO306" i="1"/>
  <c r="AO297" i="1"/>
  <c r="AT340" i="1"/>
  <c r="AP333" i="1"/>
  <c r="AS313" i="1"/>
  <c r="AS304" i="1"/>
  <c r="AO407" i="1"/>
  <c r="AT364" i="1"/>
  <c r="AP357" i="1"/>
  <c r="AT328" i="1"/>
  <c r="AP321" i="1"/>
  <c r="AS310" i="1"/>
  <c r="AS301" i="1"/>
  <c r="AS292" i="1"/>
  <c r="AO309" i="1"/>
  <c r="AO300" i="1"/>
  <c r="AQ430" i="1"/>
  <c r="AT385" i="1"/>
  <c r="AP378" i="1"/>
  <c r="AT349" i="1"/>
  <c r="AP342" i="1"/>
  <c r="AQ314" i="1"/>
  <c r="AQ305" i="1"/>
  <c r="AQ296" i="1"/>
  <c r="AT370" i="1"/>
  <c r="AP363" i="1"/>
  <c r="AT334" i="1"/>
  <c r="AP327" i="1"/>
  <c r="AP314" i="1"/>
  <c r="AT309" i="1"/>
  <c r="AP305" i="1"/>
  <c r="AT300" i="1"/>
  <c r="AP296" i="1"/>
  <c r="AT291" i="1"/>
  <c r="AQ421" i="1"/>
  <c r="AO398" i="1"/>
  <c r="AP384" i="1"/>
  <c r="AT355" i="1"/>
  <c r="AP348" i="1"/>
  <c r="AT319" i="1"/>
  <c r="AO291" i="1"/>
  <c r="AS405" i="1"/>
  <c r="AT376" i="1"/>
  <c r="AP369" i="1"/>
  <c r="AS295" i="1"/>
  <c r="AT469" i="1"/>
  <c r="AP468" i="1"/>
  <c r="AT466" i="1"/>
  <c r="AP465" i="1"/>
  <c r="AT463" i="1"/>
  <c r="AP462" i="1"/>
  <c r="AT460" i="1"/>
  <c r="AP459" i="1"/>
  <c r="AT457" i="1"/>
  <c r="AP456" i="1"/>
  <c r="AT454" i="1"/>
  <c r="AP453" i="1"/>
  <c r="AT451" i="1"/>
  <c r="AP450" i="1"/>
  <c r="AT448" i="1"/>
  <c r="AP447" i="1"/>
  <c r="AT445" i="1"/>
  <c r="AP444" i="1"/>
  <c r="AT464" i="1"/>
  <c r="AT468" i="1"/>
  <c r="AP449" i="1"/>
  <c r="AS468" i="1"/>
  <c r="AS459" i="1"/>
  <c r="AS453" i="1"/>
  <c r="AO446" i="1"/>
  <c r="AR468" i="1"/>
  <c r="AR459" i="1"/>
  <c r="AQ468" i="1"/>
  <c r="AS469" i="1"/>
  <c r="AO468" i="1"/>
  <c r="AS466" i="1"/>
  <c r="AO465" i="1"/>
  <c r="AS463" i="1"/>
  <c r="AO462" i="1"/>
  <c r="AS460" i="1"/>
  <c r="AO459" i="1"/>
  <c r="AS457" i="1"/>
  <c r="AO456" i="1"/>
  <c r="AS454" i="1"/>
  <c r="AO453" i="1"/>
  <c r="AS451" i="1"/>
  <c r="AO450" i="1"/>
  <c r="AS448" i="1"/>
  <c r="AO447" i="1"/>
  <c r="AS445" i="1"/>
  <c r="AO444" i="1"/>
  <c r="AP466" i="1"/>
  <c r="AQ464" i="1"/>
  <c r="AT465" i="1"/>
  <c r="AO464" i="1"/>
  <c r="AO461" i="1"/>
  <c r="AO455" i="1"/>
  <c r="AS450" i="1"/>
  <c r="AR456" i="1"/>
  <c r="AQ465" i="1"/>
  <c r="AR469" i="1"/>
  <c r="AR466" i="1"/>
  <c r="AR463" i="1"/>
  <c r="AR460" i="1"/>
  <c r="AR457" i="1"/>
  <c r="AR454" i="1"/>
  <c r="AR451" i="1"/>
  <c r="AR448" i="1"/>
  <c r="AR445" i="1"/>
  <c r="AT467" i="1"/>
  <c r="AP467" i="1"/>
  <c r="AT444" i="1"/>
  <c r="AO467" i="1"/>
  <c r="AS456" i="1"/>
  <c r="AS447" i="1"/>
  <c r="AR453" i="1"/>
  <c r="AQ469" i="1"/>
  <c r="AQ466" i="1"/>
  <c r="AQ463" i="1"/>
  <c r="AQ460" i="1"/>
  <c r="AQ457" i="1"/>
  <c r="AQ454" i="1"/>
  <c r="AQ451" i="1"/>
  <c r="AQ448" i="1"/>
  <c r="AQ445" i="1"/>
  <c r="AP469" i="1"/>
  <c r="AP463" i="1"/>
  <c r="AT461" i="1"/>
  <c r="AP460" i="1"/>
  <c r="AT458" i="1"/>
  <c r="AP457" i="1"/>
  <c r="AT455" i="1"/>
  <c r="AP454" i="1"/>
  <c r="AT452" i="1"/>
  <c r="AP451" i="1"/>
  <c r="AT449" i="1"/>
  <c r="AP448" i="1"/>
  <c r="AT446" i="1"/>
  <c r="AP445" i="1"/>
  <c r="AQ467" i="1"/>
  <c r="AT462" i="1"/>
  <c r="AP461" i="1"/>
  <c r="AT459" i="1"/>
  <c r="AP458" i="1"/>
  <c r="AT456" i="1"/>
  <c r="AP455" i="1"/>
  <c r="AT453" i="1"/>
  <c r="AP452" i="1"/>
  <c r="AT450" i="1"/>
  <c r="AT447" i="1"/>
  <c r="AS462" i="1"/>
  <c r="AO449" i="1"/>
  <c r="AR462" i="1"/>
  <c r="AR447" i="1"/>
  <c r="AR444" i="1"/>
  <c r="AQ462" i="1"/>
  <c r="AQ459" i="1"/>
  <c r="AQ456" i="1"/>
  <c r="AQ453" i="1"/>
  <c r="AQ450" i="1"/>
  <c r="AQ447" i="1"/>
  <c r="AQ444" i="1"/>
  <c r="AO469" i="1"/>
  <c r="AS467" i="1"/>
  <c r="AO466" i="1"/>
  <c r="AS464" i="1"/>
  <c r="AO463" i="1"/>
  <c r="AS461" i="1"/>
  <c r="AO460" i="1"/>
  <c r="AS458" i="1"/>
  <c r="AO457" i="1"/>
  <c r="AS455" i="1"/>
  <c r="AO454" i="1"/>
  <c r="AS452" i="1"/>
  <c r="AO451" i="1"/>
  <c r="AS449" i="1"/>
  <c r="AO448" i="1"/>
  <c r="AS446" i="1"/>
  <c r="AO445" i="1"/>
  <c r="AR467" i="1"/>
  <c r="AR464" i="1"/>
  <c r="AR461" i="1"/>
  <c r="AR458" i="1"/>
  <c r="AR455" i="1"/>
  <c r="AR452" i="1"/>
  <c r="AR449" i="1"/>
  <c r="AR446" i="1"/>
  <c r="AQ461" i="1"/>
  <c r="AQ458" i="1"/>
  <c r="AQ455" i="1"/>
  <c r="AQ452" i="1"/>
  <c r="AQ449" i="1"/>
  <c r="AQ446" i="1"/>
  <c r="AP464" i="1"/>
  <c r="AP446" i="1"/>
  <c r="AS465" i="1"/>
  <c r="AO458" i="1"/>
  <c r="AO452" i="1"/>
  <c r="AS444" i="1"/>
  <c r="AR465" i="1"/>
  <c r="AR450" i="1"/>
  <c r="AT495" i="1"/>
  <c r="AP494" i="1"/>
  <c r="AT492" i="1"/>
  <c r="AP491" i="1"/>
  <c r="AT489" i="1"/>
  <c r="AP488" i="1"/>
  <c r="AT486" i="1"/>
  <c r="AP485" i="1"/>
  <c r="AT483" i="1"/>
  <c r="AP482" i="1"/>
  <c r="AT480" i="1"/>
  <c r="AP479" i="1"/>
  <c r="AT477" i="1"/>
  <c r="AP476" i="1"/>
  <c r="AT474" i="1"/>
  <c r="AP473" i="1"/>
  <c r="AT471" i="1"/>
  <c r="AP470" i="1"/>
  <c r="AQ492" i="1"/>
  <c r="AQ486" i="1"/>
  <c r="AQ474" i="1"/>
  <c r="AP492" i="1"/>
  <c r="AT491" i="1"/>
  <c r="AO493" i="1"/>
  <c r="AQ476" i="1"/>
  <c r="AS495" i="1"/>
  <c r="AO494" i="1"/>
  <c r="AS492" i="1"/>
  <c r="AO491" i="1"/>
  <c r="AS489" i="1"/>
  <c r="AO488" i="1"/>
  <c r="AS486" i="1"/>
  <c r="AO485" i="1"/>
  <c r="AS483" i="1"/>
  <c r="AO482" i="1"/>
  <c r="AS480" i="1"/>
  <c r="AO479" i="1"/>
  <c r="AS477" i="1"/>
  <c r="AO476" i="1"/>
  <c r="AS474" i="1"/>
  <c r="AO473" i="1"/>
  <c r="AS471" i="1"/>
  <c r="AO470" i="1"/>
  <c r="AQ483" i="1"/>
  <c r="AQ471" i="1"/>
  <c r="AT493" i="1"/>
  <c r="AP493" i="1"/>
  <c r="AO490" i="1"/>
  <c r="AR491" i="1"/>
  <c r="AR495" i="1"/>
  <c r="AR492" i="1"/>
  <c r="AR489" i="1"/>
  <c r="AR486" i="1"/>
  <c r="AR483" i="1"/>
  <c r="AR480" i="1"/>
  <c r="AR477" i="1"/>
  <c r="AR474" i="1"/>
  <c r="AR471" i="1"/>
  <c r="AQ495" i="1"/>
  <c r="AQ489" i="1"/>
  <c r="AQ480" i="1"/>
  <c r="AQ477" i="1"/>
  <c r="AP495" i="1"/>
  <c r="AT490" i="1"/>
  <c r="AP489" i="1"/>
  <c r="AT487" i="1"/>
  <c r="AP486" i="1"/>
  <c r="AT484" i="1"/>
  <c r="AP483" i="1"/>
  <c r="AT481" i="1"/>
  <c r="AP480" i="1"/>
  <c r="AT478" i="1"/>
  <c r="AP477" i="1"/>
  <c r="AT475" i="1"/>
  <c r="AP474" i="1"/>
  <c r="AT472" i="1"/>
  <c r="AP471" i="1"/>
  <c r="AP490" i="1"/>
  <c r="AS494" i="1"/>
  <c r="AS488" i="1"/>
  <c r="AO487" i="1"/>
  <c r="AS485" i="1"/>
  <c r="AO484" i="1"/>
  <c r="AS482" i="1"/>
  <c r="AO481" i="1"/>
  <c r="AS479" i="1"/>
  <c r="AO478" i="1"/>
  <c r="AS476" i="1"/>
  <c r="AO475" i="1"/>
  <c r="AS473" i="1"/>
  <c r="AO472" i="1"/>
  <c r="AS470" i="1"/>
  <c r="AR494" i="1"/>
  <c r="AR488" i="1"/>
  <c r="AR485" i="1"/>
  <c r="AR482" i="1"/>
  <c r="AR479" i="1"/>
  <c r="AR476" i="1"/>
  <c r="AR473" i="1"/>
  <c r="AR470" i="1"/>
  <c r="AQ494" i="1"/>
  <c r="AQ488" i="1"/>
  <c r="AQ485" i="1"/>
  <c r="AQ482" i="1"/>
  <c r="AQ473" i="1"/>
  <c r="AQ470" i="1"/>
  <c r="AO495" i="1"/>
  <c r="AS493" i="1"/>
  <c r="AO492" i="1"/>
  <c r="AS490" i="1"/>
  <c r="AO489" i="1"/>
  <c r="AS487" i="1"/>
  <c r="AO486" i="1"/>
  <c r="AS484" i="1"/>
  <c r="AO483" i="1"/>
  <c r="AS481" i="1"/>
  <c r="AO480" i="1"/>
  <c r="AS478" i="1"/>
  <c r="AO477" i="1"/>
  <c r="AS475" i="1"/>
  <c r="AO474" i="1"/>
  <c r="AS472" i="1"/>
  <c r="AO471" i="1"/>
  <c r="AR493" i="1"/>
  <c r="AR490" i="1"/>
  <c r="AR487" i="1"/>
  <c r="AR484" i="1"/>
  <c r="AR481" i="1"/>
  <c r="AR478" i="1"/>
  <c r="AR475" i="1"/>
  <c r="AR472" i="1"/>
  <c r="AQ493" i="1"/>
  <c r="AQ490" i="1"/>
  <c r="AQ487" i="1"/>
  <c r="AQ484" i="1"/>
  <c r="AQ481" i="1"/>
  <c r="AQ478" i="1"/>
  <c r="AQ475" i="1"/>
  <c r="AQ472" i="1"/>
  <c r="AT494" i="1"/>
  <c r="AT488" i="1"/>
  <c r="AP487" i="1"/>
  <c r="AT485" i="1"/>
  <c r="AP484" i="1"/>
  <c r="AT482" i="1"/>
  <c r="AP481" i="1"/>
  <c r="AT479" i="1"/>
  <c r="AP478" i="1"/>
  <c r="AT476" i="1"/>
  <c r="AP475" i="1"/>
  <c r="AT473" i="1"/>
  <c r="AP472" i="1"/>
  <c r="AT470" i="1"/>
  <c r="AS491" i="1"/>
  <c r="AQ491" i="1"/>
  <c r="AQ479" i="1"/>
  <c r="AT521" i="1"/>
  <c r="AP520" i="1"/>
  <c r="AT518" i="1"/>
  <c r="AP517" i="1"/>
  <c r="AT515" i="1"/>
  <c r="AP514" i="1"/>
  <c r="AT512" i="1"/>
  <c r="AP511" i="1"/>
  <c r="AT509" i="1"/>
  <c r="AP508" i="1"/>
  <c r="AT506" i="1"/>
  <c r="AP505" i="1"/>
  <c r="AT503" i="1"/>
  <c r="AP502" i="1"/>
  <c r="AT500" i="1"/>
  <c r="AP499" i="1"/>
  <c r="AT497" i="1"/>
  <c r="AP496" i="1"/>
  <c r="AP519" i="1"/>
  <c r="AO519" i="1"/>
  <c r="AQ496" i="1"/>
  <c r="AS521" i="1"/>
  <c r="AO520" i="1"/>
  <c r="AS518" i="1"/>
  <c r="AO517" i="1"/>
  <c r="AS515" i="1"/>
  <c r="AO514" i="1"/>
  <c r="AS512" i="1"/>
  <c r="AO511" i="1"/>
  <c r="AS509" i="1"/>
  <c r="AO508" i="1"/>
  <c r="AS506" i="1"/>
  <c r="AO505" i="1"/>
  <c r="AS503" i="1"/>
  <c r="AO502" i="1"/>
  <c r="AS500" i="1"/>
  <c r="AO499" i="1"/>
  <c r="AS497" i="1"/>
  <c r="AO496" i="1"/>
  <c r="AT517" i="1"/>
  <c r="AS517" i="1"/>
  <c r="AR505" i="1"/>
  <c r="AR521" i="1"/>
  <c r="AR518" i="1"/>
  <c r="AR515" i="1"/>
  <c r="AR512" i="1"/>
  <c r="AR509" i="1"/>
  <c r="AR506" i="1"/>
  <c r="AR503" i="1"/>
  <c r="AR500" i="1"/>
  <c r="AR497" i="1"/>
  <c r="AT511" i="1"/>
  <c r="AS511" i="1"/>
  <c r="AQ511" i="1"/>
  <c r="AQ521" i="1"/>
  <c r="AQ518" i="1"/>
  <c r="AQ515" i="1"/>
  <c r="AQ512" i="1"/>
  <c r="AQ509" i="1"/>
  <c r="AQ506" i="1"/>
  <c r="AQ503" i="1"/>
  <c r="AQ500" i="1"/>
  <c r="AQ497" i="1"/>
  <c r="AP513" i="1"/>
  <c r="AS514" i="1"/>
  <c r="AR514" i="1"/>
  <c r="AR502" i="1"/>
  <c r="AR496" i="1"/>
  <c r="AQ514" i="1"/>
  <c r="AP521" i="1"/>
  <c r="AT519" i="1"/>
  <c r="AP518" i="1"/>
  <c r="AT516" i="1"/>
  <c r="AP515" i="1"/>
  <c r="AT513" i="1"/>
  <c r="AP512" i="1"/>
  <c r="AT510" i="1"/>
  <c r="AP509" i="1"/>
  <c r="AT507" i="1"/>
  <c r="AP506" i="1"/>
  <c r="AT504" i="1"/>
  <c r="AP503" i="1"/>
  <c r="AT501" i="1"/>
  <c r="AP500" i="1"/>
  <c r="AT498" i="1"/>
  <c r="AP497" i="1"/>
  <c r="AT499" i="1"/>
  <c r="AO510" i="1"/>
  <c r="AO521" i="1"/>
  <c r="AS519" i="1"/>
  <c r="AO518" i="1"/>
  <c r="AS516" i="1"/>
  <c r="AO515" i="1"/>
  <c r="AS513" i="1"/>
  <c r="AO512" i="1"/>
  <c r="AS510" i="1"/>
  <c r="AO509" i="1"/>
  <c r="AS507" i="1"/>
  <c r="AO506" i="1"/>
  <c r="AS504" i="1"/>
  <c r="AO503" i="1"/>
  <c r="AS501" i="1"/>
  <c r="AO500" i="1"/>
  <c r="AS498" i="1"/>
  <c r="AO497" i="1"/>
  <c r="AT514" i="1"/>
  <c r="AO513" i="1"/>
  <c r="AR511" i="1"/>
  <c r="AQ517" i="1"/>
  <c r="AQ505" i="1"/>
  <c r="AR519" i="1"/>
  <c r="AR516" i="1"/>
  <c r="AR513" i="1"/>
  <c r="AR510" i="1"/>
  <c r="AR507" i="1"/>
  <c r="AR504" i="1"/>
  <c r="AR501" i="1"/>
  <c r="AR498" i="1"/>
  <c r="AP516" i="1"/>
  <c r="AO516" i="1"/>
  <c r="AR520" i="1"/>
  <c r="AQ520" i="1"/>
  <c r="AQ508" i="1"/>
  <c r="AQ502" i="1"/>
  <c r="AQ519" i="1"/>
  <c r="AQ516" i="1"/>
  <c r="AQ513" i="1"/>
  <c r="AQ510" i="1"/>
  <c r="AQ507" i="1"/>
  <c r="AQ504" i="1"/>
  <c r="AQ501" i="1"/>
  <c r="AQ498" i="1"/>
  <c r="AT520" i="1"/>
  <c r="AP510" i="1"/>
  <c r="AT508" i="1"/>
  <c r="AP507" i="1"/>
  <c r="AT505" i="1"/>
  <c r="AP504" i="1"/>
  <c r="AT502" i="1"/>
  <c r="AP501" i="1"/>
  <c r="AP498" i="1"/>
  <c r="AT496" i="1"/>
  <c r="AS520" i="1"/>
  <c r="AS508" i="1"/>
  <c r="AO507" i="1"/>
  <c r="AS505" i="1"/>
  <c r="AO504" i="1"/>
  <c r="AS502" i="1"/>
  <c r="AO501" i="1"/>
  <c r="AS499" i="1"/>
  <c r="AO498" i="1"/>
  <c r="AS496" i="1"/>
  <c r="AR517" i="1"/>
  <c r="AR508" i="1"/>
  <c r="AR499" i="1"/>
  <c r="AQ499" i="1"/>
  <c r="AT547" i="1"/>
  <c r="AP546" i="1"/>
  <c r="AT544" i="1"/>
  <c r="AP543" i="1"/>
  <c r="AT541" i="1"/>
  <c r="AP540" i="1"/>
  <c r="AT538" i="1"/>
  <c r="AP537" i="1"/>
  <c r="AT535" i="1"/>
  <c r="AP534" i="1"/>
  <c r="AT532" i="1"/>
  <c r="AP531" i="1"/>
  <c r="AT529" i="1"/>
  <c r="AP528" i="1"/>
  <c r="AT526" i="1"/>
  <c r="AP525" i="1"/>
  <c r="AT523" i="1"/>
  <c r="AP522" i="1"/>
  <c r="AT542" i="1"/>
  <c r="AP538" i="1"/>
  <c r="AP532" i="1"/>
  <c r="AP526" i="1"/>
  <c r="AQ545" i="1"/>
  <c r="AT546" i="1"/>
  <c r="AP527" i="1"/>
  <c r="AS540" i="1"/>
  <c r="AS534" i="1"/>
  <c r="AO527" i="1"/>
  <c r="AR543" i="1"/>
  <c r="AR528" i="1"/>
  <c r="AR522" i="1"/>
  <c r="AQ546" i="1"/>
  <c r="AQ534" i="1"/>
  <c r="AQ528" i="1"/>
  <c r="AS547" i="1"/>
  <c r="AO546" i="1"/>
  <c r="AS544" i="1"/>
  <c r="AO543" i="1"/>
  <c r="AS541" i="1"/>
  <c r="AO540" i="1"/>
  <c r="AS538" i="1"/>
  <c r="AO537" i="1"/>
  <c r="AS535" i="1"/>
  <c r="AO534" i="1"/>
  <c r="AS532" i="1"/>
  <c r="AO531" i="1"/>
  <c r="AS529" i="1"/>
  <c r="AO528" i="1"/>
  <c r="AS526" i="1"/>
  <c r="AO525" i="1"/>
  <c r="AS523" i="1"/>
  <c r="AO522" i="1"/>
  <c r="AP544" i="1"/>
  <c r="AT539" i="1"/>
  <c r="AT533" i="1"/>
  <c r="AT527" i="1"/>
  <c r="AQ542" i="1"/>
  <c r="AQ539" i="1"/>
  <c r="AP545" i="1"/>
  <c r="AT528" i="1"/>
  <c r="AO542" i="1"/>
  <c r="AO530" i="1"/>
  <c r="AR531" i="1"/>
  <c r="AQ540" i="1"/>
  <c r="AQ531" i="1"/>
  <c r="AR547" i="1"/>
  <c r="AR544" i="1"/>
  <c r="AR541" i="1"/>
  <c r="AR538" i="1"/>
  <c r="AR535" i="1"/>
  <c r="AR532" i="1"/>
  <c r="AR529" i="1"/>
  <c r="AR526" i="1"/>
  <c r="AR523" i="1"/>
  <c r="AT545" i="1"/>
  <c r="AT536" i="1"/>
  <c r="AP529" i="1"/>
  <c r="AP523" i="1"/>
  <c r="AQ530" i="1"/>
  <c r="AQ527" i="1"/>
  <c r="AT543" i="1"/>
  <c r="AP524" i="1"/>
  <c r="AS546" i="1"/>
  <c r="AO536" i="1"/>
  <c r="AS525" i="1"/>
  <c r="AR540" i="1"/>
  <c r="AR525" i="1"/>
  <c r="AQ543" i="1"/>
  <c r="AQ547" i="1"/>
  <c r="AQ544" i="1"/>
  <c r="AQ541" i="1"/>
  <c r="AQ538" i="1"/>
  <c r="AQ535" i="1"/>
  <c r="AQ532" i="1"/>
  <c r="AQ529" i="1"/>
  <c r="AQ526" i="1"/>
  <c r="AQ523" i="1"/>
  <c r="AP547" i="1"/>
  <c r="AP541" i="1"/>
  <c r="AP535" i="1"/>
  <c r="AT530" i="1"/>
  <c r="AT524" i="1"/>
  <c r="AQ536" i="1"/>
  <c r="AQ533" i="1"/>
  <c r="AQ524" i="1"/>
  <c r="AT540" i="1"/>
  <c r="AP539" i="1"/>
  <c r="AT537" i="1"/>
  <c r="AP536" i="1"/>
  <c r="AT534" i="1"/>
  <c r="AP533" i="1"/>
  <c r="AT531" i="1"/>
  <c r="AP530" i="1"/>
  <c r="AT525" i="1"/>
  <c r="AO545" i="1"/>
  <c r="AO539" i="1"/>
  <c r="AS537" i="1"/>
  <c r="AO533" i="1"/>
  <c r="AS528" i="1"/>
  <c r="AO524" i="1"/>
  <c r="AR546" i="1"/>
  <c r="AR537" i="1"/>
  <c r="AR534" i="1"/>
  <c r="AQ537" i="1"/>
  <c r="AQ522" i="1"/>
  <c r="AO547" i="1"/>
  <c r="AS545" i="1"/>
  <c r="AO544" i="1"/>
  <c r="AS542" i="1"/>
  <c r="AO541" i="1"/>
  <c r="AS539" i="1"/>
  <c r="AO538" i="1"/>
  <c r="AS536" i="1"/>
  <c r="AO535" i="1"/>
  <c r="AS533" i="1"/>
  <c r="AO532" i="1"/>
  <c r="AS530" i="1"/>
  <c r="AO529" i="1"/>
  <c r="AS527" i="1"/>
  <c r="AO526" i="1"/>
  <c r="AS524" i="1"/>
  <c r="AO523" i="1"/>
  <c r="AR545" i="1"/>
  <c r="AR542" i="1"/>
  <c r="AR539" i="1"/>
  <c r="AR536" i="1"/>
  <c r="AR533" i="1"/>
  <c r="AR530" i="1"/>
  <c r="AR527" i="1"/>
  <c r="AR524" i="1"/>
  <c r="AP542" i="1"/>
  <c r="AT522" i="1"/>
  <c r="AS543" i="1"/>
  <c r="AS531" i="1"/>
  <c r="AS522" i="1"/>
  <c r="AQ525" i="1"/>
  <c r="AT573" i="1"/>
  <c r="AP572" i="1"/>
  <c r="AT570" i="1"/>
  <c r="AP569" i="1"/>
  <c r="AT567" i="1"/>
  <c r="AP566" i="1"/>
  <c r="AT564" i="1"/>
  <c r="AP563" i="1"/>
  <c r="AT561" i="1"/>
  <c r="AP560" i="1"/>
  <c r="AT558" i="1"/>
  <c r="AP557" i="1"/>
  <c r="AT555" i="1"/>
  <c r="AP554" i="1"/>
  <c r="AT552" i="1"/>
  <c r="AP551" i="1"/>
  <c r="AT549" i="1"/>
  <c r="AP548" i="1"/>
  <c r="AT568" i="1"/>
  <c r="AQ565" i="1"/>
  <c r="AT569" i="1"/>
  <c r="AO568" i="1"/>
  <c r="AR569" i="1"/>
  <c r="AS573" i="1"/>
  <c r="AO572" i="1"/>
  <c r="AS570" i="1"/>
  <c r="AO569" i="1"/>
  <c r="AS567" i="1"/>
  <c r="AO566" i="1"/>
  <c r="AS564" i="1"/>
  <c r="AO563" i="1"/>
  <c r="AS561" i="1"/>
  <c r="AO560" i="1"/>
  <c r="AS558" i="1"/>
  <c r="AO557" i="1"/>
  <c r="AS555" i="1"/>
  <c r="AO554" i="1"/>
  <c r="AS552" i="1"/>
  <c r="AO551" i="1"/>
  <c r="AS549" i="1"/>
  <c r="AO548" i="1"/>
  <c r="AP570" i="1"/>
  <c r="AQ556" i="1"/>
  <c r="AP571" i="1"/>
  <c r="AO571" i="1"/>
  <c r="AR566" i="1"/>
  <c r="AQ569" i="1"/>
  <c r="AR573" i="1"/>
  <c r="AR570" i="1"/>
  <c r="AR567" i="1"/>
  <c r="AR564" i="1"/>
  <c r="AR561" i="1"/>
  <c r="AR558" i="1"/>
  <c r="AR555" i="1"/>
  <c r="AR552" i="1"/>
  <c r="AR549" i="1"/>
  <c r="AT571" i="1"/>
  <c r="AQ568" i="1"/>
  <c r="AT566" i="1"/>
  <c r="AS566" i="1"/>
  <c r="AQ573" i="1"/>
  <c r="AQ570" i="1"/>
  <c r="AQ567" i="1"/>
  <c r="AQ564" i="1"/>
  <c r="AQ561" i="1"/>
  <c r="AQ558" i="1"/>
  <c r="AQ555" i="1"/>
  <c r="AQ552" i="1"/>
  <c r="AQ549" i="1"/>
  <c r="AP573" i="1"/>
  <c r="AP567" i="1"/>
  <c r="AT565" i="1"/>
  <c r="AP564" i="1"/>
  <c r="AT562" i="1"/>
  <c r="AP561" i="1"/>
  <c r="AT559" i="1"/>
  <c r="AP558" i="1"/>
  <c r="AT556" i="1"/>
  <c r="AP555" i="1"/>
  <c r="AT553" i="1"/>
  <c r="AP552" i="1"/>
  <c r="AT550" i="1"/>
  <c r="AP549" i="1"/>
  <c r="AT572" i="1"/>
  <c r="AP565" i="1"/>
  <c r="AT563" i="1"/>
  <c r="AP562" i="1"/>
  <c r="AT560" i="1"/>
  <c r="AP559" i="1"/>
  <c r="AT557" i="1"/>
  <c r="AP556" i="1"/>
  <c r="AT554" i="1"/>
  <c r="AP553" i="1"/>
  <c r="AT551" i="1"/>
  <c r="AP550" i="1"/>
  <c r="AT548" i="1"/>
  <c r="AS572" i="1"/>
  <c r="AO565" i="1"/>
  <c r="AS563" i="1"/>
  <c r="AO562" i="1"/>
  <c r="AS560" i="1"/>
  <c r="AO559" i="1"/>
  <c r="AS557" i="1"/>
  <c r="AO556" i="1"/>
  <c r="AS554" i="1"/>
  <c r="AO553" i="1"/>
  <c r="AS551" i="1"/>
  <c r="AO550" i="1"/>
  <c r="AS548" i="1"/>
  <c r="AR572" i="1"/>
  <c r="AR563" i="1"/>
  <c r="AR560" i="1"/>
  <c r="AR557" i="1"/>
  <c r="AR554" i="1"/>
  <c r="AR551" i="1"/>
  <c r="AR548" i="1"/>
  <c r="AQ572" i="1"/>
  <c r="AQ566" i="1"/>
  <c r="AQ563" i="1"/>
  <c r="AQ560" i="1"/>
  <c r="AQ557" i="1"/>
  <c r="AQ554" i="1"/>
  <c r="AQ551" i="1"/>
  <c r="AO573" i="1"/>
  <c r="AS571" i="1"/>
  <c r="AO570" i="1"/>
  <c r="AS568" i="1"/>
  <c r="AO567" i="1"/>
  <c r="AS565" i="1"/>
  <c r="AO564" i="1"/>
  <c r="AS562" i="1"/>
  <c r="AO561" i="1"/>
  <c r="AS559" i="1"/>
  <c r="AO558" i="1"/>
  <c r="AS556" i="1"/>
  <c r="AO555" i="1"/>
  <c r="AS553" i="1"/>
  <c r="AO552" i="1"/>
  <c r="AS550" i="1"/>
  <c r="AO549" i="1"/>
  <c r="AR571" i="1"/>
  <c r="AR568" i="1"/>
  <c r="AR565" i="1"/>
  <c r="AR562" i="1"/>
  <c r="AR559" i="1"/>
  <c r="AR556" i="1"/>
  <c r="AR553" i="1"/>
  <c r="AR550" i="1"/>
  <c r="AQ571" i="1"/>
  <c r="AQ562" i="1"/>
  <c r="AQ559" i="1"/>
  <c r="AQ553" i="1"/>
  <c r="AQ550" i="1"/>
  <c r="AP568" i="1"/>
  <c r="AS569" i="1"/>
  <c r="AQ548" i="1"/>
  <c r="AT586" i="1"/>
  <c r="AP585" i="1"/>
  <c r="AT583" i="1"/>
  <c r="AP582" i="1"/>
  <c r="AT580" i="1"/>
  <c r="AP579" i="1"/>
  <c r="AT577" i="1"/>
  <c r="AP576" i="1"/>
  <c r="AT574" i="1"/>
  <c r="AT581" i="1"/>
  <c r="AQ581" i="1"/>
  <c r="AT585" i="1"/>
  <c r="AP578" i="1"/>
  <c r="AT576" i="1"/>
  <c r="AP575" i="1"/>
  <c r="AO584" i="1"/>
  <c r="AO575" i="1"/>
  <c r="AR585" i="1"/>
  <c r="AR576" i="1"/>
  <c r="AQ585" i="1"/>
  <c r="AS586" i="1"/>
  <c r="AO585" i="1"/>
  <c r="AS583" i="1"/>
  <c r="AO582" i="1"/>
  <c r="AS580" i="1"/>
  <c r="AO579" i="1"/>
  <c r="AS577" i="1"/>
  <c r="AO576" i="1"/>
  <c r="AS574" i="1"/>
  <c r="AP583" i="1"/>
  <c r="AP584" i="1"/>
  <c r="AS585" i="1"/>
  <c r="AO578" i="1"/>
  <c r="AS576" i="1"/>
  <c r="AR586" i="1"/>
  <c r="AR583" i="1"/>
  <c r="AR580" i="1"/>
  <c r="AR577" i="1"/>
  <c r="AR574" i="1"/>
  <c r="AP586" i="1"/>
  <c r="AP580" i="1"/>
  <c r="AT578" i="1"/>
  <c r="AT575" i="1"/>
  <c r="AP574" i="1"/>
  <c r="AQ578" i="1"/>
  <c r="AP581" i="1"/>
  <c r="AS579" i="1"/>
  <c r="AR579" i="1"/>
  <c r="AQ579" i="1"/>
  <c r="AQ586" i="1"/>
  <c r="AQ583" i="1"/>
  <c r="AQ580" i="1"/>
  <c r="AQ577" i="1"/>
  <c r="AQ574" i="1"/>
  <c r="AT584" i="1"/>
  <c r="AP577" i="1"/>
  <c r="AQ575" i="1"/>
  <c r="AT582" i="1"/>
  <c r="AO581" i="1"/>
  <c r="AQ576" i="1"/>
  <c r="AO586" i="1"/>
  <c r="AS584" i="1"/>
  <c r="AO583" i="1"/>
  <c r="AS581" i="1"/>
  <c r="AO580" i="1"/>
  <c r="AS578" i="1"/>
  <c r="AO577" i="1"/>
  <c r="AS575" i="1"/>
  <c r="AO574" i="1"/>
  <c r="AR584" i="1"/>
  <c r="AR581" i="1"/>
  <c r="AR578" i="1"/>
  <c r="AR575" i="1"/>
  <c r="AQ584" i="1"/>
  <c r="AT579" i="1"/>
  <c r="AS582" i="1"/>
  <c r="AR582" i="1"/>
  <c r="AQ582" i="1"/>
  <c r="AT594" i="1"/>
  <c r="AP593" i="1"/>
  <c r="AT591" i="1"/>
  <c r="AP590" i="1"/>
  <c r="AS594" i="1"/>
  <c r="AO593" i="1"/>
  <c r="AS591" i="1"/>
  <c r="AO590" i="1"/>
  <c r="AT592" i="1"/>
  <c r="AP592" i="1"/>
  <c r="AR590" i="1"/>
  <c r="AR594" i="1"/>
  <c r="AR591" i="1"/>
  <c r="AP591" i="1"/>
  <c r="AO592" i="1"/>
  <c r="AQ590" i="1"/>
  <c r="AQ594" i="1"/>
  <c r="AQ591" i="1"/>
  <c r="AP594" i="1"/>
  <c r="AT593" i="1"/>
  <c r="AT590" i="1"/>
  <c r="AS593" i="1"/>
  <c r="AR593" i="1"/>
  <c r="AO594" i="1"/>
  <c r="AS592" i="1"/>
  <c r="AO591" i="1"/>
  <c r="AQ592" i="1"/>
  <c r="AS590" i="1"/>
  <c r="AQ593" i="1"/>
  <c r="AR592" i="1"/>
  <c r="AT953" i="1"/>
  <c r="AP952" i="1"/>
  <c r="AP953" i="1"/>
  <c r="AS953" i="1"/>
  <c r="AO952" i="1"/>
  <c r="AR953" i="1"/>
  <c r="AQ953" i="1"/>
  <c r="AQ952" i="1"/>
  <c r="AO953" i="1"/>
  <c r="AT952" i="1"/>
  <c r="AS952" i="1"/>
  <c r="AR952" i="1"/>
  <c r="AT954" i="1"/>
  <c r="AS954" i="1"/>
  <c r="AR954" i="1"/>
  <c r="AQ954" i="1"/>
  <c r="AP954" i="1"/>
  <c r="AO954" i="1"/>
  <c r="O2" i="8" a="1"/>
  <c r="O2" i="8" s="1"/>
  <c r="AS9" i="1"/>
  <c r="AR9" i="1"/>
  <c r="AQ9" i="1"/>
  <c r="AP9" i="1"/>
  <c r="AO9" i="1"/>
  <c r="AT52" i="1"/>
  <c r="AP52" i="1"/>
  <c r="AS52" i="1"/>
  <c r="AO52" i="1"/>
  <c r="AQ52" i="1"/>
  <c r="AR52" i="1"/>
  <c r="AT47" i="1"/>
  <c r="AP47" i="1"/>
  <c r="AS47" i="1"/>
  <c r="AO47" i="1"/>
  <c r="AR47" i="1"/>
  <c r="AQ47" i="1"/>
  <c r="AT950" i="1"/>
  <c r="AP950" i="1"/>
  <c r="AT589" i="1"/>
  <c r="AP589" i="1"/>
  <c r="AT588" i="1"/>
  <c r="AP588" i="1"/>
  <c r="AT587" i="1"/>
  <c r="AP587" i="1"/>
  <c r="AT289" i="1"/>
  <c r="AP289" i="1"/>
  <c r="AT288" i="1"/>
  <c r="AP288" i="1"/>
  <c r="AT287" i="1"/>
  <c r="AP287" i="1"/>
  <c r="AT286" i="1"/>
  <c r="AP286" i="1"/>
  <c r="AT285" i="1"/>
  <c r="AP285" i="1"/>
  <c r="AT284" i="1"/>
  <c r="AP284" i="1"/>
  <c r="AT283" i="1"/>
  <c r="AP283" i="1"/>
  <c r="AT282" i="1"/>
  <c r="AP282" i="1"/>
  <c r="AT281" i="1"/>
  <c r="AP281" i="1"/>
  <c r="AT280" i="1"/>
  <c r="AP280" i="1"/>
  <c r="AT279" i="1"/>
  <c r="AP279" i="1"/>
  <c r="AT278" i="1"/>
  <c r="AP278" i="1"/>
  <c r="AT277" i="1"/>
  <c r="AP277" i="1"/>
  <c r="AT276" i="1"/>
  <c r="AP276" i="1"/>
  <c r="AT275" i="1"/>
  <c r="AP275" i="1"/>
  <c r="AT274" i="1"/>
  <c r="AP274" i="1"/>
  <c r="AT273" i="1"/>
  <c r="AP273" i="1"/>
  <c r="AT272" i="1"/>
  <c r="AP272" i="1"/>
  <c r="AT271" i="1"/>
  <c r="AP271" i="1"/>
  <c r="AT270" i="1"/>
  <c r="AP270" i="1"/>
  <c r="AT269" i="1"/>
  <c r="AP269" i="1"/>
  <c r="AT268" i="1"/>
  <c r="AP268" i="1"/>
  <c r="AT267" i="1"/>
  <c r="AP267" i="1"/>
  <c r="AT266" i="1"/>
  <c r="AP266" i="1"/>
  <c r="AT265" i="1"/>
  <c r="AP265" i="1"/>
  <c r="AT264" i="1"/>
  <c r="AP264" i="1"/>
  <c r="AT263" i="1"/>
  <c r="AP263" i="1"/>
  <c r="AT262" i="1"/>
  <c r="AP262" i="1"/>
  <c r="AT261" i="1"/>
  <c r="AP261" i="1"/>
  <c r="AT260" i="1"/>
  <c r="AP260" i="1"/>
  <c r="AT259" i="1"/>
  <c r="AP259" i="1"/>
  <c r="AT258" i="1"/>
  <c r="AP258" i="1"/>
  <c r="AT257" i="1"/>
  <c r="AP257" i="1"/>
  <c r="AT256" i="1"/>
  <c r="AP256" i="1"/>
  <c r="AT255" i="1"/>
  <c r="AP255" i="1"/>
  <c r="AT254" i="1"/>
  <c r="AP254" i="1"/>
  <c r="AT253" i="1"/>
  <c r="AP253" i="1"/>
  <c r="AT252" i="1"/>
  <c r="AP252" i="1"/>
  <c r="AT251" i="1"/>
  <c r="AS950" i="1"/>
  <c r="AO950" i="1"/>
  <c r="AS589" i="1"/>
  <c r="AO589" i="1"/>
  <c r="AS588" i="1"/>
  <c r="AO588" i="1"/>
  <c r="AS587" i="1"/>
  <c r="AO587" i="1"/>
  <c r="AS289" i="1"/>
  <c r="AO289" i="1"/>
  <c r="AS288" i="1"/>
  <c r="AO288" i="1"/>
  <c r="AS287" i="1"/>
  <c r="AO287" i="1"/>
  <c r="AS286" i="1"/>
  <c r="AO286" i="1"/>
  <c r="AS285" i="1"/>
  <c r="AO285" i="1"/>
  <c r="AS284" i="1"/>
  <c r="AO284" i="1"/>
  <c r="AS283" i="1"/>
  <c r="AO283" i="1"/>
  <c r="AS282" i="1"/>
  <c r="AO282" i="1"/>
  <c r="AS281" i="1"/>
  <c r="AO281" i="1"/>
  <c r="AS280" i="1"/>
  <c r="AO280" i="1"/>
  <c r="AS279" i="1"/>
  <c r="AR950" i="1"/>
  <c r="AR589" i="1"/>
  <c r="AR588" i="1"/>
  <c r="AR587" i="1"/>
  <c r="AR289" i="1"/>
  <c r="AR288" i="1"/>
  <c r="AR287" i="1"/>
  <c r="AR286" i="1"/>
  <c r="AR285" i="1"/>
  <c r="AR284" i="1"/>
  <c r="AR283" i="1"/>
  <c r="AR282" i="1"/>
  <c r="AR281" i="1"/>
  <c r="AR280" i="1"/>
  <c r="AR279" i="1"/>
  <c r="AR278" i="1"/>
  <c r="AR277" i="1"/>
  <c r="AR276" i="1"/>
  <c r="AR275" i="1"/>
  <c r="AR274" i="1"/>
  <c r="AR273" i="1"/>
  <c r="AR272" i="1"/>
  <c r="AR271" i="1"/>
  <c r="AR270" i="1"/>
  <c r="AR269" i="1"/>
  <c r="AR268" i="1"/>
  <c r="AR267" i="1"/>
  <c r="AR266" i="1"/>
  <c r="AQ950" i="1"/>
  <c r="AQ588" i="1"/>
  <c r="AQ289" i="1"/>
  <c r="AQ287" i="1"/>
  <c r="AQ285" i="1"/>
  <c r="AQ283" i="1"/>
  <c r="AQ281" i="1"/>
  <c r="AQ279" i="1"/>
  <c r="AQ278" i="1"/>
  <c r="AQ277" i="1"/>
  <c r="AQ276" i="1"/>
  <c r="AQ275" i="1"/>
  <c r="AQ274" i="1"/>
  <c r="AQ273" i="1"/>
  <c r="AQ272" i="1"/>
  <c r="AQ271" i="1"/>
  <c r="AQ270" i="1"/>
  <c r="AQ269" i="1"/>
  <c r="AQ268" i="1"/>
  <c r="AQ267" i="1"/>
  <c r="AQ266" i="1"/>
  <c r="AS265" i="1"/>
  <c r="AQ264" i="1"/>
  <c r="AS263" i="1"/>
  <c r="AQ262" i="1"/>
  <c r="AS261" i="1"/>
  <c r="AQ260" i="1"/>
  <c r="AS259" i="1"/>
  <c r="AQ258" i="1"/>
  <c r="AS257" i="1"/>
  <c r="AQ256" i="1"/>
  <c r="AS255" i="1"/>
  <c r="AQ254" i="1"/>
  <c r="AS253" i="1"/>
  <c r="AQ252" i="1"/>
  <c r="AS251" i="1"/>
  <c r="AO251" i="1"/>
  <c r="AS250" i="1"/>
  <c r="AO250" i="1"/>
  <c r="AS249" i="1"/>
  <c r="AO249" i="1"/>
  <c r="AS248" i="1"/>
  <c r="AO248" i="1"/>
  <c r="AS247" i="1"/>
  <c r="AO247" i="1"/>
  <c r="AS246" i="1"/>
  <c r="AO246" i="1"/>
  <c r="AS245" i="1"/>
  <c r="AO245" i="1"/>
  <c r="AS244" i="1"/>
  <c r="AO244" i="1"/>
  <c r="AS243" i="1"/>
  <c r="AO243" i="1"/>
  <c r="AS242" i="1"/>
  <c r="AO242" i="1"/>
  <c r="AS241" i="1"/>
  <c r="AO241" i="1"/>
  <c r="AS240" i="1"/>
  <c r="AO240" i="1"/>
  <c r="AS239" i="1"/>
  <c r="AO239" i="1"/>
  <c r="AS238" i="1"/>
  <c r="AO238" i="1"/>
  <c r="AS237" i="1"/>
  <c r="AO237" i="1"/>
  <c r="AS236" i="1"/>
  <c r="AO236" i="1"/>
  <c r="AS235" i="1"/>
  <c r="AO235" i="1"/>
  <c r="AS234" i="1"/>
  <c r="AO234" i="1"/>
  <c r="AS233" i="1"/>
  <c r="AO233" i="1"/>
  <c r="AS232" i="1"/>
  <c r="AO232" i="1"/>
  <c r="AS231" i="1"/>
  <c r="AO231" i="1"/>
  <c r="AS230" i="1"/>
  <c r="AO230" i="1"/>
  <c r="AS229" i="1"/>
  <c r="AO229" i="1"/>
  <c r="AS228" i="1"/>
  <c r="AO228" i="1"/>
  <c r="AS227" i="1"/>
  <c r="AO227" i="1"/>
  <c r="AS226" i="1"/>
  <c r="AO226" i="1"/>
  <c r="AS225" i="1"/>
  <c r="AO225" i="1"/>
  <c r="AS224" i="1"/>
  <c r="AO224" i="1"/>
  <c r="AS223" i="1"/>
  <c r="AO223" i="1"/>
  <c r="AS222" i="1"/>
  <c r="AO222" i="1"/>
  <c r="AS221" i="1"/>
  <c r="AO221" i="1"/>
  <c r="AS220" i="1"/>
  <c r="AO220" i="1"/>
  <c r="AS219" i="1"/>
  <c r="AO219" i="1"/>
  <c r="AO279" i="1"/>
  <c r="AO278" i="1"/>
  <c r="AO277" i="1"/>
  <c r="AO276" i="1"/>
  <c r="AO275" i="1"/>
  <c r="AO274" i="1"/>
  <c r="AO273" i="1"/>
  <c r="AO272" i="1"/>
  <c r="AO271" i="1"/>
  <c r="AO270" i="1"/>
  <c r="AO269" i="1"/>
  <c r="AO268" i="1"/>
  <c r="AO267" i="1"/>
  <c r="AO266" i="1"/>
  <c r="AR265" i="1"/>
  <c r="AO264" i="1"/>
  <c r="AR263" i="1"/>
  <c r="AO262" i="1"/>
  <c r="AR261" i="1"/>
  <c r="AO260" i="1"/>
  <c r="AR259" i="1"/>
  <c r="AO258" i="1"/>
  <c r="AR257" i="1"/>
  <c r="AO256" i="1"/>
  <c r="AR255" i="1"/>
  <c r="AO254" i="1"/>
  <c r="AR253" i="1"/>
  <c r="AO252" i="1"/>
  <c r="AR251" i="1"/>
  <c r="AR250" i="1"/>
  <c r="AR249" i="1"/>
  <c r="AR248" i="1"/>
  <c r="AR247" i="1"/>
  <c r="AR246" i="1"/>
  <c r="AR245" i="1"/>
  <c r="AR244" i="1"/>
  <c r="AR243" i="1"/>
  <c r="AR242" i="1"/>
  <c r="AR241" i="1"/>
  <c r="AR240" i="1"/>
  <c r="AR239" i="1"/>
  <c r="AR238" i="1"/>
  <c r="AR237" i="1"/>
  <c r="AR236" i="1"/>
  <c r="AR235" i="1"/>
  <c r="AR234" i="1"/>
  <c r="AR233" i="1"/>
  <c r="AR232" i="1"/>
  <c r="AR231" i="1"/>
  <c r="AR230" i="1"/>
  <c r="AR229" i="1"/>
  <c r="AR228" i="1"/>
  <c r="AR227" i="1"/>
  <c r="AR226" i="1"/>
  <c r="AR225" i="1"/>
  <c r="AR224" i="1"/>
  <c r="AR223" i="1"/>
  <c r="AQ589" i="1"/>
  <c r="AQ587" i="1"/>
  <c r="AQ288" i="1"/>
  <c r="AQ286" i="1"/>
  <c r="AQ284" i="1"/>
  <c r="AQ282" i="1"/>
  <c r="AQ280" i="1"/>
  <c r="AQ265" i="1"/>
  <c r="AS264" i="1"/>
  <c r="AQ263" i="1"/>
  <c r="AS262" i="1"/>
  <c r="AQ261" i="1"/>
  <c r="AS260" i="1"/>
  <c r="AQ259" i="1"/>
  <c r="AS258" i="1"/>
  <c r="AQ257" i="1"/>
  <c r="AS256" i="1"/>
  <c r="AQ255" i="1"/>
  <c r="AS254" i="1"/>
  <c r="AQ253" i="1"/>
  <c r="AS252" i="1"/>
  <c r="AQ251" i="1"/>
  <c r="AQ250" i="1"/>
  <c r="AQ249" i="1"/>
  <c r="AQ248" i="1"/>
  <c r="AQ247" i="1"/>
  <c r="AQ246" i="1"/>
  <c r="AQ245" i="1"/>
  <c r="AQ244" i="1"/>
  <c r="AQ243" i="1"/>
  <c r="AQ242" i="1"/>
  <c r="AQ241" i="1"/>
  <c r="AQ240" i="1"/>
  <c r="AP250" i="1"/>
  <c r="AT247" i="1"/>
  <c r="AP246" i="1"/>
  <c r="AT243" i="1"/>
  <c r="AP242" i="1"/>
  <c r="AT239" i="1"/>
  <c r="AT238" i="1"/>
  <c r="AT237" i="1"/>
  <c r="AT236" i="1"/>
  <c r="AT235" i="1"/>
  <c r="AT234" i="1"/>
  <c r="AT233" i="1"/>
  <c r="AT232" i="1"/>
  <c r="AT231" i="1"/>
  <c r="AT230" i="1"/>
  <c r="AT229" i="1"/>
  <c r="AT228" i="1"/>
  <c r="AT227" i="1"/>
  <c r="AT226" i="1"/>
  <c r="AT225" i="1"/>
  <c r="AT224" i="1"/>
  <c r="AP222" i="1"/>
  <c r="AR221" i="1"/>
  <c r="AP220" i="1"/>
  <c r="AR219" i="1"/>
  <c r="AR254" i="1"/>
  <c r="AP249" i="1"/>
  <c r="AP245" i="1"/>
  <c r="AT221" i="1"/>
  <c r="AQ220" i="1"/>
  <c r="AT219" i="1"/>
  <c r="AS277" i="1"/>
  <c r="AS275" i="1"/>
  <c r="AS273" i="1"/>
  <c r="AS271" i="1"/>
  <c r="AS269" i="1"/>
  <c r="AS267" i="1"/>
  <c r="AO265" i="1"/>
  <c r="AO263" i="1"/>
  <c r="AO261" i="1"/>
  <c r="AO259" i="1"/>
  <c r="AO257" i="1"/>
  <c r="AO255" i="1"/>
  <c r="AO253" i="1"/>
  <c r="AP251" i="1"/>
  <c r="AT248" i="1"/>
  <c r="AP247" i="1"/>
  <c r="AT244" i="1"/>
  <c r="AP243" i="1"/>
  <c r="AT240" i="1"/>
  <c r="AQ239" i="1"/>
  <c r="AQ238" i="1"/>
  <c r="AQ237" i="1"/>
  <c r="AQ236" i="1"/>
  <c r="AQ235" i="1"/>
  <c r="AQ234" i="1"/>
  <c r="AQ233" i="1"/>
  <c r="AQ232" i="1"/>
  <c r="AQ231" i="1"/>
  <c r="AQ230" i="1"/>
  <c r="AQ229" i="1"/>
  <c r="AQ228" i="1"/>
  <c r="AQ227" i="1"/>
  <c r="AQ226" i="1"/>
  <c r="AQ225" i="1"/>
  <c r="AQ224" i="1"/>
  <c r="AT223" i="1"/>
  <c r="AT222" i="1"/>
  <c r="AQ221" i="1"/>
  <c r="AT220" i="1"/>
  <c r="AQ219" i="1"/>
  <c r="AS278" i="1"/>
  <c r="AS276" i="1"/>
  <c r="AS274" i="1"/>
  <c r="AS272" i="1"/>
  <c r="AS268" i="1"/>
  <c r="AS266" i="1"/>
  <c r="AR264" i="1"/>
  <c r="AR260" i="1"/>
  <c r="AR258" i="1"/>
  <c r="AR252" i="1"/>
  <c r="AT250" i="1"/>
  <c r="AT246" i="1"/>
  <c r="AT242" i="1"/>
  <c r="AP241" i="1"/>
  <c r="AP223" i="1"/>
  <c r="AQ222" i="1"/>
  <c r="AT249" i="1"/>
  <c r="AP248" i="1"/>
  <c r="AT245" i="1"/>
  <c r="AP244" i="1"/>
  <c r="AT241" i="1"/>
  <c r="AP240" i="1"/>
  <c r="AP239" i="1"/>
  <c r="AP238" i="1"/>
  <c r="AP237" i="1"/>
  <c r="AP236" i="1"/>
  <c r="AP235" i="1"/>
  <c r="AP234" i="1"/>
  <c r="AP233" i="1"/>
  <c r="AP232" i="1"/>
  <c r="AP231" i="1"/>
  <c r="AP230" i="1"/>
  <c r="AP229" i="1"/>
  <c r="AP228" i="1"/>
  <c r="AP227" i="1"/>
  <c r="AP226" i="1"/>
  <c r="AP225" i="1"/>
  <c r="AP224" i="1"/>
  <c r="AQ223" i="1"/>
  <c r="AR222" i="1"/>
  <c r="AP221" i="1"/>
  <c r="AR220" i="1"/>
  <c r="AP219" i="1"/>
  <c r="AS270" i="1"/>
  <c r="AR262" i="1"/>
  <c r="AR256" i="1"/>
  <c r="AT218" i="1"/>
  <c r="AP218" i="1"/>
  <c r="AT217" i="1"/>
  <c r="AP217" i="1"/>
  <c r="AT216" i="1"/>
  <c r="AP216" i="1"/>
  <c r="AT215" i="1"/>
  <c r="AP215" i="1"/>
  <c r="AT214" i="1"/>
  <c r="AP214" i="1"/>
  <c r="AT213" i="1"/>
  <c r="AP213" i="1"/>
  <c r="AT212" i="1"/>
  <c r="AP212" i="1"/>
  <c r="AT211" i="1"/>
  <c r="AP211" i="1"/>
  <c r="AT210" i="1"/>
  <c r="AP210" i="1"/>
  <c r="AT209" i="1"/>
  <c r="AP209" i="1"/>
  <c r="AT208" i="1"/>
  <c r="AP208" i="1"/>
  <c r="AT207" i="1"/>
  <c r="AP207" i="1"/>
  <c r="AT206" i="1"/>
  <c r="AP206" i="1"/>
  <c r="AT205" i="1"/>
  <c r="AP205" i="1"/>
  <c r="AT204" i="1"/>
  <c r="AP204" i="1"/>
  <c r="AT203" i="1"/>
  <c r="AP203" i="1"/>
  <c r="AT202" i="1"/>
  <c r="AP202" i="1"/>
  <c r="AT201" i="1"/>
  <c r="AP201" i="1"/>
  <c r="AT200" i="1"/>
  <c r="AP200" i="1"/>
  <c r="AT199" i="1"/>
  <c r="AP199" i="1"/>
  <c r="AT198" i="1"/>
  <c r="AP198" i="1"/>
  <c r="AT197" i="1"/>
  <c r="AP197" i="1"/>
  <c r="AT196" i="1"/>
  <c r="AP196" i="1"/>
  <c r="AT195" i="1"/>
  <c r="AP195" i="1"/>
  <c r="AT194" i="1"/>
  <c r="AP194" i="1"/>
  <c r="AT193" i="1"/>
  <c r="AP193" i="1"/>
  <c r="AT192" i="1"/>
  <c r="AP192" i="1"/>
  <c r="AT191" i="1"/>
  <c r="AP191" i="1"/>
  <c r="AT190" i="1"/>
  <c r="AP190" i="1"/>
  <c r="AT189" i="1"/>
  <c r="AP189" i="1"/>
  <c r="AT188" i="1"/>
  <c r="AP188" i="1"/>
  <c r="AT187" i="1"/>
  <c r="AP187" i="1"/>
  <c r="AT186" i="1"/>
  <c r="AP186" i="1"/>
  <c r="AT185" i="1"/>
  <c r="AP185" i="1"/>
  <c r="AT184" i="1"/>
  <c r="AP184" i="1"/>
  <c r="AT183" i="1"/>
  <c r="AP183" i="1"/>
  <c r="AT182" i="1"/>
  <c r="AP182" i="1"/>
  <c r="AT181" i="1"/>
  <c r="AS218" i="1"/>
  <c r="AO218" i="1"/>
  <c r="AS217" i="1"/>
  <c r="AO217" i="1"/>
  <c r="AS216" i="1"/>
  <c r="AO216" i="1"/>
  <c r="AS215" i="1"/>
  <c r="AO215" i="1"/>
  <c r="AS214" i="1"/>
  <c r="AO214" i="1"/>
  <c r="AS213" i="1"/>
  <c r="AO213" i="1"/>
  <c r="AS212" i="1"/>
  <c r="AO212" i="1"/>
  <c r="AS211" i="1"/>
  <c r="AO211" i="1"/>
  <c r="AS210" i="1"/>
  <c r="AO210" i="1"/>
  <c r="AS209" i="1"/>
  <c r="AO209" i="1"/>
  <c r="AS208" i="1"/>
  <c r="AO208" i="1"/>
  <c r="AS207" i="1"/>
  <c r="AO207" i="1"/>
  <c r="AS206" i="1"/>
  <c r="AO206" i="1"/>
  <c r="AS205" i="1"/>
  <c r="AO205" i="1"/>
  <c r="AS204" i="1"/>
  <c r="AO204" i="1"/>
  <c r="AS203" i="1"/>
  <c r="AO203" i="1"/>
  <c r="AS202" i="1"/>
  <c r="AO202" i="1"/>
  <c r="AS201" i="1"/>
  <c r="AO201" i="1"/>
  <c r="AS200" i="1"/>
  <c r="AO200" i="1"/>
  <c r="AS199" i="1"/>
  <c r="AO199" i="1"/>
  <c r="AS198" i="1"/>
  <c r="AO198" i="1"/>
  <c r="AS197" i="1"/>
  <c r="AO197" i="1"/>
  <c r="AS196" i="1"/>
  <c r="AO196" i="1"/>
  <c r="AS195" i="1"/>
  <c r="AO195" i="1"/>
  <c r="AS194" i="1"/>
  <c r="AO194" i="1"/>
  <c r="AS193" i="1"/>
  <c r="AO193" i="1"/>
  <c r="AS192" i="1"/>
  <c r="AO192" i="1"/>
  <c r="AR218" i="1"/>
  <c r="AR217" i="1"/>
  <c r="AR216" i="1"/>
  <c r="AR215" i="1"/>
  <c r="AR214" i="1"/>
  <c r="AR213" i="1"/>
  <c r="AR212" i="1"/>
  <c r="AR211" i="1"/>
  <c r="AR210" i="1"/>
  <c r="AR209" i="1"/>
  <c r="AR208" i="1"/>
  <c r="AR207" i="1"/>
  <c r="AR206" i="1"/>
  <c r="AR205" i="1"/>
  <c r="AR204" i="1"/>
  <c r="AR203" i="1"/>
  <c r="AR202" i="1"/>
  <c r="AR201" i="1"/>
  <c r="AR200" i="1"/>
  <c r="AR199" i="1"/>
  <c r="AR198" i="1"/>
  <c r="AR197" i="1"/>
  <c r="AR196" i="1"/>
  <c r="AR195" i="1"/>
  <c r="AR194" i="1"/>
  <c r="AR193" i="1"/>
  <c r="AR192" i="1"/>
  <c r="AR191" i="1"/>
  <c r="AR190" i="1"/>
  <c r="AR189" i="1"/>
  <c r="AR188" i="1"/>
  <c r="AR187" i="1"/>
  <c r="AR186" i="1"/>
  <c r="AR185" i="1"/>
  <c r="AR184" i="1"/>
  <c r="AR183" i="1"/>
  <c r="AR182" i="1"/>
  <c r="AR181" i="1"/>
  <c r="AR180" i="1"/>
  <c r="AR179" i="1"/>
  <c r="AR178" i="1"/>
  <c r="AR177" i="1"/>
  <c r="AR176" i="1"/>
  <c r="AQ218" i="1"/>
  <c r="AQ216" i="1"/>
  <c r="AQ214" i="1"/>
  <c r="AQ212" i="1"/>
  <c r="AQ210" i="1"/>
  <c r="AQ208" i="1"/>
  <c r="AQ206" i="1"/>
  <c r="AQ204" i="1"/>
  <c r="AQ202" i="1"/>
  <c r="AQ200" i="1"/>
  <c r="AQ198" i="1"/>
  <c r="AQ196" i="1"/>
  <c r="AQ194" i="1"/>
  <c r="AQ192" i="1"/>
  <c r="AO191" i="1"/>
  <c r="AO190" i="1"/>
  <c r="AO189" i="1"/>
  <c r="AO188" i="1"/>
  <c r="AO187" i="1"/>
  <c r="AO186" i="1"/>
  <c r="AO185" i="1"/>
  <c r="AO184" i="1"/>
  <c r="AO183" i="1"/>
  <c r="AO182" i="1"/>
  <c r="AP181" i="1"/>
  <c r="AS180" i="1"/>
  <c r="AP179" i="1"/>
  <c r="AS178" i="1"/>
  <c r="AP177" i="1"/>
  <c r="AS176" i="1"/>
  <c r="AR175" i="1"/>
  <c r="AR174" i="1"/>
  <c r="AR173" i="1"/>
  <c r="AR172" i="1"/>
  <c r="AR171" i="1"/>
  <c r="AR170" i="1"/>
  <c r="AR169" i="1"/>
  <c r="AR168" i="1"/>
  <c r="AR167" i="1"/>
  <c r="AR166" i="1"/>
  <c r="AR165" i="1"/>
  <c r="AR164" i="1"/>
  <c r="AR163" i="1"/>
  <c r="AR162" i="1"/>
  <c r="AR161" i="1"/>
  <c r="AR160" i="1"/>
  <c r="AR159" i="1"/>
  <c r="AR158" i="1"/>
  <c r="AR157" i="1"/>
  <c r="AR156" i="1"/>
  <c r="AR155" i="1"/>
  <c r="AR154" i="1"/>
  <c r="AR153" i="1"/>
  <c r="AR152" i="1"/>
  <c r="AR151" i="1"/>
  <c r="AR150" i="1"/>
  <c r="AR149" i="1"/>
  <c r="AQ217" i="1"/>
  <c r="AQ215" i="1"/>
  <c r="AQ213" i="1"/>
  <c r="AQ211" i="1"/>
  <c r="AQ209" i="1"/>
  <c r="AQ207" i="1"/>
  <c r="AQ205" i="1"/>
  <c r="AQ203" i="1"/>
  <c r="AQ201" i="1"/>
  <c r="AQ199" i="1"/>
  <c r="AQ197" i="1"/>
  <c r="AQ195" i="1"/>
  <c r="AQ193" i="1"/>
  <c r="AS191" i="1"/>
  <c r="AS190" i="1"/>
  <c r="AS189" i="1"/>
  <c r="AS188" i="1"/>
  <c r="AS187" i="1"/>
  <c r="AS186" i="1"/>
  <c r="AS185" i="1"/>
  <c r="AS184" i="1"/>
  <c r="AS183" i="1"/>
  <c r="AS182" i="1"/>
  <c r="AS181" i="1"/>
  <c r="AP180" i="1"/>
  <c r="AS179" i="1"/>
  <c r="AP178" i="1"/>
  <c r="AS177" i="1"/>
  <c r="AP176" i="1"/>
  <c r="AT175" i="1"/>
  <c r="AP175" i="1"/>
  <c r="AT174" i="1"/>
  <c r="AP174" i="1"/>
  <c r="AT173" i="1"/>
  <c r="AP173" i="1"/>
  <c r="AT172" i="1"/>
  <c r="AP172" i="1"/>
  <c r="AT171" i="1"/>
  <c r="AP171" i="1"/>
  <c r="AT170" i="1"/>
  <c r="AP170" i="1"/>
  <c r="AT169" i="1"/>
  <c r="AP169" i="1"/>
  <c r="AT168" i="1"/>
  <c r="AP168" i="1"/>
  <c r="AT167" i="1"/>
  <c r="AP167" i="1"/>
  <c r="AT166" i="1"/>
  <c r="AP166" i="1"/>
  <c r="AT165" i="1"/>
  <c r="AP165" i="1"/>
  <c r="AT164" i="1"/>
  <c r="AP164" i="1"/>
  <c r="AT163" i="1"/>
  <c r="AP163" i="1"/>
  <c r="AT162" i="1"/>
  <c r="AP162" i="1"/>
  <c r="AT161" i="1"/>
  <c r="AP161" i="1"/>
  <c r="AT160" i="1"/>
  <c r="AP160" i="1"/>
  <c r="AT159" i="1"/>
  <c r="AP159" i="1"/>
  <c r="AT158" i="1"/>
  <c r="AP158" i="1"/>
  <c r="AT157" i="1"/>
  <c r="AP157" i="1"/>
  <c r="AT156" i="1"/>
  <c r="AP156" i="1"/>
  <c r="AT155" i="1"/>
  <c r="AP155" i="1"/>
  <c r="AT154" i="1"/>
  <c r="AP154" i="1"/>
  <c r="AT153" i="1"/>
  <c r="AP153" i="1"/>
  <c r="AT152" i="1"/>
  <c r="AP152" i="1"/>
  <c r="AT151" i="1"/>
  <c r="AP151" i="1"/>
  <c r="AT150" i="1"/>
  <c r="AP150" i="1"/>
  <c r="AT149" i="1"/>
  <c r="AP149" i="1"/>
  <c r="AT148" i="1"/>
  <c r="AP148" i="1"/>
  <c r="AO181" i="1"/>
  <c r="AO180" i="1"/>
  <c r="AO179" i="1"/>
  <c r="AO178" i="1"/>
  <c r="AO177" i="1"/>
  <c r="AO176" i="1"/>
  <c r="AO175" i="1"/>
  <c r="AO174" i="1"/>
  <c r="AO173" i="1"/>
  <c r="AO172" i="1"/>
  <c r="AO171" i="1"/>
  <c r="AO170" i="1"/>
  <c r="AO169" i="1"/>
  <c r="AO168" i="1"/>
  <c r="AO167" i="1"/>
  <c r="AO166" i="1"/>
  <c r="AO165" i="1"/>
  <c r="AO164" i="1"/>
  <c r="AO163" i="1"/>
  <c r="AO162" i="1"/>
  <c r="AO161" i="1"/>
  <c r="AO160" i="1"/>
  <c r="AO159" i="1"/>
  <c r="AO158" i="1"/>
  <c r="AO157" i="1"/>
  <c r="AO156" i="1"/>
  <c r="AO155" i="1"/>
  <c r="AO154" i="1"/>
  <c r="AO153" i="1"/>
  <c r="AO152" i="1"/>
  <c r="AO151" i="1"/>
  <c r="AO150" i="1"/>
  <c r="AO149" i="1"/>
  <c r="AQ148" i="1"/>
  <c r="AT147" i="1"/>
  <c r="AP147" i="1"/>
  <c r="AT146" i="1"/>
  <c r="AP146" i="1"/>
  <c r="AQ190" i="1"/>
  <c r="AQ188" i="1"/>
  <c r="AQ186" i="1"/>
  <c r="AQ184" i="1"/>
  <c r="AQ182" i="1"/>
  <c r="AT180" i="1"/>
  <c r="AT179" i="1"/>
  <c r="AT178" i="1"/>
  <c r="AT177" i="1"/>
  <c r="AT176" i="1"/>
  <c r="AS175" i="1"/>
  <c r="AS174" i="1"/>
  <c r="AS173" i="1"/>
  <c r="AS172" i="1"/>
  <c r="AS171" i="1"/>
  <c r="AS170" i="1"/>
  <c r="AS169" i="1"/>
  <c r="AS168" i="1"/>
  <c r="AS167" i="1"/>
  <c r="AS166" i="1"/>
  <c r="AS165" i="1"/>
  <c r="AS164" i="1"/>
  <c r="AS163" i="1"/>
  <c r="AS162" i="1"/>
  <c r="AS161" i="1"/>
  <c r="AS160" i="1"/>
  <c r="AS159" i="1"/>
  <c r="AS158" i="1"/>
  <c r="AS157" i="1"/>
  <c r="AS156" i="1"/>
  <c r="AS155" i="1"/>
  <c r="AS154" i="1"/>
  <c r="AS153" i="1"/>
  <c r="AS152" i="1"/>
  <c r="AS151" i="1"/>
  <c r="AS150" i="1"/>
  <c r="AS149" i="1"/>
  <c r="AS148" i="1"/>
  <c r="AR147" i="1"/>
  <c r="AR146" i="1"/>
  <c r="AQ191" i="1"/>
  <c r="AQ189" i="1"/>
  <c r="AQ187" i="1"/>
  <c r="AQ185" i="1"/>
  <c r="AQ183" i="1"/>
  <c r="AQ181" i="1"/>
  <c r="AQ180" i="1"/>
  <c r="AQ179" i="1"/>
  <c r="AQ178" i="1"/>
  <c r="AQ177" i="1"/>
  <c r="AQ176" i="1"/>
  <c r="AQ175" i="1"/>
  <c r="AQ174" i="1"/>
  <c r="AQ173" i="1"/>
  <c r="AQ172" i="1"/>
  <c r="AQ171" i="1"/>
  <c r="AQ170" i="1"/>
  <c r="AQ169" i="1"/>
  <c r="AQ168" i="1"/>
  <c r="AQ167" i="1"/>
  <c r="AQ166" i="1"/>
  <c r="AQ165" i="1"/>
  <c r="AQ164" i="1"/>
  <c r="AQ163" i="1"/>
  <c r="AQ162" i="1"/>
  <c r="AQ161" i="1"/>
  <c r="AQ160" i="1"/>
  <c r="AQ159" i="1"/>
  <c r="AQ158" i="1"/>
  <c r="AQ157" i="1"/>
  <c r="AQ156" i="1"/>
  <c r="AQ155" i="1"/>
  <c r="AQ154" i="1"/>
  <c r="AQ153" i="1"/>
  <c r="AQ152" i="1"/>
  <c r="AQ151" i="1"/>
  <c r="AQ150" i="1"/>
  <c r="AQ149" i="1"/>
  <c r="AR148" i="1"/>
  <c r="AQ147" i="1"/>
  <c r="AQ146" i="1"/>
  <c r="AO148" i="1"/>
  <c r="AS147" i="1"/>
  <c r="AO147" i="1"/>
  <c r="AS146" i="1"/>
  <c r="AO146" i="1"/>
  <c r="AS145" i="1"/>
  <c r="AO145" i="1"/>
  <c r="AS144" i="1"/>
  <c r="AO144" i="1"/>
  <c r="AS143" i="1"/>
  <c r="AO143" i="1"/>
  <c r="AS142" i="1"/>
  <c r="AO142" i="1"/>
  <c r="AS141" i="1"/>
  <c r="AO141" i="1"/>
  <c r="AS140" i="1"/>
  <c r="AO140" i="1"/>
  <c r="AS139" i="1"/>
  <c r="AO139" i="1"/>
  <c r="AS138" i="1"/>
  <c r="AO138" i="1"/>
  <c r="AS137" i="1"/>
  <c r="AO137" i="1"/>
  <c r="AS136" i="1"/>
  <c r="AO136" i="1"/>
  <c r="AS135" i="1"/>
  <c r="AO135" i="1"/>
  <c r="AS134" i="1"/>
  <c r="AO134" i="1"/>
  <c r="AS133" i="1"/>
  <c r="AO133" i="1"/>
  <c r="AS132" i="1"/>
  <c r="AO132" i="1"/>
  <c r="AS131" i="1"/>
  <c r="AO131" i="1"/>
  <c r="AS130" i="1"/>
  <c r="AO130" i="1"/>
  <c r="AS129" i="1"/>
  <c r="AO129" i="1"/>
  <c r="AS128" i="1"/>
  <c r="AO128" i="1"/>
  <c r="AS127" i="1"/>
  <c r="AO127" i="1"/>
  <c r="AS126" i="1"/>
  <c r="AO126" i="1"/>
  <c r="AS125" i="1"/>
  <c r="AO125" i="1"/>
  <c r="AS124" i="1"/>
  <c r="AO124" i="1"/>
  <c r="AS123" i="1"/>
  <c r="AO123" i="1"/>
  <c r="AS122" i="1"/>
  <c r="AO122" i="1"/>
  <c r="AS121" i="1"/>
  <c r="AO121" i="1"/>
  <c r="AS120" i="1"/>
  <c r="AO120" i="1"/>
  <c r="AS119" i="1"/>
  <c r="AO119" i="1"/>
  <c r="AS118" i="1"/>
  <c r="AO118" i="1"/>
  <c r="AS117" i="1"/>
  <c r="AO117" i="1"/>
  <c r="AS116" i="1"/>
  <c r="AO116" i="1"/>
  <c r="AS115" i="1"/>
  <c r="AO115" i="1"/>
  <c r="AS114" i="1"/>
  <c r="AO114" i="1"/>
  <c r="AS113" i="1"/>
  <c r="AO113" i="1"/>
  <c r="AS112" i="1"/>
  <c r="AO112" i="1"/>
  <c r="AS111" i="1"/>
  <c r="AO111" i="1"/>
  <c r="AS110" i="1"/>
  <c r="AO110" i="1"/>
  <c r="AS109" i="1"/>
  <c r="AO109" i="1"/>
  <c r="AS108" i="1"/>
  <c r="AO108" i="1"/>
  <c r="AS107" i="1"/>
  <c r="AO107" i="1"/>
  <c r="AS106" i="1"/>
  <c r="AO106" i="1"/>
  <c r="AS105" i="1"/>
  <c r="AO105" i="1"/>
  <c r="AS104" i="1"/>
  <c r="AO104" i="1"/>
  <c r="AS103" i="1"/>
  <c r="AT145" i="1"/>
  <c r="AQ144" i="1"/>
  <c r="AT143" i="1"/>
  <c r="AQ142" i="1"/>
  <c r="AT141" i="1"/>
  <c r="AQ140" i="1"/>
  <c r="AT139" i="1"/>
  <c r="AQ138" i="1"/>
  <c r="AT137" i="1"/>
  <c r="AQ136" i="1"/>
  <c r="AT135" i="1"/>
  <c r="AQ134" i="1"/>
  <c r="AT133" i="1"/>
  <c r="AQ132" i="1"/>
  <c r="AT131" i="1"/>
  <c r="AQ130" i="1"/>
  <c r="AT129" i="1"/>
  <c r="AQ128" i="1"/>
  <c r="AT127" i="1"/>
  <c r="AQ126" i="1"/>
  <c r="AT125" i="1"/>
  <c r="AQ124" i="1"/>
  <c r="AT123" i="1"/>
  <c r="AQ122" i="1"/>
  <c r="AT121" i="1"/>
  <c r="AQ120" i="1"/>
  <c r="AT119" i="1"/>
  <c r="AQ118" i="1"/>
  <c r="AT117" i="1"/>
  <c r="AQ116" i="1"/>
  <c r="AT115" i="1"/>
  <c r="AQ114" i="1"/>
  <c r="AT113" i="1"/>
  <c r="AQ112" i="1"/>
  <c r="AT111" i="1"/>
  <c r="AQ110" i="1"/>
  <c r="AT109" i="1"/>
  <c r="AQ108" i="1"/>
  <c r="AT107" i="1"/>
  <c r="AQ106" i="1"/>
  <c r="AT105" i="1"/>
  <c r="AQ104" i="1"/>
  <c r="AT103" i="1"/>
  <c r="AO103" i="1"/>
  <c r="AS102" i="1"/>
  <c r="AO102" i="1"/>
  <c r="AS101" i="1"/>
  <c r="AO101" i="1"/>
  <c r="AS100" i="1"/>
  <c r="AO100" i="1"/>
  <c r="AS99" i="1"/>
  <c r="AO99" i="1"/>
  <c r="AS98" i="1"/>
  <c r="AO98" i="1"/>
  <c r="AS97" i="1"/>
  <c r="AO97" i="1"/>
  <c r="AS96" i="1"/>
  <c r="AO96" i="1"/>
  <c r="AS95" i="1"/>
  <c r="AO95" i="1"/>
  <c r="AS94" i="1"/>
  <c r="AO94" i="1"/>
  <c r="AS93" i="1"/>
  <c r="AO93" i="1"/>
  <c r="AR145" i="1"/>
  <c r="AP144" i="1"/>
  <c r="AR143" i="1"/>
  <c r="AP142" i="1"/>
  <c r="AR141" i="1"/>
  <c r="AP140" i="1"/>
  <c r="AR139" i="1"/>
  <c r="AP138" i="1"/>
  <c r="AR137" i="1"/>
  <c r="AP136" i="1"/>
  <c r="AR135" i="1"/>
  <c r="AP134" i="1"/>
  <c r="AR133" i="1"/>
  <c r="AP132" i="1"/>
  <c r="AR131" i="1"/>
  <c r="AP130" i="1"/>
  <c r="AR129" i="1"/>
  <c r="AP128" i="1"/>
  <c r="AR127" i="1"/>
  <c r="AP126" i="1"/>
  <c r="AR125" i="1"/>
  <c r="AP124" i="1"/>
  <c r="AR123" i="1"/>
  <c r="AP122" i="1"/>
  <c r="AR121" i="1"/>
  <c r="AP120" i="1"/>
  <c r="AR119" i="1"/>
  <c r="AP118" i="1"/>
  <c r="AR117" i="1"/>
  <c r="AP116" i="1"/>
  <c r="AR115" i="1"/>
  <c r="AQ145" i="1"/>
  <c r="AR144" i="1"/>
  <c r="AP143" i="1"/>
  <c r="AT138" i="1"/>
  <c r="AQ137" i="1"/>
  <c r="AR136" i="1"/>
  <c r="AP135" i="1"/>
  <c r="AT130" i="1"/>
  <c r="AQ129" i="1"/>
  <c r="AR128" i="1"/>
  <c r="AP127" i="1"/>
  <c r="AT122" i="1"/>
  <c r="AQ121" i="1"/>
  <c r="AR120" i="1"/>
  <c r="AP119" i="1"/>
  <c r="AT114" i="1"/>
  <c r="AP111" i="1"/>
  <c r="AP110" i="1"/>
  <c r="AQ109" i="1"/>
  <c r="AR108" i="1"/>
  <c r="AR107" i="1"/>
  <c r="AT106" i="1"/>
  <c r="AP103" i="1"/>
  <c r="AR102" i="1"/>
  <c r="AP101" i="1"/>
  <c r="AR100" i="1"/>
  <c r="AP99" i="1"/>
  <c r="AR98" i="1"/>
  <c r="AP97" i="1"/>
  <c r="AR96" i="1"/>
  <c r="AP95" i="1"/>
  <c r="AR94" i="1"/>
  <c r="AP93" i="1"/>
  <c r="AS92" i="1"/>
  <c r="AO92" i="1"/>
  <c r="AS91" i="1"/>
  <c r="AO91" i="1"/>
  <c r="AS90" i="1"/>
  <c r="AO90" i="1"/>
  <c r="AS89" i="1"/>
  <c r="AO89" i="1"/>
  <c r="AS88" i="1"/>
  <c r="AO88" i="1"/>
  <c r="AS87" i="1"/>
  <c r="AO87" i="1"/>
  <c r="AS86" i="1"/>
  <c r="AO86" i="1"/>
  <c r="AS85" i="1"/>
  <c r="AO85" i="1"/>
  <c r="AS84" i="1"/>
  <c r="AO84" i="1"/>
  <c r="AS83" i="1"/>
  <c r="AO83" i="1"/>
  <c r="AS82" i="1"/>
  <c r="AO82" i="1"/>
  <c r="AS81" i="1"/>
  <c r="AO81" i="1"/>
  <c r="AS80" i="1"/>
  <c r="AO80" i="1"/>
  <c r="AS79" i="1"/>
  <c r="AO79" i="1"/>
  <c r="AR106" i="1"/>
  <c r="AT104" i="1"/>
  <c r="AQ102" i="1"/>
  <c r="AT101" i="1"/>
  <c r="AQ100" i="1"/>
  <c r="AT99" i="1"/>
  <c r="AQ98" i="1"/>
  <c r="AQ94" i="1"/>
  <c r="AR91" i="1"/>
  <c r="AR90" i="1"/>
  <c r="AR88" i="1"/>
  <c r="AR86" i="1"/>
  <c r="AR84" i="1"/>
  <c r="AR82" i="1"/>
  <c r="AP145" i="1"/>
  <c r="AT140" i="1"/>
  <c r="AQ139" i="1"/>
  <c r="AR138" i="1"/>
  <c r="AP137" i="1"/>
  <c r="AT132" i="1"/>
  <c r="AQ131" i="1"/>
  <c r="AR130" i="1"/>
  <c r="AP129" i="1"/>
  <c r="AT124" i="1"/>
  <c r="AQ123" i="1"/>
  <c r="AR122" i="1"/>
  <c r="AP121" i="1"/>
  <c r="AT116" i="1"/>
  <c r="AQ115" i="1"/>
  <c r="AR114" i="1"/>
  <c r="AR113" i="1"/>
  <c r="AT112" i="1"/>
  <c r="AP109" i="1"/>
  <c r="AP108" i="1"/>
  <c r="AQ107" i="1"/>
  <c r="AR105" i="1"/>
  <c r="AT97" i="1"/>
  <c r="AQ96" i="1"/>
  <c r="AT95" i="1"/>
  <c r="AT93" i="1"/>
  <c r="AR92" i="1"/>
  <c r="AR89" i="1"/>
  <c r="AR87" i="1"/>
  <c r="AR85" i="1"/>
  <c r="AR83" i="1"/>
  <c r="AT142" i="1"/>
  <c r="AQ141" i="1"/>
  <c r="AR140" i="1"/>
  <c r="AP139" i="1"/>
  <c r="AT134" i="1"/>
  <c r="AQ133" i="1"/>
  <c r="AR132" i="1"/>
  <c r="AP131" i="1"/>
  <c r="AT126" i="1"/>
  <c r="AQ125" i="1"/>
  <c r="AR124" i="1"/>
  <c r="AP123" i="1"/>
  <c r="AT118" i="1"/>
  <c r="AQ117" i="1"/>
  <c r="AR116" i="1"/>
  <c r="AP115" i="1"/>
  <c r="AP114" i="1"/>
  <c r="AQ113" i="1"/>
  <c r="AR112" i="1"/>
  <c r="AR111" i="1"/>
  <c r="AT110" i="1"/>
  <c r="AP107" i="1"/>
  <c r="AP106" i="1"/>
  <c r="AQ105" i="1"/>
  <c r="AR104" i="1"/>
  <c r="AR103" i="1"/>
  <c r="AP102" i="1"/>
  <c r="AR101" i="1"/>
  <c r="AP100" i="1"/>
  <c r="AR99" i="1"/>
  <c r="AP98" i="1"/>
  <c r="AR97" i="1"/>
  <c r="AP96" i="1"/>
  <c r="AR95" i="1"/>
  <c r="AP94" i="1"/>
  <c r="AR93" i="1"/>
  <c r="AQ92" i="1"/>
  <c r="AQ91" i="1"/>
  <c r="AQ90" i="1"/>
  <c r="AQ89" i="1"/>
  <c r="AQ88" i="1"/>
  <c r="AQ87" i="1"/>
  <c r="AQ86" i="1"/>
  <c r="AQ85" i="1"/>
  <c r="AQ84" i="1"/>
  <c r="AQ83" i="1"/>
  <c r="AQ82" i="1"/>
  <c r="AQ81" i="1"/>
  <c r="AQ80" i="1"/>
  <c r="AQ79" i="1"/>
  <c r="AT144" i="1"/>
  <c r="AQ143" i="1"/>
  <c r="AR142" i="1"/>
  <c r="AP141" i="1"/>
  <c r="AT136" i="1"/>
  <c r="AQ135" i="1"/>
  <c r="AR134" i="1"/>
  <c r="AP133" i="1"/>
  <c r="AT128" i="1"/>
  <c r="AQ127" i="1"/>
  <c r="AR126" i="1"/>
  <c r="AP125" i="1"/>
  <c r="AT120" i="1"/>
  <c r="AQ119" i="1"/>
  <c r="AR118" i="1"/>
  <c r="AP117" i="1"/>
  <c r="AP113" i="1"/>
  <c r="AP112" i="1"/>
  <c r="AQ111" i="1"/>
  <c r="AR110" i="1"/>
  <c r="AR109" i="1"/>
  <c r="AT108" i="1"/>
  <c r="AP105" i="1"/>
  <c r="AP104" i="1"/>
  <c r="AQ103" i="1"/>
  <c r="AT102" i="1"/>
  <c r="AQ101" i="1"/>
  <c r="AQ97" i="1"/>
  <c r="AQ93" i="1"/>
  <c r="AP92" i="1"/>
  <c r="AP91" i="1"/>
  <c r="AP90" i="1"/>
  <c r="AP89" i="1"/>
  <c r="AP88" i="1"/>
  <c r="AP87" i="1"/>
  <c r="AP86" i="1"/>
  <c r="AP85" i="1"/>
  <c r="AP84" i="1"/>
  <c r="AP83" i="1"/>
  <c r="AP82" i="1"/>
  <c r="AR81" i="1"/>
  <c r="AT80" i="1"/>
  <c r="AT81" i="1"/>
  <c r="AP79" i="1"/>
  <c r="AT98" i="1"/>
  <c r="AT94" i="1"/>
  <c r="AP81" i="1"/>
  <c r="AR80" i="1"/>
  <c r="AT79" i="1"/>
  <c r="AT86" i="1"/>
  <c r="AT85" i="1"/>
  <c r="AT84" i="1"/>
  <c r="AT83" i="1"/>
  <c r="AT82" i="1"/>
  <c r="AQ99" i="1"/>
  <c r="AQ95" i="1"/>
  <c r="AP80" i="1"/>
  <c r="AR79" i="1"/>
  <c r="AT100" i="1"/>
  <c r="AT96" i="1"/>
  <c r="AT92" i="1"/>
  <c r="AT91" i="1"/>
  <c r="AT90" i="1"/>
  <c r="AT89" i="1"/>
  <c r="AT88" i="1"/>
  <c r="AT87" i="1"/>
  <c r="AT951" i="1"/>
  <c r="AP951" i="1"/>
  <c r="AT78" i="1"/>
  <c r="AP78" i="1"/>
  <c r="AT77" i="1"/>
  <c r="AP77" i="1"/>
  <c r="AT76" i="1"/>
  <c r="AP76" i="1"/>
  <c r="AT75" i="1"/>
  <c r="AP75" i="1"/>
  <c r="AT74" i="1"/>
  <c r="AP74" i="1"/>
  <c r="AT73" i="1"/>
  <c r="AP73" i="1"/>
  <c r="AT72" i="1"/>
  <c r="AP72" i="1"/>
  <c r="AT71" i="1"/>
  <c r="AP71" i="1"/>
  <c r="AT70" i="1"/>
  <c r="AP70" i="1"/>
  <c r="AT69" i="1"/>
  <c r="AP69" i="1"/>
  <c r="AT68" i="1"/>
  <c r="AP68" i="1"/>
  <c r="AT67" i="1"/>
  <c r="AP67" i="1"/>
  <c r="AT66" i="1"/>
  <c r="AP66" i="1"/>
  <c r="AT65" i="1"/>
  <c r="AP65" i="1"/>
  <c r="AT64" i="1"/>
  <c r="AP64" i="1"/>
  <c r="AT63" i="1"/>
  <c r="AP63" i="1"/>
  <c r="AT62" i="1"/>
  <c r="AP62" i="1"/>
  <c r="AT61" i="1"/>
  <c r="AP61" i="1"/>
  <c r="AT60" i="1"/>
  <c r="AP60" i="1"/>
  <c r="AT59" i="1"/>
  <c r="AP59" i="1"/>
  <c r="AT58" i="1"/>
  <c r="AP58" i="1"/>
  <c r="AT57" i="1"/>
  <c r="AP57" i="1"/>
  <c r="AT56" i="1"/>
  <c r="AP56" i="1"/>
  <c r="AT55" i="1"/>
  <c r="AP55" i="1"/>
  <c r="AT54" i="1"/>
  <c r="AP54" i="1"/>
  <c r="AT53" i="1"/>
  <c r="AP53" i="1"/>
  <c r="AT51" i="1"/>
  <c r="AP51" i="1"/>
  <c r="AT50" i="1"/>
  <c r="AP50" i="1"/>
  <c r="AT49" i="1"/>
  <c r="AP49" i="1"/>
  <c r="AT48" i="1"/>
  <c r="AP48" i="1"/>
  <c r="AT46" i="1"/>
  <c r="AP46" i="1"/>
  <c r="AT45" i="1"/>
  <c r="AP45" i="1"/>
  <c r="AT44" i="1"/>
  <c r="AP44" i="1"/>
  <c r="AT43" i="1"/>
  <c r="AP43" i="1"/>
  <c r="AT42" i="1"/>
  <c r="AP42" i="1"/>
  <c r="AT41" i="1"/>
  <c r="AP41" i="1"/>
  <c r="AT40" i="1"/>
  <c r="AP40" i="1"/>
  <c r="AT39" i="1"/>
  <c r="AP39" i="1"/>
  <c r="AT38" i="1"/>
  <c r="AP38" i="1"/>
  <c r="AT37" i="1"/>
  <c r="AS951" i="1"/>
  <c r="AO951" i="1"/>
  <c r="AS78" i="1"/>
  <c r="AO78" i="1"/>
  <c r="AS77" i="1"/>
  <c r="AO77" i="1"/>
  <c r="AS76" i="1"/>
  <c r="AO76" i="1"/>
  <c r="AS75" i="1"/>
  <c r="AO75" i="1"/>
  <c r="AS74" i="1"/>
  <c r="AO74" i="1"/>
  <c r="AS73" i="1"/>
  <c r="AO73" i="1"/>
  <c r="AS72" i="1"/>
  <c r="AO72" i="1"/>
  <c r="AS71" i="1"/>
  <c r="AO71" i="1"/>
  <c r="AS70" i="1"/>
  <c r="AO70" i="1"/>
  <c r="AS69" i="1"/>
  <c r="AO69" i="1"/>
  <c r="AS68" i="1"/>
  <c r="AO68" i="1"/>
  <c r="AS67" i="1"/>
  <c r="AO67" i="1"/>
  <c r="AS66" i="1"/>
  <c r="AO66" i="1"/>
  <c r="AS65" i="1"/>
  <c r="AO65" i="1"/>
  <c r="AS64" i="1"/>
  <c r="AO64" i="1"/>
  <c r="AS63" i="1"/>
  <c r="AO63" i="1"/>
  <c r="AS62" i="1"/>
  <c r="AO62" i="1"/>
  <c r="AS61" i="1"/>
  <c r="AO61" i="1"/>
  <c r="AS60" i="1"/>
  <c r="AO60" i="1"/>
  <c r="AS59" i="1"/>
  <c r="AO59" i="1"/>
  <c r="AS58" i="1"/>
  <c r="AO58" i="1"/>
  <c r="AS57" i="1"/>
  <c r="AO57" i="1"/>
  <c r="AS56" i="1"/>
  <c r="AO56" i="1"/>
  <c r="AS55" i="1"/>
  <c r="AO55" i="1"/>
  <c r="AS54" i="1"/>
  <c r="AO54" i="1"/>
  <c r="AS53" i="1"/>
  <c r="AO53" i="1"/>
  <c r="AS51" i="1"/>
  <c r="AO51" i="1"/>
  <c r="AS50" i="1"/>
  <c r="AO50" i="1"/>
  <c r="AS49" i="1"/>
  <c r="AO49" i="1"/>
  <c r="AS48" i="1"/>
  <c r="AO48" i="1"/>
  <c r="AS46" i="1"/>
  <c r="AO46" i="1"/>
  <c r="AS45" i="1"/>
  <c r="AO45" i="1"/>
  <c r="AS44" i="1"/>
  <c r="AO44" i="1"/>
  <c r="AS43" i="1"/>
  <c r="AO43" i="1"/>
  <c r="AS42" i="1"/>
  <c r="AO42" i="1"/>
  <c r="AS41" i="1"/>
  <c r="AO41" i="1"/>
  <c r="AS40" i="1"/>
  <c r="AO40" i="1"/>
  <c r="AS39" i="1"/>
  <c r="AO39" i="1"/>
  <c r="AS38" i="1"/>
  <c r="AO38" i="1"/>
  <c r="AS37" i="1"/>
  <c r="AR951" i="1"/>
  <c r="AR78" i="1"/>
  <c r="AR77" i="1"/>
  <c r="AR76" i="1"/>
  <c r="AR75" i="1"/>
  <c r="AR74" i="1"/>
  <c r="AR73" i="1"/>
  <c r="AR72" i="1"/>
  <c r="AR71" i="1"/>
  <c r="AR70" i="1"/>
  <c r="AR69" i="1"/>
  <c r="AR68" i="1"/>
  <c r="AR67" i="1"/>
  <c r="AR66" i="1"/>
  <c r="AR65" i="1"/>
  <c r="AR64" i="1"/>
  <c r="AR63" i="1"/>
  <c r="AR62" i="1"/>
  <c r="AR61" i="1"/>
  <c r="AR60" i="1"/>
  <c r="AR59" i="1"/>
  <c r="AR58" i="1"/>
  <c r="AR57" i="1"/>
  <c r="AR56" i="1"/>
  <c r="AR55" i="1"/>
  <c r="AR54" i="1"/>
  <c r="AR53" i="1"/>
  <c r="AR51" i="1"/>
  <c r="AR50" i="1"/>
  <c r="AR49" i="1"/>
  <c r="AR48" i="1"/>
  <c r="AR46" i="1"/>
  <c r="AR45" i="1"/>
  <c r="AR44" i="1"/>
  <c r="AR43" i="1"/>
  <c r="AR42" i="1"/>
  <c r="AR41" i="1"/>
  <c r="AR40" i="1"/>
  <c r="AR39" i="1"/>
  <c r="AR38" i="1"/>
  <c r="AR37" i="1"/>
  <c r="AQ951" i="1"/>
  <c r="AQ77" i="1"/>
  <c r="AQ75" i="1"/>
  <c r="AQ73" i="1"/>
  <c r="AQ71" i="1"/>
  <c r="AQ69" i="1"/>
  <c r="AQ67" i="1"/>
  <c r="AQ65" i="1"/>
  <c r="AQ63" i="1"/>
  <c r="AQ61" i="1"/>
  <c r="AQ59" i="1"/>
  <c r="AQ57" i="1"/>
  <c r="AQ55" i="1"/>
  <c r="AQ53" i="1"/>
  <c r="AQ51" i="1"/>
  <c r="AQ49" i="1"/>
  <c r="AQ45" i="1"/>
  <c r="AQ43" i="1"/>
  <c r="AQ41" i="1"/>
  <c r="AQ39" i="1"/>
  <c r="AQ37" i="1"/>
  <c r="AQ36" i="1"/>
  <c r="AQ35" i="1"/>
  <c r="AQ34" i="1"/>
  <c r="AQ33" i="1"/>
  <c r="AQ32" i="1"/>
  <c r="AQ31" i="1"/>
  <c r="AQ30" i="1"/>
  <c r="AQ29" i="1"/>
  <c r="AQ28" i="1"/>
  <c r="AQ27" i="1"/>
  <c r="AQ26" i="1"/>
  <c r="AP37" i="1"/>
  <c r="AT36" i="1"/>
  <c r="AP36" i="1"/>
  <c r="AT35" i="1"/>
  <c r="AP35" i="1"/>
  <c r="AP34" i="1"/>
  <c r="AT33" i="1"/>
  <c r="AP33" i="1"/>
  <c r="AT32" i="1"/>
  <c r="AP32" i="1"/>
  <c r="AP31" i="1"/>
  <c r="AT30" i="1"/>
  <c r="AT29" i="1"/>
  <c r="AT28" i="1"/>
  <c r="AP28" i="1"/>
  <c r="AP27" i="1"/>
  <c r="AP26" i="1"/>
  <c r="AR35" i="1"/>
  <c r="AR34" i="1"/>
  <c r="AR32" i="1"/>
  <c r="AR31" i="1"/>
  <c r="AR29" i="1"/>
  <c r="AR28" i="1"/>
  <c r="AT34" i="1"/>
  <c r="AT31" i="1"/>
  <c r="AP30" i="1"/>
  <c r="AP29" i="1"/>
  <c r="AT27" i="1"/>
  <c r="AT26" i="1"/>
  <c r="AR33" i="1"/>
  <c r="AR30" i="1"/>
  <c r="AR27" i="1"/>
  <c r="AR26" i="1"/>
  <c r="AQ78" i="1"/>
  <c r="AQ76" i="1"/>
  <c r="AQ74" i="1"/>
  <c r="AQ72" i="1"/>
  <c r="AQ70" i="1"/>
  <c r="AQ68" i="1"/>
  <c r="AQ66" i="1"/>
  <c r="AQ64" i="1"/>
  <c r="AQ62" i="1"/>
  <c r="AQ60" i="1"/>
  <c r="AQ58" i="1"/>
  <c r="AQ56" i="1"/>
  <c r="AQ54" i="1"/>
  <c r="AQ50" i="1"/>
  <c r="AQ48" i="1"/>
  <c r="AQ46" i="1"/>
  <c r="AQ44" i="1"/>
  <c r="AQ42" i="1"/>
  <c r="AQ40" i="1"/>
  <c r="AQ38" i="1"/>
  <c r="AO37" i="1"/>
  <c r="AS36" i="1"/>
  <c r="AO36" i="1"/>
  <c r="AS35" i="1"/>
  <c r="AO35" i="1"/>
  <c r="AS34" i="1"/>
  <c r="AO34" i="1"/>
  <c r="AS33" i="1"/>
  <c r="AO33" i="1"/>
  <c r="AS32" i="1"/>
  <c r="AO32" i="1"/>
  <c r="AS31" i="1"/>
  <c r="AO31" i="1"/>
  <c r="AS30" i="1"/>
  <c r="AO30" i="1"/>
  <c r="AS29" i="1"/>
  <c r="AO29" i="1"/>
  <c r="AS28" i="1"/>
  <c r="AO28" i="1"/>
  <c r="AS27" i="1"/>
  <c r="AO27" i="1"/>
  <c r="AS26" i="1"/>
  <c r="AO26" i="1"/>
  <c r="AR36" i="1"/>
  <c r="AQ1183" i="1"/>
  <c r="AS25" i="1"/>
  <c r="AO25" i="1"/>
  <c r="AQ24" i="1"/>
  <c r="AS23" i="1"/>
  <c r="AO23" i="1"/>
  <c r="AQ22" i="1"/>
  <c r="AS21" i="1"/>
  <c r="AO21" i="1"/>
  <c r="AQ20" i="1"/>
  <c r="AS19" i="1"/>
  <c r="AO19" i="1"/>
  <c r="AS17" i="1"/>
  <c r="AO17" i="1"/>
  <c r="AQ16" i="1"/>
  <c r="AS15" i="1"/>
  <c r="AO15" i="1"/>
  <c r="AQ14" i="1"/>
  <c r="AS13" i="1"/>
  <c r="AO13" i="1"/>
  <c r="AQ12" i="1"/>
  <c r="AS11" i="1"/>
  <c r="AO11" i="1"/>
  <c r="AQ10" i="1"/>
  <c r="AR17" i="1"/>
  <c r="AT16" i="1"/>
  <c r="AR15" i="1"/>
  <c r="AT14" i="1"/>
  <c r="AP14" i="1"/>
  <c r="AT12" i="1"/>
  <c r="AR11" i="1"/>
  <c r="AT10" i="1"/>
  <c r="AS10" i="1"/>
  <c r="AR1183" i="1"/>
  <c r="AR24" i="1"/>
  <c r="AT23" i="1"/>
  <c r="AP23" i="1"/>
  <c r="AT21" i="1"/>
  <c r="AR20" i="1"/>
  <c r="AP19" i="1"/>
  <c r="AT17" i="1"/>
  <c r="AR16" i="1"/>
  <c r="AP15" i="1"/>
  <c r="AT13" i="1"/>
  <c r="AR12" i="1"/>
  <c r="AR10" i="1"/>
  <c r="AT1183" i="1"/>
  <c r="AP1183" i="1"/>
  <c r="AR25" i="1"/>
  <c r="AT24" i="1"/>
  <c r="AP24" i="1"/>
  <c r="AR23" i="1"/>
  <c r="AT22" i="1"/>
  <c r="AP22" i="1"/>
  <c r="AR21" i="1"/>
  <c r="AT20" i="1"/>
  <c r="AP20" i="1"/>
  <c r="AR19" i="1"/>
  <c r="AP16" i="1"/>
  <c r="AR13" i="1"/>
  <c r="AP12" i="1"/>
  <c r="AP10" i="1"/>
  <c r="AO10" i="1"/>
  <c r="AP25" i="1"/>
  <c r="AP21" i="1"/>
  <c r="AT15" i="1"/>
  <c r="AP13" i="1"/>
  <c r="AP11" i="1"/>
  <c r="AS1183" i="1"/>
  <c r="AO1183" i="1"/>
  <c r="AQ25" i="1"/>
  <c r="AS24" i="1"/>
  <c r="AO24" i="1"/>
  <c r="AQ23" i="1"/>
  <c r="AS22" i="1"/>
  <c r="AO22" i="1"/>
  <c r="AQ21" i="1"/>
  <c r="AS20" i="1"/>
  <c r="AO20" i="1"/>
  <c r="AQ19" i="1"/>
  <c r="AQ17" i="1"/>
  <c r="AS16" i="1"/>
  <c r="AO16" i="1"/>
  <c r="AQ15" i="1"/>
  <c r="AS14" i="1"/>
  <c r="AO14" i="1"/>
  <c r="AQ13" i="1"/>
  <c r="AS12" i="1"/>
  <c r="AO12" i="1"/>
  <c r="AQ11" i="1"/>
  <c r="AT25" i="1"/>
  <c r="AR22" i="1"/>
  <c r="AT19" i="1"/>
  <c r="AP17" i="1"/>
  <c r="AR14" i="1"/>
  <c r="AT11" i="1"/>
  <c r="D3" i="12"/>
  <c r="N1183" i="1" l="1"/>
  <c r="O43" i="6"/>
  <c r="O42" i="6"/>
  <c r="O41" i="6"/>
  <c r="O40" i="6"/>
  <c r="O39" i="6"/>
  <c r="O38" i="6"/>
  <c r="O37" i="6"/>
  <c r="K2" i="8" l="1" a="1"/>
  <c r="K2" i="8" s="1"/>
  <c r="K8" i="8" a="1"/>
  <c r="K8" i="8" s="1"/>
  <c r="O1183" i="1"/>
  <c r="K1" i="8" s="1" a="1"/>
  <c r="K1" i="8" s="1"/>
  <c r="O5" i="1"/>
  <c r="O4" i="1"/>
  <c r="O2" i="1"/>
  <c r="O3" i="1"/>
  <c r="I8" i="12"/>
  <c r="J8" i="12" l="1"/>
  <c r="O6" i="1"/>
  <c r="D4" i="9"/>
  <c r="F12" i="6"/>
  <c r="E12" i="9" l="1"/>
  <c r="F12" i="9"/>
  <c r="G12" i="9"/>
  <c r="H12" i="9"/>
  <c r="I12" i="9"/>
  <c r="J12" i="9"/>
  <c r="K12" i="9"/>
  <c r="L12" i="9"/>
  <c r="M12" i="9"/>
  <c r="N12" i="9"/>
  <c r="O12" i="9"/>
  <c r="P12" i="9"/>
  <c r="Q12" i="9"/>
  <c r="R12" i="9"/>
  <c r="S12" i="9"/>
  <c r="T12" i="9"/>
  <c r="U12" i="9"/>
  <c r="V12" i="9"/>
  <c r="W12" i="9"/>
  <c r="X12" i="9"/>
  <c r="Y12" i="9"/>
  <c r="Z12" i="9"/>
  <c r="AA12" i="9"/>
  <c r="AB12" i="9"/>
  <c r="AC12" i="9"/>
  <c r="AD12" i="9"/>
  <c r="AE12" i="9"/>
  <c r="AF12" i="9"/>
  <c r="AG12" i="9"/>
  <c r="AH12" i="9"/>
  <c r="AI12" i="9"/>
  <c r="AJ12" i="9"/>
  <c r="AK12" i="9"/>
  <c r="AL12" i="9"/>
  <c r="AM12" i="9"/>
  <c r="AN12" i="9"/>
  <c r="AO12" i="9"/>
  <c r="AP12" i="9"/>
  <c r="AQ12" i="9"/>
  <c r="AR12" i="9"/>
  <c r="AS12" i="9"/>
  <c r="AT12" i="9"/>
  <c r="AU12" i="9"/>
  <c r="AV12" i="9"/>
  <c r="AW12" i="9"/>
  <c r="AX12" i="9"/>
  <c r="AY12" i="9"/>
  <c r="AZ12" i="9"/>
  <c r="BA12" i="9"/>
  <c r="E13" i="9"/>
  <c r="F13" i="9"/>
  <c r="G13" i="9"/>
  <c r="H13" i="9"/>
  <c r="I13" i="9"/>
  <c r="J13" i="9"/>
  <c r="K13" i="9"/>
  <c r="L13" i="9"/>
  <c r="M13" i="9"/>
  <c r="N13" i="9"/>
  <c r="O13" i="9"/>
  <c r="P13" i="9"/>
  <c r="Q13" i="9"/>
  <c r="R13" i="9"/>
  <c r="S13" i="9"/>
  <c r="T13" i="9"/>
  <c r="U13" i="9"/>
  <c r="V13" i="9"/>
  <c r="W13" i="9"/>
  <c r="X13" i="9"/>
  <c r="Y13" i="9"/>
  <c r="Z13" i="9"/>
  <c r="AA13" i="9"/>
  <c r="AB13" i="9"/>
  <c r="AC13" i="9"/>
  <c r="AD13" i="9"/>
  <c r="AE13" i="9"/>
  <c r="AF13" i="9"/>
  <c r="AG13" i="9"/>
  <c r="AH13" i="9"/>
  <c r="AI13" i="9"/>
  <c r="AJ13" i="9"/>
  <c r="AK13" i="9"/>
  <c r="AL13" i="9"/>
  <c r="AM13" i="9"/>
  <c r="AN13" i="9"/>
  <c r="AO13" i="9"/>
  <c r="AP13" i="9"/>
  <c r="AQ13" i="9"/>
  <c r="AR13" i="9"/>
  <c r="AS13" i="9"/>
  <c r="AT13" i="9"/>
  <c r="AU13" i="9"/>
  <c r="AV13" i="9"/>
  <c r="AW13" i="9"/>
  <c r="AX13" i="9"/>
  <c r="AY13" i="9"/>
  <c r="AZ13" i="9"/>
  <c r="BA13" i="9"/>
  <c r="D13" i="9"/>
  <c r="D12" i="9"/>
  <c r="J11" i="10" l="1"/>
  <c r="E7" i="24" s="1"/>
  <c r="J12" i="10"/>
  <c r="E8" i="24" s="1"/>
  <c r="H12" i="10" l="1"/>
  <c r="E5" i="24" s="1"/>
  <c r="H11" i="10"/>
  <c r="E4" i="24" s="1"/>
  <c r="C2" i="24" l="1"/>
  <c r="C11" i="10"/>
  <c r="D103" i="12"/>
  <c r="E4" i="9"/>
  <c r="F4" i="9" s="1"/>
  <c r="G4" i="9" s="1"/>
  <c r="H4" i="9" s="1"/>
  <c r="I4" i="9" s="1"/>
  <c r="J4" i="9" s="1"/>
  <c r="K4" i="9" s="1"/>
  <c r="L4" i="9" s="1"/>
  <c r="M4" i="9" s="1"/>
  <c r="N4" i="9" s="1"/>
  <c r="O4" i="9" s="1"/>
  <c r="P4" i="9" s="1"/>
  <c r="Q4" i="9" s="1"/>
  <c r="R4" i="9" s="1"/>
  <c r="S4" i="9" s="1"/>
  <c r="T4" i="9" s="1"/>
  <c r="U4" i="9" s="1"/>
  <c r="V4" i="9" s="1"/>
  <c r="W4" i="9" s="1"/>
  <c r="X4" i="9" s="1"/>
  <c r="Y4" i="9" s="1"/>
  <c r="Z4" i="9" s="1"/>
  <c r="AA4" i="9" s="1"/>
  <c r="AB4" i="9" s="1"/>
  <c r="AC4" i="9" s="1"/>
  <c r="AD4" i="9" s="1"/>
  <c r="AE4" i="9" s="1"/>
  <c r="AF4" i="9" s="1"/>
  <c r="AG4" i="9" s="1"/>
  <c r="AH4" i="9" s="1"/>
  <c r="AI4" i="9" s="1"/>
  <c r="AJ4" i="9" s="1"/>
  <c r="AK4" i="9" s="1"/>
  <c r="AL4" i="9" s="1"/>
  <c r="AM4" i="9" s="1"/>
  <c r="AN4" i="9" s="1"/>
  <c r="AO4" i="9" s="1"/>
  <c r="AP4" i="9" s="1"/>
  <c r="AQ4" i="9" s="1"/>
  <c r="AR4" i="9" s="1"/>
  <c r="AS4" i="9" s="1"/>
  <c r="AT4" i="9" s="1"/>
  <c r="AU4" i="9" s="1"/>
  <c r="AV4" i="9" s="1"/>
  <c r="AW4" i="9" s="1"/>
  <c r="AX4" i="9" s="1"/>
  <c r="AY4" i="9" s="1"/>
  <c r="AZ4" i="9" s="1"/>
  <c r="BA4" i="9" s="1"/>
  <c r="K3" i="12"/>
  <c r="C3" i="8"/>
  <c r="E3" i="8"/>
  <c r="E3" i="10"/>
  <c r="L3" i="10"/>
  <c r="I7" i="12"/>
  <c r="D67" i="12"/>
  <c r="D69" i="12"/>
  <c r="D71" i="12"/>
  <c r="D73" i="12"/>
  <c r="D75" i="12"/>
  <c r="D77" i="12"/>
  <c r="D79" i="12"/>
  <c r="D81" i="12"/>
  <c r="D83" i="12"/>
  <c r="D85" i="12"/>
  <c r="D87" i="12"/>
  <c r="D89" i="12"/>
  <c r="D91" i="12"/>
  <c r="D93" i="12"/>
  <c r="D95" i="12"/>
  <c r="D107" i="12"/>
  <c r="D399" i="12" l="1"/>
  <c r="I4" i="8"/>
  <c r="K3" i="8"/>
  <c r="I2" i="8"/>
  <c r="I12" i="10"/>
  <c r="I11" i="10"/>
  <c r="G12" i="10"/>
  <c r="G11" i="10"/>
  <c r="D5" i="9"/>
  <c r="D9" i="9"/>
  <c r="D10" i="9" s="1"/>
  <c r="I1" i="8"/>
  <c r="I3" i="8"/>
  <c r="I402" i="12" l="1"/>
  <c r="J402" i="12" s="1"/>
  <c r="K402" i="12" s="1"/>
  <c r="L402" i="12" s="1"/>
  <c r="M402" i="12" s="1"/>
  <c r="N402" i="12" s="1"/>
  <c r="O402" i="12" s="1"/>
  <c r="P402" i="12" s="1"/>
  <c r="Q402" i="12" s="1"/>
  <c r="R402" i="12" s="1"/>
  <c r="S402" i="12" s="1"/>
  <c r="T402" i="12" s="1"/>
  <c r="U402" i="12" s="1"/>
  <c r="V402" i="12" s="1"/>
  <c r="W402" i="12" s="1"/>
  <c r="X402" i="12" s="1"/>
  <c r="Y402" i="12" s="1"/>
  <c r="Z402" i="12" s="1"/>
  <c r="AA402" i="12" s="1"/>
  <c r="AB402" i="12" s="1"/>
  <c r="AC402" i="12" s="1"/>
  <c r="AD402" i="12" s="1"/>
  <c r="AE402" i="12" s="1"/>
  <c r="AF402" i="12" s="1"/>
  <c r="AG402" i="12" s="1"/>
  <c r="AH402" i="12" s="1"/>
  <c r="AI402" i="12" s="1"/>
  <c r="AJ402" i="12" s="1"/>
  <c r="AK402" i="12" s="1"/>
  <c r="AL402" i="12" s="1"/>
  <c r="AM402" i="12" s="1"/>
  <c r="AN402" i="12" s="1"/>
  <c r="AO402" i="12" s="1"/>
  <c r="AP402" i="12" s="1"/>
  <c r="AQ402" i="12" s="1"/>
  <c r="AR402" i="12" s="1"/>
  <c r="AS402" i="12" s="1"/>
  <c r="AT402" i="12" s="1"/>
  <c r="AU402" i="12" s="1"/>
  <c r="AV402" i="12" s="1"/>
  <c r="AW402" i="12" s="1"/>
  <c r="AX402" i="12" s="1"/>
  <c r="AY402" i="12" s="1"/>
  <c r="AZ402" i="12" s="1"/>
  <c r="BA402" i="12" s="1"/>
  <c r="BB402" i="12" s="1"/>
  <c r="BC402" i="12" s="1"/>
  <c r="BD402" i="12" s="1"/>
  <c r="BE402" i="12" s="1"/>
  <c r="BF402" i="12" s="1"/>
  <c r="I401" i="12"/>
  <c r="J401" i="12" s="1"/>
  <c r="K401" i="12" s="1"/>
  <c r="L401" i="12" s="1"/>
  <c r="M401" i="12" s="1"/>
  <c r="N401" i="12" s="1"/>
  <c r="O401" i="12" s="1"/>
  <c r="P401" i="12" s="1"/>
  <c r="Q401" i="12" s="1"/>
  <c r="R401" i="12" s="1"/>
  <c r="S401" i="12" s="1"/>
  <c r="T401" i="12" s="1"/>
  <c r="U401" i="12" s="1"/>
  <c r="V401" i="12" s="1"/>
  <c r="W401" i="12" s="1"/>
  <c r="X401" i="12" s="1"/>
  <c r="Y401" i="12" s="1"/>
  <c r="Z401" i="12" s="1"/>
  <c r="AA401" i="12" s="1"/>
  <c r="AB401" i="12" s="1"/>
  <c r="AC401" i="12" s="1"/>
  <c r="AD401" i="12" s="1"/>
  <c r="AE401" i="12" s="1"/>
  <c r="AF401" i="12" s="1"/>
  <c r="AG401" i="12" s="1"/>
  <c r="AH401" i="12" s="1"/>
  <c r="AI401" i="12" s="1"/>
  <c r="AJ401" i="12" s="1"/>
  <c r="AK401" i="12" s="1"/>
  <c r="AL401" i="12" s="1"/>
  <c r="AM401" i="12" s="1"/>
  <c r="AN401" i="12" s="1"/>
  <c r="AO401" i="12" s="1"/>
  <c r="AP401" i="12" s="1"/>
  <c r="AQ401" i="12" s="1"/>
  <c r="AR401" i="12" s="1"/>
  <c r="AS401" i="12" s="1"/>
  <c r="AT401" i="12" s="1"/>
  <c r="AU401" i="12" s="1"/>
  <c r="AV401" i="12" s="1"/>
  <c r="AW401" i="12" s="1"/>
  <c r="AX401" i="12" s="1"/>
  <c r="AY401" i="12" s="1"/>
  <c r="AZ401" i="12" s="1"/>
  <c r="BA401" i="12" s="1"/>
  <c r="BB401" i="12" s="1"/>
  <c r="BC401" i="12" s="1"/>
  <c r="BD401" i="12" s="1"/>
  <c r="BE401" i="12" s="1"/>
  <c r="BF401" i="12" s="1"/>
  <c r="D6" i="9"/>
  <c r="I13" i="10"/>
  <c r="J13" i="10" s="1"/>
  <c r="M1" i="8"/>
  <c r="D38" i="9"/>
  <c r="E7" i="10"/>
  <c r="K8" i="12"/>
  <c r="F5" i="9"/>
  <c r="E9" i="9"/>
  <c r="E10" i="9" s="1"/>
  <c r="E5" i="9"/>
  <c r="E10" i="24" l="1"/>
  <c r="G14" i="10"/>
  <c r="D11" i="9"/>
  <c r="E6" i="9"/>
  <c r="F9" i="9"/>
  <c r="F10" i="9" s="1"/>
  <c r="E38" i="9"/>
  <c r="L8" i="12"/>
  <c r="F38" i="9"/>
  <c r="G9" i="9" l="1"/>
  <c r="G10" i="9" s="1"/>
  <c r="E11" i="9"/>
  <c r="F6" i="9"/>
  <c r="G5" i="9"/>
  <c r="M8" i="12"/>
  <c r="G38" i="9"/>
  <c r="H5" i="9"/>
  <c r="F22" i="9" l="1"/>
  <c r="F23" i="9"/>
  <c r="F11" i="9"/>
  <c r="G6" i="9"/>
  <c r="G23" i="9" s="1"/>
  <c r="H9" i="9"/>
  <c r="H10" i="9" s="1"/>
  <c r="N8" i="12"/>
  <c r="H38" i="9"/>
  <c r="G11" i="9" l="1"/>
  <c r="H6" i="9"/>
  <c r="H22" i="9" s="1"/>
  <c r="G22" i="9"/>
  <c r="I38" i="9"/>
  <c r="O8" i="12"/>
  <c r="J5" i="9"/>
  <c r="I9" i="9"/>
  <c r="I10" i="9" s="1"/>
  <c r="I5" i="9"/>
  <c r="H23" i="9" l="1"/>
  <c r="H11" i="9"/>
  <c r="I6" i="9"/>
  <c r="J6" i="9" s="1"/>
  <c r="J9" i="9"/>
  <c r="J10" i="9" s="1"/>
  <c r="P8" i="12"/>
  <c r="J38" i="9"/>
  <c r="K9" i="9"/>
  <c r="K5" i="9"/>
  <c r="I22" i="9" l="1"/>
  <c r="I23" i="9"/>
  <c r="I11" i="9"/>
  <c r="K10" i="9"/>
  <c r="Q8" i="12"/>
  <c r="K38" i="9"/>
  <c r="J22" i="9"/>
  <c r="J23" i="9"/>
  <c r="J11" i="9"/>
  <c r="K6" i="9"/>
  <c r="L9" i="9" l="1"/>
  <c r="L10" i="9" s="1"/>
  <c r="L5" i="9"/>
  <c r="L6" i="9" s="1"/>
  <c r="L38" i="9"/>
  <c r="R8" i="12"/>
  <c r="M9" i="9"/>
  <c r="M5" i="9"/>
  <c r="K22" i="9"/>
  <c r="K23" i="9"/>
  <c r="K11" i="9"/>
  <c r="M10" i="9" l="1"/>
  <c r="M38" i="9"/>
  <c r="S8" i="12"/>
  <c r="N9" i="9"/>
  <c r="N5" i="9"/>
  <c r="L23" i="9"/>
  <c r="L22" i="9"/>
  <c r="L11" i="9"/>
  <c r="M6" i="9"/>
  <c r="N10" i="9" l="1"/>
  <c r="T8" i="12"/>
  <c r="N38" i="9"/>
  <c r="M23" i="9"/>
  <c r="M22" i="9"/>
  <c r="N6" i="9"/>
  <c r="M11" i="9"/>
  <c r="O5" i="9"/>
  <c r="O9" i="9"/>
  <c r="O10" i="9" l="1"/>
  <c r="O38" i="9"/>
  <c r="U8" i="12"/>
  <c r="N22" i="9"/>
  <c r="N23" i="9"/>
  <c r="O6" i="9"/>
  <c r="N11" i="9"/>
  <c r="P9" i="9"/>
  <c r="P5" i="9"/>
  <c r="P10" i="9" l="1"/>
  <c r="Q5" i="9"/>
  <c r="Q9" i="9"/>
  <c r="O22" i="9"/>
  <c r="O23" i="9"/>
  <c r="P6" i="9"/>
  <c r="O11" i="9"/>
  <c r="P38" i="9"/>
  <c r="V8" i="12"/>
  <c r="Q10" i="9" l="1"/>
  <c r="P23" i="9"/>
  <c r="P22" i="9"/>
  <c r="P11" i="9"/>
  <c r="Q6" i="9"/>
  <c r="Q38" i="9"/>
  <c r="W8" i="12"/>
  <c r="R9" i="9"/>
  <c r="R5" i="9"/>
  <c r="R10" i="9" l="1"/>
  <c r="S5" i="9"/>
  <c r="S9" i="9"/>
  <c r="Q23" i="9"/>
  <c r="Q22" i="9"/>
  <c r="Q11" i="9"/>
  <c r="R6" i="9"/>
  <c r="X8" i="12"/>
  <c r="R38" i="9"/>
  <c r="S10" i="9" l="1"/>
  <c r="R22" i="9"/>
  <c r="R23" i="9"/>
  <c r="R11" i="9"/>
  <c r="S6" i="9"/>
  <c r="S38" i="9"/>
  <c r="Y8" i="12"/>
  <c r="T5" i="9"/>
  <c r="T9" i="9"/>
  <c r="T10" i="9" l="1"/>
  <c r="U5" i="9"/>
  <c r="U9" i="9"/>
  <c r="S22" i="9"/>
  <c r="S23" i="9"/>
  <c r="S11" i="9"/>
  <c r="T6" i="9"/>
  <c r="T38" i="9"/>
  <c r="Z8" i="12"/>
  <c r="U10" i="9" l="1"/>
  <c r="U38" i="9"/>
  <c r="AA8" i="12"/>
  <c r="V9" i="9"/>
  <c r="V5" i="9"/>
  <c r="T23" i="9"/>
  <c r="T22" i="9"/>
  <c r="U6" i="9"/>
  <c r="T11" i="9"/>
  <c r="V10" i="9" l="1"/>
  <c r="U23" i="9"/>
  <c r="U22" i="9"/>
  <c r="U11" i="9"/>
  <c r="V6" i="9"/>
  <c r="AB8" i="12"/>
  <c r="V38" i="9"/>
  <c r="W9" i="9"/>
  <c r="W5" i="9"/>
  <c r="W10" i="9" l="1"/>
  <c r="V22" i="9"/>
  <c r="V23" i="9"/>
  <c r="V11" i="9"/>
  <c r="W6" i="9"/>
  <c r="X9" i="9"/>
  <c r="X5" i="9"/>
  <c r="W38" i="9"/>
  <c r="AC8" i="12"/>
  <c r="X6" i="9" l="1"/>
  <c r="X10" i="9"/>
  <c r="Y5" i="9"/>
  <c r="Y9" i="9"/>
  <c r="Y10" i="9" s="1"/>
  <c r="W22" i="9"/>
  <c r="W23" i="9"/>
  <c r="W11" i="9"/>
  <c r="X38" i="9"/>
  <c r="AD8" i="12"/>
  <c r="Y6" i="9" l="1"/>
  <c r="Y29" i="9" s="1"/>
  <c r="AA7" i="9"/>
  <c r="Z5" i="9"/>
  <c r="Z9" i="9"/>
  <c r="Z10" i="9" s="1"/>
  <c r="Y38" i="9"/>
  <c r="AE8" i="12"/>
  <c r="X29" i="9"/>
  <c r="X23" i="9"/>
  <c r="X22" i="9"/>
  <c r="X11" i="9"/>
  <c r="Z6" i="9" l="1"/>
  <c r="Z23" i="9" s="1"/>
  <c r="Y11" i="9"/>
  <c r="Y23" i="9"/>
  <c r="Y22" i="9"/>
  <c r="X30" i="9"/>
  <c r="AF8" i="12"/>
  <c r="Z38" i="9"/>
  <c r="AA5" i="9"/>
  <c r="AA9" i="9"/>
  <c r="AA10" i="9" s="1"/>
  <c r="Z22" i="9" l="1"/>
  <c r="AA6" i="9"/>
  <c r="AA22" i="9" s="1"/>
  <c r="AB7" i="9"/>
  <c r="Z11" i="9"/>
  <c r="AA8" i="9"/>
  <c r="Z29" i="9"/>
  <c r="Y30" i="9" s="1"/>
  <c r="AB5" i="9"/>
  <c r="AB9" i="9"/>
  <c r="AB10" i="9" s="1"/>
  <c r="AA38" i="9"/>
  <c r="AG8" i="12"/>
  <c r="AB6" i="9" l="1"/>
  <c r="AB23" i="9" s="1"/>
  <c r="AD7" i="9"/>
  <c r="AC7" i="9"/>
  <c r="AA11" i="9"/>
  <c r="AA23" i="9"/>
  <c r="AA29" i="9"/>
  <c r="Z30" i="9" s="1"/>
  <c r="AB8" i="9"/>
  <c r="AB38" i="9"/>
  <c r="AH8" i="12"/>
  <c r="AC5" i="9"/>
  <c r="AC9" i="9"/>
  <c r="AC10" i="9" s="1"/>
  <c r="AC6" i="9" l="1"/>
  <c r="AC29" i="9" s="1"/>
  <c r="AE7" i="9"/>
  <c r="AB29" i="9"/>
  <c r="AA30" i="9" s="1"/>
  <c r="AB11" i="9"/>
  <c r="AB22" i="9"/>
  <c r="AC8" i="9"/>
  <c r="AD5" i="9"/>
  <c r="AD9" i="9"/>
  <c r="AD10" i="9" s="1"/>
  <c r="AC38" i="9"/>
  <c r="AI8" i="12"/>
  <c r="AD6" i="9" l="1"/>
  <c r="AD22" i="9" s="1"/>
  <c r="AC22" i="9"/>
  <c r="AB30" i="9"/>
  <c r="AC23" i="9"/>
  <c r="AC11" i="9"/>
  <c r="AD8" i="9"/>
  <c r="AE5" i="9"/>
  <c r="AE9" i="9"/>
  <c r="AE10" i="9" s="1"/>
  <c r="AJ8" i="12"/>
  <c r="AD38" i="9"/>
  <c r="AE6" i="9" l="1"/>
  <c r="AE29" i="9" s="1"/>
  <c r="AF7" i="9"/>
  <c r="AD11" i="9"/>
  <c r="AD23" i="9"/>
  <c r="AD29" i="9"/>
  <c r="AC30" i="9" s="1"/>
  <c r="AE8" i="9"/>
  <c r="AF9" i="9"/>
  <c r="AF10" i="9" s="1"/>
  <c r="AF5" i="9"/>
  <c r="AE38" i="9"/>
  <c r="AK8" i="12"/>
  <c r="AF6" i="9" l="1"/>
  <c r="AF22" i="9" s="1"/>
  <c r="AH7" i="9"/>
  <c r="AG7" i="9"/>
  <c r="AE11" i="9"/>
  <c r="AE22" i="9"/>
  <c r="AD30" i="9"/>
  <c r="AE23" i="9"/>
  <c r="AF8" i="9"/>
  <c r="AF38" i="9"/>
  <c r="AL8" i="12"/>
  <c r="AG5" i="9"/>
  <c r="AG9" i="9"/>
  <c r="AG10" i="9" s="1"/>
  <c r="AG6" i="9" l="1"/>
  <c r="AG29" i="9" s="1"/>
  <c r="AI7" i="9"/>
  <c r="AF23" i="9"/>
  <c r="AF29" i="9"/>
  <c r="AE30" i="9" s="1"/>
  <c r="AF11" i="9"/>
  <c r="AG8" i="9"/>
  <c r="AH5" i="9"/>
  <c r="AH9" i="9"/>
  <c r="AH10" i="9" s="1"/>
  <c r="AG38" i="9"/>
  <c r="AM8" i="12"/>
  <c r="AH6" i="9" l="1"/>
  <c r="AH11" i="9" s="1"/>
  <c r="AJ7" i="9"/>
  <c r="AG22" i="9"/>
  <c r="AG11" i="9"/>
  <c r="AG23" i="9"/>
  <c r="AF30" i="9"/>
  <c r="AH8" i="9"/>
  <c r="AN8" i="12"/>
  <c r="AH38" i="9"/>
  <c r="AI5" i="9"/>
  <c r="AI9" i="9"/>
  <c r="AI10" i="9" s="1"/>
  <c r="AI6" i="9" l="1"/>
  <c r="AI29" i="9" s="1"/>
  <c r="AH23" i="9"/>
  <c r="AH29" i="9"/>
  <c r="AG30" i="9" s="1"/>
  <c r="AH22" i="9"/>
  <c r="AI8" i="9"/>
  <c r="AJ5" i="9"/>
  <c r="AJ9" i="9"/>
  <c r="AJ10" i="9" s="1"/>
  <c r="AI38" i="9"/>
  <c r="AO8" i="12"/>
  <c r="AJ6" i="9" l="1"/>
  <c r="AJ11" i="9" s="1"/>
  <c r="AK7" i="9"/>
  <c r="AH30" i="9"/>
  <c r="AI23" i="9"/>
  <c r="AI22" i="9"/>
  <c r="AI11" i="9"/>
  <c r="AJ8" i="9"/>
  <c r="AK9" i="9"/>
  <c r="AK10" i="9" s="1"/>
  <c r="AK5" i="9"/>
  <c r="AJ38" i="9"/>
  <c r="AP8" i="12"/>
  <c r="AK6" i="9" l="1"/>
  <c r="AK11" i="9" s="1"/>
  <c r="AL7" i="9"/>
  <c r="AJ29" i="9"/>
  <c r="AI30" i="9" s="1"/>
  <c r="AJ22" i="9"/>
  <c r="AJ23" i="9"/>
  <c r="AK8" i="9"/>
  <c r="AK38" i="9"/>
  <c r="AQ8" i="12"/>
  <c r="AL5" i="9"/>
  <c r="AL9" i="9"/>
  <c r="AL10" i="9" s="1"/>
  <c r="AL6" i="9" l="1"/>
  <c r="AL23" i="9" s="1"/>
  <c r="AM7" i="9"/>
  <c r="AK22" i="9"/>
  <c r="AK23" i="9"/>
  <c r="AK29" i="9"/>
  <c r="AJ30" i="9" s="1"/>
  <c r="AL8" i="9"/>
  <c r="AR8" i="12"/>
  <c r="AL38" i="9"/>
  <c r="AM9" i="9"/>
  <c r="AM10" i="9" s="1"/>
  <c r="AM5" i="9"/>
  <c r="AM6" i="9" l="1"/>
  <c r="AM22" i="9" s="1"/>
  <c r="AO7" i="9"/>
  <c r="AN7" i="9"/>
  <c r="AL11" i="9"/>
  <c r="AL29" i="9"/>
  <c r="AK30" i="9" s="1"/>
  <c r="AL22" i="9"/>
  <c r="AM8" i="9"/>
  <c r="AM38" i="9"/>
  <c r="AS8" i="12"/>
  <c r="AN9" i="9"/>
  <c r="AN10" i="9" s="1"/>
  <c r="AN5" i="9"/>
  <c r="AN6" i="9" l="1"/>
  <c r="AN23" i="9" s="1"/>
  <c r="AP7" i="9"/>
  <c r="AM29" i="9"/>
  <c r="AL30" i="9" s="1"/>
  <c r="AN8" i="9"/>
  <c r="AM11" i="9"/>
  <c r="AM23" i="9"/>
  <c r="AN38" i="9"/>
  <c r="AT8" i="12"/>
  <c r="AO9" i="9"/>
  <c r="AO10" i="9" s="1"/>
  <c r="AO5" i="9"/>
  <c r="AO6" i="9" l="1"/>
  <c r="AO11" i="9" s="1"/>
  <c r="AN29" i="9"/>
  <c r="AM30" i="9" s="1"/>
  <c r="AN11" i="9"/>
  <c r="AN22" i="9"/>
  <c r="AO8" i="9"/>
  <c r="AP5" i="9"/>
  <c r="AQ7" i="9"/>
  <c r="AP9" i="9"/>
  <c r="AP10" i="9" s="1"/>
  <c r="AO38" i="9"/>
  <c r="AU8" i="12"/>
  <c r="AP6" i="9" l="1"/>
  <c r="AP29" i="9" s="1"/>
  <c r="AO22" i="9"/>
  <c r="AO29" i="9"/>
  <c r="AN30" i="9" s="1"/>
  <c r="AO23" i="9"/>
  <c r="AP8" i="9"/>
  <c r="AV8" i="12"/>
  <c r="AP38" i="9"/>
  <c r="AQ5" i="9"/>
  <c r="AQ9" i="9"/>
  <c r="AQ10" i="9" s="1"/>
  <c r="AQ6" i="9" l="1"/>
  <c r="AQ11" i="9" s="1"/>
  <c r="AS7" i="9"/>
  <c r="AR7" i="9"/>
  <c r="AO30" i="9"/>
  <c r="AP23" i="9"/>
  <c r="AP22" i="9"/>
  <c r="AP11" i="9"/>
  <c r="AQ8" i="9"/>
  <c r="AQ38" i="9"/>
  <c r="AW8" i="12"/>
  <c r="AR5" i="9"/>
  <c r="AR9" i="9"/>
  <c r="AR10" i="9" s="1"/>
  <c r="AR6" i="9" l="1"/>
  <c r="AR11" i="9" s="1"/>
  <c r="AQ22" i="9"/>
  <c r="AQ23" i="9"/>
  <c r="AQ29" i="9"/>
  <c r="AP30" i="9" s="1"/>
  <c r="AR8" i="9"/>
  <c r="AR38" i="9"/>
  <c r="AX8" i="12"/>
  <c r="AS5" i="9"/>
  <c r="AS9" i="9"/>
  <c r="AS10" i="9" s="1"/>
  <c r="AS6" i="9" l="1"/>
  <c r="AS22" i="9" s="1"/>
  <c r="AU7" i="9"/>
  <c r="AT7" i="9"/>
  <c r="AR22" i="9"/>
  <c r="AR23" i="9"/>
  <c r="AR29" i="9"/>
  <c r="AQ30" i="9" s="1"/>
  <c r="AS8" i="9"/>
  <c r="AS38" i="9"/>
  <c r="AY8" i="12"/>
  <c r="AT5" i="9"/>
  <c r="AT9" i="9"/>
  <c r="AT10" i="9" s="1"/>
  <c r="AT6" i="9" l="1"/>
  <c r="AT23" i="9" s="1"/>
  <c r="AV7" i="9"/>
  <c r="AS23" i="9"/>
  <c r="AS29" i="9"/>
  <c r="AR30" i="9" s="1"/>
  <c r="AS11" i="9"/>
  <c r="AT8" i="9"/>
  <c r="AU9" i="9"/>
  <c r="AU10" i="9" s="1"/>
  <c r="AU5" i="9"/>
  <c r="AZ8" i="12"/>
  <c r="AT38" i="9"/>
  <c r="AU6" i="9" l="1"/>
  <c r="AU29" i="9" s="1"/>
  <c r="AW7" i="9"/>
  <c r="AT22" i="9"/>
  <c r="AT29" i="9"/>
  <c r="AS30" i="9" s="1"/>
  <c r="AT11" i="9"/>
  <c r="AU8" i="9"/>
  <c r="AV9" i="9"/>
  <c r="AV10" i="9" s="1"/>
  <c r="AV5" i="9"/>
  <c r="AU38" i="9"/>
  <c r="BA8" i="12"/>
  <c r="AV6" i="9" l="1"/>
  <c r="AV11" i="9" s="1"/>
  <c r="AT30" i="9"/>
  <c r="AU11" i="9"/>
  <c r="AU23" i="9"/>
  <c r="AU22" i="9"/>
  <c r="AV8" i="9"/>
  <c r="AV38" i="9"/>
  <c r="BB8" i="12"/>
  <c r="AW9" i="9"/>
  <c r="AW10" i="9" s="1"/>
  <c r="AW5" i="9"/>
  <c r="AW6" i="9" l="1"/>
  <c r="AW22" i="9" s="1"/>
  <c r="AX7" i="9"/>
  <c r="AV22" i="9"/>
  <c r="AV23" i="9"/>
  <c r="AW8" i="9"/>
  <c r="AV29" i="9"/>
  <c r="AU30" i="9" s="1"/>
  <c r="AW38" i="9"/>
  <c r="BC8" i="12"/>
  <c r="AX5" i="9"/>
  <c r="AX9" i="9"/>
  <c r="AX10" i="9" s="1"/>
  <c r="AX6" i="9" l="1"/>
  <c r="AX11" i="9" s="1"/>
  <c r="AY7" i="9"/>
  <c r="AW23" i="9"/>
  <c r="AW29" i="9"/>
  <c r="AV30" i="9" s="1"/>
  <c r="AW11" i="9"/>
  <c r="AX8" i="9"/>
  <c r="BD8" i="12"/>
  <c r="AX38" i="9"/>
  <c r="AY9" i="9"/>
  <c r="AY10" i="9" s="1"/>
  <c r="AY5" i="9"/>
  <c r="AY6" i="9" l="1"/>
  <c r="AY11" i="9" s="1"/>
  <c r="BA7" i="9"/>
  <c r="AZ7" i="9"/>
  <c r="AX22" i="9"/>
  <c r="AX23" i="9"/>
  <c r="AX29" i="9"/>
  <c r="AW30" i="9" s="1"/>
  <c r="AY8" i="9"/>
  <c r="AY38" i="9"/>
  <c r="BE8" i="12"/>
  <c r="AZ9" i="9"/>
  <c r="AZ10" i="9" s="1"/>
  <c r="AZ5" i="9"/>
  <c r="AZ6" i="9" l="1"/>
  <c r="AZ11" i="9" s="1"/>
  <c r="AY23" i="9"/>
  <c r="AY22" i="9"/>
  <c r="AY29" i="9"/>
  <c r="AX30" i="9" s="1"/>
  <c r="AZ8" i="9"/>
  <c r="BA5" i="9"/>
  <c r="BA9" i="9"/>
  <c r="BA10" i="9" s="1"/>
  <c r="AZ38" i="9"/>
  <c r="BF8" i="12"/>
  <c r="BA6" i="9" l="1"/>
  <c r="BA23" i="9" s="1"/>
  <c r="H322" i="12"/>
  <c r="H265" i="12"/>
  <c r="F265" i="12" s="1"/>
  <c r="H297" i="12"/>
  <c r="F297" i="12" s="1"/>
  <c r="H343" i="12"/>
  <c r="F343" i="12" s="1"/>
  <c r="H333" i="12"/>
  <c r="H268" i="12"/>
  <c r="H241" i="12"/>
  <c r="H280" i="12"/>
  <c r="H283" i="12"/>
  <c r="F283" i="12" s="1"/>
  <c r="H235" i="12"/>
  <c r="F235" i="12" s="1"/>
  <c r="H371" i="12"/>
  <c r="F371" i="12" s="1"/>
  <c r="H242" i="12"/>
  <c r="E241" i="12" s="1"/>
  <c r="H293" i="12"/>
  <c r="H312" i="12"/>
  <c r="H263" i="12"/>
  <c r="F263" i="12" s="1"/>
  <c r="H274" i="12"/>
  <c r="H330" i="12"/>
  <c r="H315" i="12"/>
  <c r="F315" i="12" s="1"/>
  <c r="H361" i="12"/>
  <c r="F361" i="12" s="1"/>
  <c r="H364" i="12"/>
  <c r="H319" i="12"/>
  <c r="F319" i="12" s="1"/>
  <c r="H360" i="12"/>
  <c r="H325" i="12"/>
  <c r="F325" i="12" s="1"/>
  <c r="H307" i="12"/>
  <c r="F307" i="12" s="1"/>
  <c r="H368" i="12"/>
  <c r="H282" i="12"/>
  <c r="H301" i="12"/>
  <c r="F301" i="12" s="1"/>
  <c r="H348" i="12"/>
  <c r="H372" i="12"/>
  <c r="H337" i="12"/>
  <c r="F337" i="12" s="1"/>
  <c r="H366" i="12"/>
  <c r="H356" i="12"/>
  <c r="H252" i="12"/>
  <c r="H344" i="12"/>
  <c r="H264" i="12"/>
  <c r="H278" i="12"/>
  <c r="H277" i="12"/>
  <c r="F277" i="12" s="1"/>
  <c r="H286" i="12"/>
  <c r="H377" i="12"/>
  <c r="F377" i="12" s="1"/>
  <c r="H314" i="12"/>
  <c r="H279" i="12"/>
  <c r="F279" i="12" s="1"/>
  <c r="H273" i="12"/>
  <c r="F273" i="12" s="1"/>
  <c r="H329" i="12"/>
  <c r="F329" i="12" s="1"/>
  <c r="H359" i="12"/>
  <c r="F359" i="12" s="1"/>
  <c r="H299" i="12"/>
  <c r="F299" i="12" s="1"/>
  <c r="H374" i="12"/>
  <c r="H320" i="12"/>
  <c r="H357" i="12"/>
  <c r="F357" i="12" s="1"/>
  <c r="H338" i="12"/>
  <c r="H355" i="12"/>
  <c r="F355" i="12" s="1"/>
  <c r="H240" i="12"/>
  <c r="H342" i="12"/>
  <c r="H294" i="12"/>
  <c r="E293" i="12" s="1"/>
  <c r="H375" i="12"/>
  <c r="F375" i="12" s="1"/>
  <c r="H323" i="12"/>
  <c r="F323" i="12" s="1"/>
  <c r="H310" i="12"/>
  <c r="H341" i="12"/>
  <c r="F341" i="12" s="1"/>
  <c r="H267" i="12"/>
  <c r="F267" i="12" s="1"/>
  <c r="H358" i="12"/>
  <c r="H245" i="12"/>
  <c r="F245" i="12" s="1"/>
  <c r="H295" i="12"/>
  <c r="F295" i="12" s="1"/>
  <c r="H255" i="12"/>
  <c r="F255" i="12" s="1"/>
  <c r="H373" i="12"/>
  <c r="F373" i="12" s="1"/>
  <c r="H288" i="12"/>
  <c r="E287" i="12" s="1"/>
  <c r="H339" i="12"/>
  <c r="H334" i="12"/>
  <c r="E333" i="12" s="1"/>
  <c r="H305" i="12"/>
  <c r="F305" i="12" s="1"/>
  <c r="H350" i="12"/>
  <c r="H318" i="12"/>
  <c r="H236" i="12"/>
  <c r="H376" i="12"/>
  <c r="H260" i="12"/>
  <c r="H254" i="12"/>
  <c r="H266" i="12"/>
  <c r="H272" i="12"/>
  <c r="H298" i="12"/>
  <c r="H328" i="12"/>
  <c r="H247" i="12"/>
  <c r="F247" i="12" s="1"/>
  <c r="H289" i="12"/>
  <c r="F289" i="12" s="1"/>
  <c r="H332" i="12"/>
  <c r="H340" i="12"/>
  <c r="E339" i="12" s="1"/>
  <c r="H327" i="12"/>
  <c r="F327" i="12" s="1"/>
  <c r="H261" i="12"/>
  <c r="F261" i="12" s="1"/>
  <c r="H237" i="12"/>
  <c r="F237" i="12" s="1"/>
  <c r="H290" i="12"/>
  <c r="H281" i="12"/>
  <c r="F281" i="12" s="1"/>
  <c r="H308" i="12"/>
  <c r="H244" i="12"/>
  <c r="H367" i="12"/>
  <c r="F367" i="12" s="1"/>
  <c r="H354" i="12"/>
  <c r="H253" i="12"/>
  <c r="F253" i="12" s="1"/>
  <c r="H369" i="12"/>
  <c r="F369" i="12" s="1"/>
  <c r="H276" i="12"/>
  <c r="H238" i="12"/>
  <c r="H311" i="12"/>
  <c r="F311" i="12" s="1"/>
  <c r="H246" i="12"/>
  <c r="H256" i="12"/>
  <c r="H248" i="12"/>
  <c r="E247" i="12" s="1"/>
  <c r="H270" i="12"/>
  <c r="H345" i="12"/>
  <c r="F345" i="12" s="1"/>
  <c r="H250" i="12"/>
  <c r="H313" i="12"/>
  <c r="F313" i="12" s="1"/>
  <c r="H258" i="12"/>
  <c r="H317" i="12"/>
  <c r="F317" i="12" s="1"/>
  <c r="H336" i="12"/>
  <c r="H365" i="12"/>
  <c r="F365" i="12" s="1"/>
  <c r="H351" i="12"/>
  <c r="F351" i="12" s="1"/>
  <c r="H269" i="12"/>
  <c r="F269" i="12" s="1"/>
  <c r="H251" i="12"/>
  <c r="F251" i="12" s="1"/>
  <c r="H303" i="12"/>
  <c r="F303" i="12" s="1"/>
  <c r="H321" i="12"/>
  <c r="F321" i="12" s="1"/>
  <c r="H335" i="12"/>
  <c r="F335" i="12" s="1"/>
  <c r="H257" i="12"/>
  <c r="F257" i="12" s="1"/>
  <c r="H285" i="12"/>
  <c r="F285" i="12" s="1"/>
  <c r="H363" i="12"/>
  <c r="F363" i="12" s="1"/>
  <c r="H249" i="12"/>
  <c r="F249" i="12" s="1"/>
  <c r="H287" i="12"/>
  <c r="H309" i="12"/>
  <c r="F309" i="12" s="1"/>
  <c r="H353" i="12"/>
  <c r="F353" i="12" s="1"/>
  <c r="H243" i="12"/>
  <c r="F243" i="12" s="1"/>
  <c r="H349" i="12"/>
  <c r="F349" i="12" s="1"/>
  <c r="H262" i="12"/>
  <c r="H275" i="12"/>
  <c r="F275" i="12" s="1"/>
  <c r="H352" i="12"/>
  <c r="H239" i="12"/>
  <c r="F239" i="12" s="1"/>
  <c r="H346" i="12"/>
  <c r="H378" i="12"/>
  <c r="H271" i="12"/>
  <c r="F271" i="12" s="1"/>
  <c r="H370" i="12"/>
  <c r="H302" i="12"/>
  <c r="H296" i="12"/>
  <c r="H362" i="12"/>
  <c r="H316" i="12"/>
  <c r="H324" i="12"/>
  <c r="H306" i="12"/>
  <c r="H347" i="12"/>
  <c r="F347" i="12" s="1"/>
  <c r="H291" i="12"/>
  <c r="F291" i="12" s="1"/>
  <c r="H259" i="12"/>
  <c r="F259" i="12" s="1"/>
  <c r="H326" i="12"/>
  <c r="H331" i="12"/>
  <c r="F331" i="12" s="1"/>
  <c r="H292" i="12"/>
  <c r="H284" i="12"/>
  <c r="H304" i="12"/>
  <c r="H300" i="12"/>
  <c r="H382" i="12"/>
  <c r="H379" i="12"/>
  <c r="F379" i="12" s="1"/>
  <c r="H380" i="12"/>
  <c r="H381" i="12"/>
  <c r="F381" i="12" s="1"/>
  <c r="H390" i="12"/>
  <c r="H384" i="12"/>
  <c r="H387" i="12"/>
  <c r="F387" i="12" s="1"/>
  <c r="H388" i="12"/>
  <c r="H389" i="12"/>
  <c r="F389" i="12" s="1"/>
  <c r="H383" i="12"/>
  <c r="F383" i="12" s="1"/>
  <c r="H385" i="12"/>
  <c r="F385" i="12" s="1"/>
  <c r="H386" i="12"/>
  <c r="H394" i="12"/>
  <c r="H393" i="12"/>
  <c r="F393" i="12" s="1"/>
  <c r="H392" i="12"/>
  <c r="H391" i="12"/>
  <c r="F391" i="12" s="1"/>
  <c r="H395" i="12"/>
  <c r="F395" i="12" s="1"/>
  <c r="H396" i="12"/>
  <c r="H234" i="12"/>
  <c r="H233" i="12"/>
  <c r="F233" i="12" s="1"/>
  <c r="H21" i="12"/>
  <c r="H232" i="12"/>
  <c r="H11" i="12" a="1"/>
  <c r="H11" i="12" s="1"/>
  <c r="H231" i="12"/>
  <c r="F231" i="12" s="1"/>
  <c r="H30" i="12"/>
  <c r="E29" i="12" s="1"/>
  <c r="H29" i="12"/>
  <c r="H12" i="12"/>
  <c r="E11" i="12" s="1"/>
  <c r="H15" i="12"/>
  <c r="H27" i="12"/>
  <c r="H23" i="12"/>
  <c r="H25" i="12"/>
  <c r="H24" i="12"/>
  <c r="E23" i="12" s="1"/>
  <c r="H26" i="12"/>
  <c r="E25" i="12" s="1"/>
  <c r="H16" i="12"/>
  <c r="E15" i="12" s="1"/>
  <c r="H28" i="12"/>
  <c r="E27" i="12" s="1"/>
  <c r="H38" i="12"/>
  <c r="H37" i="12"/>
  <c r="F37" i="12" s="1"/>
  <c r="H398" i="12"/>
  <c r="H209" i="12"/>
  <c r="H190" i="12"/>
  <c r="E189" i="12" s="1"/>
  <c r="H199" i="12"/>
  <c r="H200" i="12"/>
  <c r="E199" i="12" s="1"/>
  <c r="H202" i="12"/>
  <c r="E201" i="12" s="1"/>
  <c r="H225" i="12"/>
  <c r="F225" i="12" s="1"/>
  <c r="H192" i="12"/>
  <c r="E191" i="12" s="1"/>
  <c r="H217" i="12"/>
  <c r="H198" i="12"/>
  <c r="E197" i="12" s="1"/>
  <c r="H227" i="12"/>
  <c r="F227" i="12" s="1"/>
  <c r="H226" i="12"/>
  <c r="H185" i="12"/>
  <c r="H205" i="12"/>
  <c r="H224" i="12"/>
  <c r="H216" i="12"/>
  <c r="E215" i="12" s="1"/>
  <c r="H203" i="12"/>
  <c r="H228" i="12"/>
  <c r="H208" i="12"/>
  <c r="E207" i="12" s="1"/>
  <c r="H195" i="12"/>
  <c r="H201" i="12"/>
  <c r="H210" i="12"/>
  <c r="E209" i="12" s="1"/>
  <c r="H188" i="12"/>
  <c r="E187" i="12" s="1"/>
  <c r="H189" i="12"/>
  <c r="F189" i="12" s="1"/>
  <c r="H230" i="12"/>
  <c r="H193" i="12"/>
  <c r="H214" i="12"/>
  <c r="E213" i="12" s="1"/>
  <c r="H218" i="12"/>
  <c r="E217" i="12" s="1"/>
  <c r="H196" i="12"/>
  <c r="E195" i="12" s="1"/>
  <c r="H211" i="12"/>
  <c r="H219" i="12"/>
  <c r="F219" i="12" s="1"/>
  <c r="H204" i="12"/>
  <c r="E203" i="12" s="1"/>
  <c r="H212" i="12"/>
  <c r="E211" i="12" s="1"/>
  <c r="H220" i="12"/>
  <c r="H223" i="12"/>
  <c r="F223" i="12" s="1"/>
  <c r="H187" i="12"/>
  <c r="F187" i="12" s="1"/>
  <c r="H221" i="12"/>
  <c r="F221" i="12" s="1"/>
  <c r="H197" i="12"/>
  <c r="F197" i="12" s="1"/>
  <c r="H191" i="12"/>
  <c r="H213" i="12"/>
  <c r="H186" i="12"/>
  <c r="E185" i="12" s="1"/>
  <c r="H229" i="12"/>
  <c r="F229" i="12" s="1"/>
  <c r="H215" i="12"/>
  <c r="H397" i="12"/>
  <c r="F397" i="12" s="1"/>
  <c r="H194" i="12"/>
  <c r="E193" i="12" s="1"/>
  <c r="H206" i="12"/>
  <c r="E205" i="12" s="1"/>
  <c r="H222" i="12"/>
  <c r="H207" i="12"/>
  <c r="H184" i="12"/>
  <c r="E183" i="12" s="1"/>
  <c r="H147" i="12"/>
  <c r="H177" i="12"/>
  <c r="H155" i="12"/>
  <c r="H152" i="12"/>
  <c r="E151" i="12" s="1"/>
  <c r="H161" i="12"/>
  <c r="H143" i="12"/>
  <c r="H176" i="12"/>
  <c r="E175" i="12" s="1"/>
  <c r="H159" i="12"/>
  <c r="H154" i="12"/>
  <c r="E153" i="12" s="1"/>
  <c r="H146" i="12"/>
  <c r="E145" i="12" s="1"/>
  <c r="H149" i="12"/>
  <c r="H165" i="12"/>
  <c r="H144" i="12"/>
  <c r="E143" i="12" s="1"/>
  <c r="H158" i="12"/>
  <c r="E157" i="12" s="1"/>
  <c r="H153" i="12"/>
  <c r="H167" i="12"/>
  <c r="H157" i="12"/>
  <c r="H175" i="12"/>
  <c r="H179" i="12"/>
  <c r="H178" i="12"/>
  <c r="E177" i="12" s="1"/>
  <c r="H164" i="12"/>
  <c r="H170" i="12"/>
  <c r="E169" i="12" s="1"/>
  <c r="H150" i="12"/>
  <c r="E149" i="12" s="1"/>
  <c r="H156" i="12"/>
  <c r="E155" i="12" s="1"/>
  <c r="H160" i="12"/>
  <c r="E159" i="12" s="1"/>
  <c r="H180" i="12"/>
  <c r="E179" i="12" s="1"/>
  <c r="H168" i="12"/>
  <c r="E167" i="12" s="1"/>
  <c r="H173" i="12"/>
  <c r="H169" i="12"/>
  <c r="H172" i="12"/>
  <c r="E171" i="12" s="1"/>
  <c r="H166" i="12"/>
  <c r="E165" i="12" s="1"/>
  <c r="H181" i="12"/>
  <c r="H148" i="12"/>
  <c r="E147" i="12" s="1"/>
  <c r="H171" i="12"/>
  <c r="F171" i="12" s="1"/>
  <c r="H174" i="12"/>
  <c r="E173" i="12" s="1"/>
  <c r="H182" i="12"/>
  <c r="E181" i="12" s="1"/>
  <c r="H145" i="12"/>
  <c r="H151" i="12"/>
  <c r="H163" i="12"/>
  <c r="F163" i="12" s="1"/>
  <c r="H162" i="12"/>
  <c r="E161" i="12" s="1"/>
  <c r="H183" i="12"/>
  <c r="F183" i="12" s="1"/>
  <c r="H112" i="12"/>
  <c r="E111" i="12" s="1"/>
  <c r="H121" i="12"/>
  <c r="H128" i="12"/>
  <c r="E127" i="12" s="1"/>
  <c r="H133" i="12"/>
  <c r="H142" i="12"/>
  <c r="E141" i="12" s="1"/>
  <c r="H129" i="12"/>
  <c r="H118" i="12"/>
  <c r="E117" i="12" s="1"/>
  <c r="H127" i="12"/>
  <c r="H110" i="12"/>
  <c r="E109" i="12" s="1"/>
  <c r="H130" i="12"/>
  <c r="E129" i="12" s="1"/>
  <c r="H137" i="12"/>
  <c r="H138" i="12"/>
  <c r="E137" i="12" s="1"/>
  <c r="H115" i="12"/>
  <c r="H124" i="12"/>
  <c r="E123" i="12" s="1"/>
  <c r="H132" i="12"/>
  <c r="E131" i="12" s="1"/>
  <c r="H120" i="12"/>
  <c r="E119" i="12" s="1"/>
  <c r="H131" i="12"/>
  <c r="H117" i="12"/>
  <c r="H122" i="12"/>
  <c r="E121" i="12" s="1"/>
  <c r="H116" i="12"/>
  <c r="E115" i="12" s="1"/>
  <c r="H125" i="12"/>
  <c r="H111" i="12"/>
  <c r="H139" i="12"/>
  <c r="H123" i="12"/>
  <c r="H134" i="12"/>
  <c r="E133" i="12" s="1"/>
  <c r="H119" i="12"/>
  <c r="H109" i="12"/>
  <c r="H136" i="12"/>
  <c r="E135" i="12" s="1"/>
  <c r="H126" i="12"/>
  <c r="E125" i="12" s="1"/>
  <c r="H140" i="12"/>
  <c r="E139" i="12" s="1"/>
  <c r="H113" i="12"/>
  <c r="H114" i="12"/>
  <c r="E113" i="12" s="1"/>
  <c r="H141" i="12"/>
  <c r="H135" i="12"/>
  <c r="H105" i="12"/>
  <c r="H106" i="12"/>
  <c r="E105" i="12" s="1"/>
  <c r="H102" i="12"/>
  <c r="E101" i="12" s="1"/>
  <c r="H98" i="12"/>
  <c r="E97" i="12" s="1"/>
  <c r="H97" i="12"/>
  <c r="F97" i="12" s="1"/>
  <c r="H101" i="12"/>
  <c r="H99" i="12"/>
  <c r="H100" i="12"/>
  <c r="E99" i="12" s="1"/>
  <c r="H48" i="12"/>
  <c r="H46" i="12"/>
  <c r="H53" i="12"/>
  <c r="H45" i="12"/>
  <c r="F45" i="12" s="1"/>
  <c r="H41" i="12"/>
  <c r="F41" i="12" s="1"/>
  <c r="H56" i="12"/>
  <c r="H47" i="12"/>
  <c r="F47" i="12" s="1"/>
  <c r="H55" i="12"/>
  <c r="F55" i="12" s="1"/>
  <c r="H60" i="12"/>
  <c r="E59" i="12" s="1"/>
  <c r="H43" i="12"/>
  <c r="F43" i="12" s="1"/>
  <c r="H51" i="12"/>
  <c r="F51" i="12" s="1"/>
  <c r="H61" i="12"/>
  <c r="H54" i="12"/>
  <c r="E53" i="12" s="1"/>
  <c r="H57" i="12"/>
  <c r="H44" i="12"/>
  <c r="H65" i="12"/>
  <c r="H63" i="12"/>
  <c r="H42" i="12"/>
  <c r="H52" i="12"/>
  <c r="H58" i="12"/>
  <c r="E57" i="12" s="1"/>
  <c r="H66" i="12"/>
  <c r="E65" i="12" s="1"/>
  <c r="H49" i="12"/>
  <c r="F49" i="12" s="1"/>
  <c r="H50" i="12"/>
  <c r="H62" i="12"/>
  <c r="E61" i="12" s="1"/>
  <c r="H59" i="12"/>
  <c r="H64" i="12"/>
  <c r="E63" i="12" s="1"/>
  <c r="AZ22" i="9"/>
  <c r="AZ23" i="9"/>
  <c r="AZ29" i="9"/>
  <c r="AY30" i="9" s="1"/>
  <c r="BA8" i="9"/>
  <c r="BA38" i="9"/>
  <c r="H93" i="12"/>
  <c r="H70" i="12"/>
  <c r="E69" i="12" s="1"/>
  <c r="H84" i="12"/>
  <c r="E83" i="12" s="1"/>
  <c r="H86" i="12"/>
  <c r="E85" i="12" s="1"/>
  <c r="H36" i="12"/>
  <c r="H90" i="12"/>
  <c r="E89" i="12" s="1"/>
  <c r="H83" i="12"/>
  <c r="H32" i="12"/>
  <c r="H10" i="12"/>
  <c r="E9" i="12" s="1"/>
  <c r="H78" i="12"/>
  <c r="E77" i="12" s="1"/>
  <c r="H82" i="12"/>
  <c r="E81" i="12" s="1"/>
  <c r="H81" i="12"/>
  <c r="H34" i="12"/>
  <c r="H39" i="12"/>
  <c r="F39" i="12" s="1"/>
  <c r="H72" i="12"/>
  <c r="E71" i="12" s="1"/>
  <c r="H22" i="12"/>
  <c r="E21" i="12" s="1"/>
  <c r="H18" i="12"/>
  <c r="E17" i="12" s="1"/>
  <c r="H31" i="12"/>
  <c r="F31" i="12" s="1"/>
  <c r="H69" i="12"/>
  <c r="H67" i="12"/>
  <c r="H108" i="12"/>
  <c r="E107" i="12" s="1"/>
  <c r="H79" i="12"/>
  <c r="H74" i="12"/>
  <c r="E73" i="12" s="1"/>
  <c r="H77" i="12"/>
  <c r="H9" i="12"/>
  <c r="H71" i="12"/>
  <c r="H88" i="12"/>
  <c r="E87" i="12" s="1"/>
  <c r="H40" i="12"/>
  <c r="H13" i="12"/>
  <c r="H33" i="12"/>
  <c r="F33" i="12" s="1"/>
  <c r="H75" i="12"/>
  <c r="H68" i="12"/>
  <c r="E67" i="12" s="1"/>
  <c r="H76" i="12"/>
  <c r="E75" i="12" s="1"/>
  <c r="H89" i="12"/>
  <c r="H14" i="12"/>
  <c r="E13" i="12" s="1"/>
  <c r="H92" i="12"/>
  <c r="E91" i="12" s="1"/>
  <c r="H17" i="12"/>
  <c r="H94" i="12"/>
  <c r="E93" i="12" s="1"/>
  <c r="H73" i="12"/>
  <c r="H35" i="12"/>
  <c r="F35" i="12" s="1"/>
  <c r="H107" i="12"/>
  <c r="H104" i="12"/>
  <c r="E103" i="12" s="1"/>
  <c r="H19" i="12"/>
  <c r="H91" i="12"/>
  <c r="F91" i="12" s="1"/>
  <c r="H95" i="12"/>
  <c r="H96" i="12"/>
  <c r="E95" i="12" s="1"/>
  <c r="H87" i="12"/>
  <c r="H103" i="12"/>
  <c r="H85" i="12"/>
  <c r="H20" i="12"/>
  <c r="E19" i="12" s="1"/>
  <c r="H80" i="12"/>
  <c r="E79" i="12" s="1"/>
  <c r="F339" i="12" l="1"/>
  <c r="F293" i="12"/>
  <c r="F287" i="12"/>
  <c r="F13" i="12"/>
  <c r="F59" i="12"/>
  <c r="F53" i="12"/>
  <c r="F141" i="12"/>
  <c r="F15" i="12"/>
  <c r="F25" i="12"/>
  <c r="F11" i="12"/>
  <c r="F135" i="12"/>
  <c r="F29" i="12"/>
  <c r="H399" i="12" a="1"/>
  <c r="H399" i="12" s="1"/>
  <c r="F195" i="12"/>
  <c r="F27" i="12"/>
  <c r="F121" i="12"/>
  <c r="F119" i="12"/>
  <c r="F9" i="12"/>
  <c r="F21" i="12"/>
  <c r="F17" i="12"/>
  <c r="F23" i="12"/>
  <c r="F19" i="12"/>
  <c r="F241" i="12"/>
  <c r="F333" i="12"/>
  <c r="F155" i="12"/>
  <c r="F153" i="12"/>
  <c r="F117" i="12"/>
  <c r="F111" i="12"/>
  <c r="F207" i="12"/>
  <c r="F213" i="12"/>
  <c r="F199" i="12"/>
  <c r="F151" i="12"/>
  <c r="F217" i="12"/>
  <c r="F201" i="12"/>
  <c r="F215" i="12"/>
  <c r="F211" i="12"/>
  <c r="F205" i="12"/>
  <c r="F209" i="12"/>
  <c r="F203" i="12"/>
  <c r="F145" i="12"/>
  <c r="F169" i="12"/>
  <c r="F157" i="12"/>
  <c r="F161" i="12"/>
  <c r="F137" i="12"/>
  <c r="F109" i="12"/>
  <c r="F105" i="12"/>
  <c r="F191" i="12"/>
  <c r="F123" i="12"/>
  <c r="F147" i="12"/>
  <c r="F159" i="12"/>
  <c r="F185" i="12"/>
  <c r="F149" i="12"/>
  <c r="F107" i="12"/>
  <c r="F131" i="12"/>
  <c r="F115" i="12"/>
  <c r="F143" i="12"/>
  <c r="F177" i="12"/>
  <c r="F193" i="12"/>
  <c r="F139" i="12"/>
  <c r="F129" i="12"/>
  <c r="F179" i="12"/>
  <c r="F127" i="12"/>
  <c r="H400" i="12"/>
  <c r="E399" i="12" s="1"/>
  <c r="F175" i="12"/>
  <c r="F101" i="12"/>
  <c r="F133" i="12"/>
  <c r="F99" i="12"/>
  <c r="F125" i="12"/>
  <c r="F63" i="12"/>
  <c r="F113" i="12"/>
  <c r="F181" i="12"/>
  <c r="F173" i="12"/>
  <c r="F167" i="12"/>
  <c r="F165" i="12"/>
  <c r="F65" i="12"/>
  <c r="F61" i="12"/>
  <c r="F57" i="12"/>
  <c r="BA22" i="9"/>
  <c r="D24" i="9" s="1"/>
  <c r="D27" i="9" s="1"/>
  <c r="BA29" i="9"/>
  <c r="BA30" i="9" s="1"/>
  <c r="BA11" i="9"/>
  <c r="F95" i="12"/>
  <c r="F103" i="12"/>
  <c r="F83" i="12"/>
  <c r="F85" i="12"/>
  <c r="F81" i="12"/>
  <c r="F77" i="12"/>
  <c r="F73" i="12"/>
  <c r="F71" i="12"/>
  <c r="F67" i="12"/>
  <c r="F87" i="12"/>
  <c r="F69" i="12"/>
  <c r="F93" i="12"/>
  <c r="F79" i="12"/>
  <c r="F75" i="12"/>
  <c r="F399" i="12" l="1"/>
  <c r="I7" i="10"/>
  <c r="L7" i="10" s="1"/>
  <c r="D25" i="9"/>
  <c r="D28" i="9" s="1"/>
  <c r="AZ30" i="9"/>
  <c r="P7" i="9" l="1"/>
  <c r="Q7" i="9"/>
  <c r="S7" i="9"/>
  <c r="R7" i="9"/>
  <c r="T7" i="9"/>
  <c r="U7" i="9"/>
  <c r="V7" i="9"/>
  <c r="X7" i="9"/>
  <c r="X8" i="9" s="1"/>
  <c r="W7" i="9"/>
  <c r="Y7" i="9"/>
  <c r="Y8" i="9" s="1"/>
  <c r="Z7" i="9"/>
  <c r="Z8" i="9" s="1"/>
  <c r="N7" i="9"/>
  <c r="O7" i="9"/>
  <c r="E11" i="24"/>
  <c r="G7" i="9"/>
  <c r="G8" i="9" s="1"/>
  <c r="D7" i="9"/>
  <c r="K7" i="9"/>
  <c r="K8" i="9" s="1"/>
  <c r="M7" i="9"/>
  <c r="J7" i="9"/>
  <c r="J8" i="9" s="1"/>
  <c r="I7" i="9"/>
  <c r="I8" i="9" s="1"/>
  <c r="H7" i="9"/>
  <c r="H8" i="9" s="1"/>
  <c r="E7" i="9"/>
  <c r="F7" i="9"/>
  <c r="F29" i="9" s="1"/>
  <c r="L7" i="9"/>
  <c r="G13" i="10"/>
  <c r="H13" i="10" s="1"/>
  <c r="H14" i="10"/>
  <c r="E6" i="24" s="1"/>
  <c r="W8" i="9" l="1"/>
  <c r="W29" i="9"/>
  <c r="V8" i="9"/>
  <c r="V29" i="9"/>
  <c r="U8" i="9"/>
  <c r="U29" i="9"/>
  <c r="T8" i="9"/>
  <c r="T29" i="9"/>
  <c r="S8" i="9"/>
  <c r="S29" i="9"/>
  <c r="R8" i="9"/>
  <c r="R29" i="9"/>
  <c r="Q8" i="9"/>
  <c r="Q29" i="9"/>
  <c r="P8" i="9"/>
  <c r="P29" i="9"/>
  <c r="O8" i="9"/>
  <c r="O29" i="9"/>
  <c r="N8" i="9"/>
  <c r="N29" i="9"/>
  <c r="D8" i="9"/>
  <c r="D29" i="9"/>
  <c r="M8" i="9"/>
  <c r="M29" i="9"/>
  <c r="L8" i="9"/>
  <c r="L29" i="9"/>
  <c r="K29" i="9"/>
  <c r="G29" i="9"/>
  <c r="F30" i="9" s="1"/>
  <c r="J29" i="9"/>
  <c r="H29" i="9"/>
  <c r="I29" i="9"/>
  <c r="F8" i="9"/>
  <c r="E8" i="9"/>
  <c r="E29" i="9"/>
  <c r="U30" i="9" l="1"/>
  <c r="V30" i="9"/>
  <c r="W30" i="9"/>
  <c r="T30" i="9"/>
  <c r="S30" i="9"/>
  <c r="R30" i="9"/>
  <c r="P30" i="9"/>
  <c r="Q30" i="9"/>
  <c r="O30" i="9"/>
  <c r="N30" i="9"/>
  <c r="M30" i="9"/>
  <c r="D30" i="9"/>
  <c r="I14" i="10"/>
  <c r="J14" i="10" s="1"/>
  <c r="E9" i="24" s="1"/>
  <c r="I40" i="6" s="1"/>
  <c r="L30" i="9"/>
  <c r="K30" i="9"/>
  <c r="J30" i="9"/>
  <c r="G30" i="9"/>
  <c r="I30" i="9"/>
  <c r="H30" i="9"/>
  <c r="E30" i="9"/>
  <c r="D31" i="9"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<sst xmlns="http://schemas.openxmlformats.org/spreadsheetml/2006/main" count="2588" uniqueCount="885">
  <si>
    <t>AB</t>
  </si>
  <si>
    <t>AA</t>
  </si>
  <si>
    <t>AC</t>
  </si>
  <si>
    <t>AD</t>
  </si>
  <si>
    <t>AE</t>
  </si>
  <si>
    <t>AF</t>
  </si>
  <si>
    <t>AG</t>
  </si>
  <si>
    <t>AH</t>
  </si>
  <si>
    <t>AI</t>
  </si>
  <si>
    <t>AJ</t>
  </si>
  <si>
    <t>AK</t>
  </si>
  <si>
    <t>AL</t>
  </si>
  <si>
    <t>AM</t>
  </si>
  <si>
    <t>AN</t>
  </si>
  <si>
    <t>AO</t>
  </si>
  <si>
    <t>AP</t>
  </si>
  <si>
    <t>AQ</t>
  </si>
  <si>
    <t>AR</t>
  </si>
  <si>
    <t>AS</t>
  </si>
  <si>
    <t>AT</t>
  </si>
  <si>
    <t>AU</t>
  </si>
  <si>
    <t>AV</t>
  </si>
  <si>
    <t>AW</t>
  </si>
  <si>
    <t>AX</t>
  </si>
  <si>
    <t>AY</t>
  </si>
  <si>
    <t>AZ</t>
  </si>
  <si>
    <t>BA</t>
  </si>
  <si>
    <t>BB</t>
  </si>
  <si>
    <t>BC</t>
  </si>
  <si>
    <t>BD</t>
  </si>
  <si>
    <t>BE</t>
  </si>
  <si>
    <t>BF</t>
  </si>
  <si>
    <t>BG</t>
  </si>
  <si>
    <t>BH</t>
  </si>
  <si>
    <t>BI</t>
  </si>
  <si>
    <t>BJ</t>
  </si>
  <si>
    <t>BK</t>
  </si>
  <si>
    <t>BL</t>
  </si>
  <si>
    <t>BM</t>
  </si>
  <si>
    <t>BN</t>
  </si>
  <si>
    <t>BO</t>
  </si>
  <si>
    <t>BP</t>
  </si>
  <si>
    <t>BQ</t>
  </si>
  <si>
    <t>BR</t>
  </si>
  <si>
    <t>BS</t>
  </si>
  <si>
    <t>BT</t>
  </si>
  <si>
    <t>BU</t>
  </si>
  <si>
    <t>BV</t>
  </si>
  <si>
    <t>BW</t>
  </si>
  <si>
    <t>BX</t>
  </si>
  <si>
    <t>BY</t>
  </si>
  <si>
    <t>BZ</t>
  </si>
  <si>
    <t>CA</t>
  </si>
  <si>
    <t>CB</t>
  </si>
  <si>
    <t>CC</t>
  </si>
  <si>
    <t>CD</t>
  </si>
  <si>
    <t>CE</t>
  </si>
  <si>
    <t>CF</t>
  </si>
  <si>
    <t>CG</t>
  </si>
  <si>
    <t>CH</t>
  </si>
  <si>
    <t>CI</t>
  </si>
  <si>
    <t>CJ</t>
  </si>
  <si>
    <t>CK</t>
  </si>
  <si>
    <t>CL</t>
  </si>
  <si>
    <t>CM</t>
  </si>
  <si>
    <t>CN</t>
  </si>
  <si>
    <t>CO</t>
  </si>
  <si>
    <t>CP</t>
  </si>
  <si>
    <t>CQ</t>
  </si>
  <si>
    <t>CR</t>
  </si>
  <si>
    <t>CS</t>
  </si>
  <si>
    <t>CT</t>
  </si>
  <si>
    <t>CU</t>
  </si>
  <si>
    <t>CV</t>
  </si>
  <si>
    <t>発見者</t>
    <rPh sb="0" eb="3">
      <t>ハッケンシャ</t>
    </rPh>
    <phoneticPr fontId="4"/>
  </si>
  <si>
    <t>機能名</t>
    <rPh sb="0" eb="3">
      <t>キノウメイ</t>
    </rPh>
    <phoneticPr fontId="4"/>
  </si>
  <si>
    <t>優先度</t>
    <rPh sb="0" eb="3">
      <t>ユウセンド</t>
    </rPh>
    <phoneticPr fontId="4"/>
  </si>
  <si>
    <t>発見日</t>
    <rPh sb="0" eb="3">
      <t>ハッケンビ</t>
    </rPh>
    <phoneticPr fontId="4"/>
  </si>
  <si>
    <t>単票セル名</t>
    <rPh sb="0" eb="2">
      <t>タンピョウ</t>
    </rPh>
    <rPh sb="4" eb="5">
      <t>メイ</t>
    </rPh>
    <phoneticPr fontId="4"/>
  </si>
  <si>
    <t>プロジェクト</t>
    <phoneticPr fontId="4"/>
  </si>
  <si>
    <t>フェーズ</t>
    <phoneticPr fontId="4"/>
  </si>
  <si>
    <t>単票フォルダ名</t>
    <rPh sb="0" eb="2">
      <t>タンピョウ</t>
    </rPh>
    <rPh sb="6" eb="7">
      <t>メイ</t>
    </rPh>
    <phoneticPr fontId="4"/>
  </si>
  <si>
    <t>A</t>
  </si>
  <si>
    <t>「不具合管理表」シート
ヘッダ行数</t>
    <rPh sb="1" eb="4">
      <t>フグアイ</t>
    </rPh>
    <rPh sb="4" eb="6">
      <t>カンリ</t>
    </rPh>
    <rPh sb="6" eb="7">
      <t>ヒョウ</t>
    </rPh>
    <rPh sb="15" eb="17">
      <t>ギョウスウ</t>
    </rPh>
    <phoneticPr fontId="4"/>
  </si>
  <si>
    <t>B</t>
  </si>
  <si>
    <t>C</t>
  </si>
  <si>
    <t>D</t>
  </si>
  <si>
    <t>E</t>
  </si>
  <si>
    <t>F</t>
  </si>
  <si>
    <t>G</t>
  </si>
  <si>
    <t>H</t>
  </si>
  <si>
    <t>I</t>
  </si>
  <si>
    <t>J</t>
  </si>
  <si>
    <t>K</t>
  </si>
  <si>
    <t>L</t>
  </si>
  <si>
    <t>M</t>
  </si>
  <si>
    <t>N</t>
  </si>
  <si>
    <t>O</t>
  </si>
  <si>
    <t>P</t>
  </si>
  <si>
    <t>Q</t>
  </si>
  <si>
    <t>R</t>
  </si>
  <si>
    <t>S</t>
  </si>
  <si>
    <t>T</t>
  </si>
  <si>
    <t>U</t>
  </si>
  <si>
    <t>V</t>
  </si>
  <si>
    <t>W</t>
  </si>
  <si>
    <t>X</t>
  </si>
  <si>
    <t>Y</t>
  </si>
  <si>
    <t>Z</t>
  </si>
  <si>
    <t>「不具合管理表」シート
単票へのリンク設定列</t>
    <rPh sb="1" eb="4">
      <t>フグアイ</t>
    </rPh>
    <rPh sb="4" eb="6">
      <t>カンリ</t>
    </rPh>
    <rPh sb="6" eb="7">
      <t>ヒョウ</t>
    </rPh>
    <rPh sb="12" eb="14">
      <t>タンピョウ</t>
    </rPh>
    <rPh sb="19" eb="21">
      <t>セッテイ</t>
    </rPh>
    <rPh sb="21" eb="22">
      <t>レツ</t>
    </rPh>
    <phoneticPr fontId="4"/>
  </si>
  <si>
    <t>不具合管理　【　マスタ　】</t>
    <rPh sb="0" eb="3">
      <t>フグアイ</t>
    </rPh>
    <rPh sb="3" eb="5">
      <t>カンリ</t>
    </rPh>
    <phoneticPr fontId="4"/>
  </si>
  <si>
    <t>１．管理基準値設定</t>
    <rPh sb="2" eb="4">
      <t>カンリ</t>
    </rPh>
    <rPh sb="4" eb="7">
      <t>キジュンチ</t>
    </rPh>
    <rPh sb="7" eb="9">
      <t>セッテイ</t>
    </rPh>
    <phoneticPr fontId="6"/>
  </si>
  <si>
    <t>開始日</t>
    <rPh sb="0" eb="3">
      <t>カイシビ</t>
    </rPh>
    <phoneticPr fontId="6"/>
  </si>
  <si>
    <t>終了日</t>
    <rPh sb="0" eb="3">
      <t>シュウリョウビ</t>
    </rPh>
    <phoneticPr fontId="6"/>
  </si>
  <si>
    <t>「不具合管理表」シートと単票とのマッピング</t>
    <rPh sb="1" eb="4">
      <t>フグアイ</t>
    </rPh>
    <rPh sb="4" eb="6">
      <t>カンリ</t>
    </rPh>
    <rPh sb="6" eb="7">
      <t>ヒョウ</t>
    </rPh>
    <rPh sb="12" eb="14">
      <t>タンピョウ</t>
    </rPh>
    <phoneticPr fontId="6"/>
  </si>
  <si>
    <t>「不具合管理表」列名</t>
    <rPh sb="1" eb="4">
      <t>フグアイ</t>
    </rPh>
    <rPh sb="4" eb="6">
      <t>カンリ</t>
    </rPh>
    <rPh sb="6" eb="7">
      <t>ヒョウ</t>
    </rPh>
    <rPh sb="8" eb="9">
      <t>レツ</t>
    </rPh>
    <rPh sb="9" eb="10">
      <t>メイ</t>
    </rPh>
    <phoneticPr fontId="4"/>
  </si>
  <si>
    <t>B</t>
    <phoneticPr fontId="6"/>
  </si>
  <si>
    <t>ファイル名</t>
    <rPh sb="4" eb="5">
      <t>メイ</t>
    </rPh>
    <phoneticPr fontId="4"/>
  </si>
  <si>
    <t>更新日時</t>
    <rPh sb="0" eb="2">
      <t>コウシン</t>
    </rPh>
    <rPh sb="2" eb="4">
      <t>ニチジ</t>
    </rPh>
    <phoneticPr fontId="4"/>
  </si>
  <si>
    <t>「不具合管理表」シート
ファイル名列</t>
    <rPh sb="1" eb="4">
      <t>フグアイ</t>
    </rPh>
    <rPh sb="4" eb="6">
      <t>カンリ</t>
    </rPh>
    <rPh sb="6" eb="7">
      <t>ヒョウ</t>
    </rPh>
    <rPh sb="16" eb="17">
      <t>メイ</t>
    </rPh>
    <rPh sb="17" eb="18">
      <t>レツ</t>
    </rPh>
    <phoneticPr fontId="4"/>
  </si>
  <si>
    <t>「不具合管理表」シート
更新日時列</t>
    <rPh sb="1" eb="4">
      <t>フグアイ</t>
    </rPh>
    <rPh sb="4" eb="6">
      <t>カンリ</t>
    </rPh>
    <rPh sb="6" eb="7">
      <t>ヒョウ</t>
    </rPh>
    <rPh sb="12" eb="14">
      <t>コウシン</t>
    </rPh>
    <rPh sb="14" eb="16">
      <t>ニチジ</t>
    </rPh>
    <rPh sb="16" eb="17">
      <t>レツ</t>
    </rPh>
    <phoneticPr fontId="4"/>
  </si>
  <si>
    <t>「不具合管理表」シート
ソートキー列</t>
    <rPh sb="1" eb="4">
      <t>フグアイ</t>
    </rPh>
    <rPh sb="4" eb="6">
      <t>カンリ</t>
    </rPh>
    <rPh sb="6" eb="7">
      <t>ヒョウ</t>
    </rPh>
    <rPh sb="17" eb="18">
      <t>レツ</t>
    </rPh>
    <phoneticPr fontId="4"/>
  </si>
  <si>
    <t>不具合分類</t>
    <rPh sb="0" eb="3">
      <t>フグアイ</t>
    </rPh>
    <rPh sb="3" eb="5">
      <t>ブンルイ</t>
    </rPh>
    <phoneticPr fontId="4"/>
  </si>
  <si>
    <t>不具合内容</t>
    <rPh sb="0" eb="3">
      <t>フグアイ</t>
    </rPh>
    <rPh sb="3" eb="5">
      <t>ナイヨウ</t>
    </rPh>
    <phoneticPr fontId="4"/>
  </si>
  <si>
    <t>調査担当</t>
    <rPh sb="0" eb="2">
      <t>チョウサ</t>
    </rPh>
    <rPh sb="2" eb="4">
      <t>タントウ</t>
    </rPh>
    <phoneticPr fontId="4"/>
  </si>
  <si>
    <t>対応方針</t>
    <rPh sb="0" eb="2">
      <t>タイオウ</t>
    </rPh>
    <rPh sb="2" eb="4">
      <t>ホウシン</t>
    </rPh>
    <phoneticPr fontId="4"/>
  </si>
  <si>
    <t>修正担当</t>
    <rPh sb="0" eb="2">
      <t>シュウセイ</t>
    </rPh>
    <rPh sb="2" eb="4">
      <t>タントウ</t>
    </rPh>
    <phoneticPr fontId="4"/>
  </si>
  <si>
    <t>検証担当</t>
    <rPh sb="0" eb="2">
      <t>ケンショウ</t>
    </rPh>
    <rPh sb="2" eb="4">
      <t>タントウ</t>
    </rPh>
    <phoneticPr fontId="4"/>
  </si>
  <si>
    <t>検証結果</t>
    <rPh sb="0" eb="2">
      <t>ケンショウ</t>
    </rPh>
    <rPh sb="2" eb="4">
      <t>ケッカ</t>
    </rPh>
    <phoneticPr fontId="4"/>
  </si>
  <si>
    <t>K1</t>
    <phoneticPr fontId="6"/>
  </si>
  <si>
    <t>A10</t>
    <phoneticPr fontId="6"/>
  </si>
  <si>
    <t>原因分類</t>
    <rPh sb="0" eb="2">
      <t>ゲンイン</t>
    </rPh>
    <rPh sb="2" eb="4">
      <t>ブンルイ</t>
    </rPh>
    <phoneticPr fontId="4"/>
  </si>
  <si>
    <t>対応期限</t>
    <rPh sb="0" eb="2">
      <t>タイオウ</t>
    </rPh>
    <rPh sb="2" eb="4">
      <t>キゲン</t>
    </rPh>
    <phoneticPr fontId="4"/>
  </si>
  <si>
    <t>調査
完了日</t>
    <rPh sb="0" eb="2">
      <t>チョウサ</t>
    </rPh>
    <rPh sb="3" eb="6">
      <t>カンリョウビ</t>
    </rPh>
    <phoneticPr fontId="4"/>
  </si>
  <si>
    <t>検証
完了日</t>
    <rPh sb="0" eb="2">
      <t>ケンショウ</t>
    </rPh>
    <rPh sb="3" eb="6">
      <t>カンリョウビ</t>
    </rPh>
    <phoneticPr fontId="4"/>
  </si>
  <si>
    <t>修正
完了日</t>
    <rPh sb="0" eb="2">
      <t>シュウセイ</t>
    </rPh>
    <rPh sb="3" eb="6">
      <t>カンリョウビ</t>
    </rPh>
    <phoneticPr fontId="4"/>
  </si>
  <si>
    <t>基準日</t>
    <rPh sb="0" eb="3">
      <t>キジュンビ</t>
    </rPh>
    <phoneticPr fontId="4"/>
  </si>
  <si>
    <t>（発生／完了／未完）</t>
    <phoneticPr fontId="4"/>
  </si>
  <si>
    <t>（発生／完了）</t>
    <phoneticPr fontId="4"/>
  </si>
  <si>
    <t>全体</t>
    <rPh sb="0" eb="2">
      <t>ゼンタイ</t>
    </rPh>
    <phoneticPr fontId="4"/>
  </si>
  <si>
    <t>当月</t>
    <rPh sb="0" eb="2">
      <t>トウゲツ</t>
    </rPh>
    <phoneticPr fontId="4"/>
  </si>
  <si>
    <t>当週</t>
    <rPh sb="0" eb="2">
      <t>トウシュウ</t>
    </rPh>
    <phoneticPr fontId="4"/>
  </si>
  <si>
    <t>/</t>
  </si>
  <si>
    <t>/</t>
    <phoneticPr fontId="7"/>
  </si>
  <si>
    <t>当週発生</t>
    <rPh sb="0" eb="1">
      <t>トウ</t>
    </rPh>
    <rPh sb="1" eb="2">
      <t>シュウ</t>
    </rPh>
    <rPh sb="2" eb="4">
      <t>ハッセイ</t>
    </rPh>
    <phoneticPr fontId="4"/>
  </si>
  <si>
    <t>発生累計</t>
    <rPh sb="0" eb="2">
      <t>ハッセイ</t>
    </rPh>
    <rPh sb="2" eb="4">
      <t>ルイケイ</t>
    </rPh>
    <phoneticPr fontId="4"/>
  </si>
  <si>
    <t>当週完了</t>
    <rPh sb="0" eb="1">
      <t>トウ</t>
    </rPh>
    <rPh sb="1" eb="2">
      <t>シュウ</t>
    </rPh>
    <rPh sb="2" eb="4">
      <t>カンリョウ</t>
    </rPh>
    <phoneticPr fontId="4"/>
  </si>
  <si>
    <t>完了累計</t>
    <rPh sb="0" eb="2">
      <t>カンリョウ</t>
    </rPh>
    <rPh sb="2" eb="4">
      <t>ルイケイ</t>
    </rPh>
    <phoneticPr fontId="4"/>
  </si>
  <si>
    <t>残件数</t>
    <rPh sb="0" eb="1">
      <t>ザン</t>
    </rPh>
    <rPh sb="1" eb="3">
      <t>ケンスウ</t>
    </rPh>
    <phoneticPr fontId="4"/>
  </si>
  <si>
    <t>■不具合件数の推移</t>
    <rPh sb="1" eb="4">
      <t>フグアイ</t>
    </rPh>
    <rPh sb="4" eb="6">
      <t>ケンスウ</t>
    </rPh>
    <rPh sb="7" eb="9">
      <t>スイイ</t>
    </rPh>
    <phoneticPr fontId="4"/>
  </si>
  <si>
    <t>プロジェクト</t>
    <phoneticPr fontId="4"/>
  </si>
  <si>
    <t>フェーズ</t>
    <phoneticPr fontId="4"/>
  </si>
  <si>
    <t>不具合
No.</t>
    <rPh sb="0" eb="3">
      <t>フグアイ</t>
    </rPh>
    <phoneticPr fontId="4"/>
  </si>
  <si>
    <t>調査担当
予定者</t>
    <rPh sb="0" eb="2">
      <t>チョウサ</t>
    </rPh>
    <rPh sb="2" eb="4">
      <t>タントウ</t>
    </rPh>
    <rPh sb="5" eb="7">
      <t>ヨテイ</t>
    </rPh>
    <rPh sb="7" eb="8">
      <t>シャ</t>
    </rPh>
    <phoneticPr fontId="4"/>
  </si>
  <si>
    <t>調査完了
予定日</t>
    <rPh sb="0" eb="2">
      <t>チョウサ</t>
    </rPh>
    <rPh sb="2" eb="4">
      <t>カンリョウ</t>
    </rPh>
    <rPh sb="5" eb="8">
      <t>ヨテイビ</t>
    </rPh>
    <phoneticPr fontId="4"/>
  </si>
  <si>
    <t>修正担当
予定者</t>
    <rPh sb="0" eb="2">
      <t>シュウセイ</t>
    </rPh>
    <rPh sb="2" eb="4">
      <t>タントウ</t>
    </rPh>
    <rPh sb="5" eb="8">
      <t>ヨテイシャ</t>
    </rPh>
    <phoneticPr fontId="4"/>
  </si>
  <si>
    <t>修正完了
予定日</t>
    <rPh sb="0" eb="2">
      <t>シュウセイ</t>
    </rPh>
    <rPh sb="2" eb="4">
      <t>カンリョウ</t>
    </rPh>
    <rPh sb="5" eb="8">
      <t>ヨテイビ</t>
    </rPh>
    <phoneticPr fontId="4"/>
  </si>
  <si>
    <t>検証担当
予定者</t>
    <rPh sb="0" eb="2">
      <t>ケンショウ</t>
    </rPh>
    <rPh sb="2" eb="4">
      <t>タントウ</t>
    </rPh>
    <rPh sb="5" eb="8">
      <t>ヨテイシャ</t>
    </rPh>
    <phoneticPr fontId="4"/>
  </si>
  <si>
    <t>検証完了
予定日</t>
    <rPh sb="0" eb="2">
      <t>ケンショウ</t>
    </rPh>
    <rPh sb="2" eb="4">
      <t>カンリョウ</t>
    </rPh>
    <rPh sb="5" eb="8">
      <t>ヨテイビ</t>
    </rPh>
    <phoneticPr fontId="4"/>
  </si>
  <si>
    <t>不具合記録票</t>
    <rPh sb="0" eb="3">
      <t>フグアイ</t>
    </rPh>
    <rPh sb="3" eb="5">
      <t>キロク</t>
    </rPh>
    <rPh sb="5" eb="6">
      <t>ヒョウ</t>
    </rPh>
    <phoneticPr fontId="4"/>
  </si>
  <si>
    <t>ｽﾃｰﾀｽ</t>
    <phoneticPr fontId="4"/>
  </si>
  <si>
    <t>不具合管理表</t>
    <rPh sb="0" eb="3">
      <t>フグアイ</t>
    </rPh>
    <rPh sb="3" eb="5">
      <t>カンリ</t>
    </rPh>
    <rPh sb="5" eb="6">
      <t>ヒョウ</t>
    </rPh>
    <phoneticPr fontId="7"/>
  </si>
  <si>
    <t>プロジェクト</t>
    <phoneticPr fontId="7"/>
  </si>
  <si>
    <t>フェーズ</t>
    <phoneticPr fontId="7"/>
  </si>
  <si>
    <t>シナリオNo.</t>
    <phoneticPr fontId="8"/>
  </si>
  <si>
    <t>シナリオ名</t>
    <rPh sb="4" eb="5">
      <t>メイ</t>
    </rPh>
    <phoneticPr fontId="8"/>
  </si>
  <si>
    <t>テスト項目数</t>
    <rPh sb="3" eb="6">
      <t>コウモクスウ</t>
    </rPh>
    <phoneticPr fontId="8"/>
  </si>
  <si>
    <t>実績</t>
    <rPh sb="0" eb="2">
      <t>ジッセキ</t>
    </rPh>
    <phoneticPr fontId="8"/>
  </si>
  <si>
    <t>予定</t>
    <rPh sb="0" eb="2">
      <t>ヨテイ</t>
    </rPh>
    <phoneticPr fontId="8"/>
  </si>
  <si>
    <t>累計</t>
    <rPh sb="0" eb="2">
      <t>ルイケイ</t>
    </rPh>
    <phoneticPr fontId="8"/>
  </si>
  <si>
    <t>予実達成率</t>
    <rPh sb="0" eb="2">
      <t>ヨジツ</t>
    </rPh>
    <rPh sb="2" eb="5">
      <t>タッセイリツ</t>
    </rPh>
    <phoneticPr fontId="8"/>
  </si>
  <si>
    <t>テスト予実管理表</t>
    <rPh sb="3" eb="5">
      <t>ヨジツ</t>
    </rPh>
    <rPh sb="5" eb="7">
      <t>カンリ</t>
    </rPh>
    <rPh sb="7" eb="8">
      <t>ヒョウ</t>
    </rPh>
    <phoneticPr fontId="8"/>
  </si>
  <si>
    <t>プロジェクト</t>
    <phoneticPr fontId="8"/>
  </si>
  <si>
    <t>フェーズ</t>
    <phoneticPr fontId="8"/>
  </si>
  <si>
    <t>基準週</t>
    <rPh sb="0" eb="2">
      <t>キジュン</t>
    </rPh>
    <rPh sb="2" eb="3">
      <t>シュウ</t>
    </rPh>
    <phoneticPr fontId="8"/>
  </si>
  <si>
    <t>週</t>
    <rPh sb="0" eb="1">
      <t>シュウ</t>
    </rPh>
    <phoneticPr fontId="4"/>
  </si>
  <si>
    <t>テスト項目残数</t>
    <rPh sb="2" eb="4">
      <t>コウモク</t>
    </rPh>
    <rPh sb="4" eb="5">
      <t>ザン</t>
    </rPh>
    <rPh sb="5" eb="6">
      <t>スウ</t>
    </rPh>
    <phoneticPr fontId="8"/>
  </si>
  <si>
    <t>■コメント欄</t>
    <rPh sb="5" eb="6">
      <t>ラン</t>
    </rPh>
    <phoneticPr fontId="4"/>
  </si>
  <si>
    <t>■分類別件数</t>
    <rPh sb="1" eb="3">
      <t>ブンルイ</t>
    </rPh>
    <rPh sb="3" eb="4">
      <t>ベツ</t>
    </rPh>
    <rPh sb="4" eb="6">
      <t>ケンスウ</t>
    </rPh>
    <phoneticPr fontId="4"/>
  </si>
  <si>
    <t>テスト項目
消化率</t>
    <rPh sb="3" eb="5">
      <t>コウモク</t>
    </rPh>
    <rPh sb="6" eb="8">
      <t>ショウカ</t>
    </rPh>
    <rPh sb="8" eb="9">
      <t>リツ</t>
    </rPh>
    <phoneticPr fontId="8"/>
  </si>
  <si>
    <t>計</t>
    <rPh sb="0" eb="1">
      <t>ケイ</t>
    </rPh>
    <phoneticPr fontId="8"/>
  </si>
  <si>
    <t>原因工程</t>
    <rPh sb="0" eb="2">
      <t>ゲンイン</t>
    </rPh>
    <rPh sb="2" eb="4">
      <t>コウテイ</t>
    </rPh>
    <phoneticPr fontId="4"/>
  </si>
  <si>
    <t>E6</t>
    <phoneticPr fontId="6"/>
  </si>
  <si>
    <t>E7</t>
    <phoneticPr fontId="6"/>
  </si>
  <si>
    <t>I7</t>
    <phoneticPr fontId="6"/>
  </si>
  <si>
    <t>完了日</t>
    <rPh sb="0" eb="3">
      <t>カンリョウビ</t>
    </rPh>
    <phoneticPr fontId="4"/>
  </si>
  <si>
    <t>I6</t>
    <phoneticPr fontId="6"/>
  </si>
  <si>
    <t>中</t>
    <rPh sb="0" eb="1">
      <t>チュウ</t>
    </rPh>
    <phoneticPr fontId="4"/>
  </si>
  <si>
    <t>高</t>
    <rPh sb="0" eb="1">
      <t>コウ</t>
    </rPh>
    <phoneticPr fontId="4"/>
  </si>
  <si>
    <t>低</t>
    <rPh sb="0" eb="1">
      <t>テイ</t>
    </rPh>
    <phoneticPr fontId="4"/>
  </si>
  <si>
    <t>修正</t>
    <rPh sb="0" eb="2">
      <t>シュウセイ</t>
    </rPh>
    <phoneticPr fontId="4"/>
  </si>
  <si>
    <t>ID</t>
    <phoneticPr fontId="4"/>
  </si>
  <si>
    <t xml:space="preserve"> </t>
  </si>
  <si>
    <t xml:space="preserve"> </t>
    <phoneticPr fontId="4"/>
  </si>
  <si>
    <t>修正不要</t>
    <rPh sb="0" eb="2">
      <t>シュウセイ</t>
    </rPh>
    <rPh sb="2" eb="4">
      <t>フヨウ</t>
    </rPh>
    <phoneticPr fontId="6"/>
  </si>
  <si>
    <t>仕様変更</t>
    <rPh sb="0" eb="2">
      <t>シヨウ</t>
    </rPh>
    <rPh sb="2" eb="4">
      <t>ヘンコウ</t>
    </rPh>
    <phoneticPr fontId="6"/>
  </si>
  <si>
    <t xml:space="preserve"> </t>
    <phoneticPr fontId="6"/>
  </si>
  <si>
    <t>３．単票取込設定（※通常設定不要。「不具合管理表」シートや「不具合記録票」のレイアウトを変更する場合に設定変更します。）</t>
    <rPh sb="2" eb="4">
      <t>タンピョウ</t>
    </rPh>
    <rPh sb="4" eb="6">
      <t>トリコミ</t>
    </rPh>
    <rPh sb="6" eb="8">
      <t>セッテイ</t>
    </rPh>
    <rPh sb="10" eb="12">
      <t>ツウジョウ</t>
    </rPh>
    <rPh sb="12" eb="14">
      <t>セッテイ</t>
    </rPh>
    <rPh sb="14" eb="16">
      <t>フヨウ</t>
    </rPh>
    <rPh sb="18" eb="21">
      <t>フグアイ</t>
    </rPh>
    <rPh sb="21" eb="23">
      <t>カンリ</t>
    </rPh>
    <rPh sb="23" eb="24">
      <t>ヒョウ</t>
    </rPh>
    <rPh sb="30" eb="33">
      <t>フグアイ</t>
    </rPh>
    <rPh sb="33" eb="35">
      <t>キロク</t>
    </rPh>
    <rPh sb="35" eb="36">
      <t>ヒョウ</t>
    </rPh>
    <rPh sb="44" eb="46">
      <t>ヘンコウ</t>
    </rPh>
    <rPh sb="48" eb="50">
      <t>バアイ</t>
    </rPh>
    <rPh sb="51" eb="53">
      <t>セッテイ</t>
    </rPh>
    <rPh sb="53" eb="55">
      <t>ヘンコウ</t>
    </rPh>
    <phoneticPr fontId="6"/>
  </si>
  <si>
    <t>２．テスト指標値設定</t>
    <rPh sb="5" eb="7">
      <t>シヒョウ</t>
    </rPh>
    <rPh sb="7" eb="8">
      <t>チ</t>
    </rPh>
    <rPh sb="8" eb="10">
      <t>セッテイ</t>
    </rPh>
    <phoneticPr fontId="6"/>
  </si>
  <si>
    <t>開発規模（KL）</t>
    <rPh sb="0" eb="2">
      <t>カイハツ</t>
    </rPh>
    <rPh sb="2" eb="4">
      <t>キボ</t>
    </rPh>
    <phoneticPr fontId="6"/>
  </si>
  <si>
    <t>テスト密度（項目/KL）</t>
    <rPh sb="3" eb="5">
      <t>ミツド</t>
    </rPh>
    <rPh sb="6" eb="8">
      <t>コウモク</t>
    </rPh>
    <phoneticPr fontId="6"/>
  </si>
  <si>
    <t>上限</t>
    <rPh sb="0" eb="2">
      <t>ジョウゲン</t>
    </rPh>
    <phoneticPr fontId="6"/>
  </si>
  <si>
    <t>下限</t>
    <rPh sb="0" eb="2">
      <t>カゲン</t>
    </rPh>
    <phoneticPr fontId="6"/>
  </si>
  <si>
    <t>■テスト指標値</t>
    <rPh sb="4" eb="6">
      <t>シヒョウ</t>
    </rPh>
    <rPh sb="6" eb="7">
      <t>チ</t>
    </rPh>
    <phoneticPr fontId="4"/>
  </si>
  <si>
    <t>目標</t>
    <rPh sb="0" eb="2">
      <t>モクヒョウ</t>
    </rPh>
    <phoneticPr fontId="7"/>
  </si>
  <si>
    <t>実績</t>
    <rPh sb="0" eb="2">
      <t>ジッセキ</t>
    </rPh>
    <phoneticPr fontId="7"/>
  </si>
  <si>
    <t>期限超過</t>
    <rPh sb="0" eb="2">
      <t>キゲン</t>
    </rPh>
    <rPh sb="2" eb="4">
      <t>チョウカ</t>
    </rPh>
    <phoneticPr fontId="4"/>
  </si>
  <si>
    <t>不具合密度（件/KL）</t>
    <rPh sb="0" eb="3">
      <t>フグアイ</t>
    </rPh>
    <rPh sb="3" eb="5">
      <t>ミツド</t>
    </rPh>
    <rPh sb="6" eb="7">
      <t>ケン</t>
    </rPh>
    <phoneticPr fontId="6"/>
  </si>
  <si>
    <t>不具合管理　【　分析レポート　】</t>
    <rPh sb="0" eb="3">
      <t>フグアイ</t>
    </rPh>
    <rPh sb="3" eb="5">
      <t>カンリ</t>
    </rPh>
    <rPh sb="8" eb="10">
      <t>ブンセキ</t>
    </rPh>
    <phoneticPr fontId="4"/>
  </si>
  <si>
    <t>管理週</t>
    <rPh sb="0" eb="2">
      <t>カンリ</t>
    </rPh>
    <rPh sb="2" eb="3">
      <t>シュウ</t>
    </rPh>
    <phoneticPr fontId="4"/>
  </si>
  <si>
    <t>開始曜日</t>
    <rPh sb="0" eb="2">
      <t>カイシ</t>
    </rPh>
    <rPh sb="2" eb="4">
      <t>ヨウビ</t>
    </rPh>
    <phoneticPr fontId="4"/>
  </si>
  <si>
    <t>終了曜日</t>
    <rPh sb="0" eb="2">
      <t>シュウリョウ</t>
    </rPh>
    <rPh sb="2" eb="4">
      <t>ヨウビ</t>
    </rPh>
    <phoneticPr fontId="4"/>
  </si>
  <si>
    <t>週次テスト項目消化数</t>
    <rPh sb="0" eb="1">
      <t>シュウ</t>
    </rPh>
    <rPh sb="1" eb="2">
      <t>ツギ</t>
    </rPh>
    <rPh sb="5" eb="7">
      <t>コウモク</t>
    </rPh>
    <rPh sb="7" eb="9">
      <t>ショウカ</t>
    </rPh>
    <rPh sb="9" eb="10">
      <t>スウ</t>
    </rPh>
    <phoneticPr fontId="8"/>
  </si>
  <si>
    <t>※左記はシステムテストの標準値。結合テストの標準値は下限20、上限35。</t>
    <rPh sb="1" eb="3">
      <t>サキ</t>
    </rPh>
    <rPh sb="12" eb="14">
      <t>ヒョウジュン</t>
    </rPh>
    <rPh sb="14" eb="15">
      <t>チ</t>
    </rPh>
    <rPh sb="16" eb="18">
      <t>ケツゴウ</t>
    </rPh>
    <rPh sb="22" eb="24">
      <t>ヒョウジュン</t>
    </rPh>
    <rPh sb="24" eb="25">
      <t>チ</t>
    </rPh>
    <rPh sb="26" eb="28">
      <t>カゲン</t>
    </rPh>
    <rPh sb="31" eb="33">
      <t>ジョウゲン</t>
    </rPh>
    <phoneticPr fontId="6"/>
  </si>
  <si>
    <t>※コメント行は除く</t>
    <rPh sb="5" eb="6">
      <t>ギョウ</t>
    </rPh>
    <rPh sb="7" eb="8">
      <t>ノゾ</t>
    </rPh>
    <phoneticPr fontId="6"/>
  </si>
  <si>
    <t>*</t>
    <phoneticPr fontId="8"/>
  </si>
  <si>
    <t>※行を追加する場合は、*行をコピーして挿入すること</t>
    <phoneticPr fontId="8"/>
  </si>
  <si>
    <t>①良好</t>
    <rPh sb="1" eb="3">
      <t>リョウコウ</t>
    </rPh>
    <phoneticPr fontId="4"/>
  </si>
  <si>
    <t>完了</t>
  </si>
  <si>
    <t>■テスト消化率</t>
    <rPh sb="4" eb="6">
      <t>ショウカ</t>
    </rPh>
    <rPh sb="6" eb="7">
      <t>リツ</t>
    </rPh>
    <phoneticPr fontId="7"/>
  </si>
  <si>
    <t>テスト消化率</t>
    <rPh sb="3" eb="5">
      <t>ショウカ</t>
    </rPh>
    <rPh sb="5" eb="6">
      <t>リツ</t>
    </rPh>
    <phoneticPr fontId="4"/>
  </si>
  <si>
    <t>テスト項目数</t>
    <rPh sb="3" eb="6">
      <t>コウモクスウ</t>
    </rPh>
    <phoneticPr fontId="9"/>
  </si>
  <si>
    <t>テスト項目数</t>
    <rPh sb="3" eb="6">
      <t>コウモクスウ</t>
    </rPh>
    <phoneticPr fontId="4"/>
  </si>
  <si>
    <t>内テスト項目消化数</t>
    <rPh sb="0" eb="1">
      <t>ウチ</t>
    </rPh>
    <rPh sb="4" eb="6">
      <t>コウモク</t>
    </rPh>
    <rPh sb="6" eb="8">
      <t>ショウカ</t>
    </rPh>
    <rPh sb="8" eb="9">
      <t>スウ</t>
    </rPh>
    <phoneticPr fontId="4"/>
  </si>
  <si>
    <t>不具合数</t>
    <rPh sb="3" eb="4">
      <t>スウ</t>
    </rPh>
    <phoneticPr fontId="9"/>
  </si>
  <si>
    <t>テスト密度
（項目/KL）</t>
    <rPh sb="3" eb="5">
      <t>ミツド</t>
    </rPh>
    <rPh sb="7" eb="9">
      <t>コウモク</t>
    </rPh>
    <phoneticPr fontId="9"/>
  </si>
  <si>
    <t>不具合密度（件/KL）</t>
    <rPh sb="3" eb="5">
      <t>ミツド</t>
    </rPh>
    <rPh sb="6" eb="7">
      <t>ケン</t>
    </rPh>
    <phoneticPr fontId="9"/>
  </si>
  <si>
    <t>規模（KL）</t>
    <rPh sb="0" eb="2">
      <t>キボ</t>
    </rPh>
    <phoneticPr fontId="7"/>
  </si>
  <si>
    <t>改訂履歴</t>
    <rPh sb="0" eb="2">
      <t>カイテイ</t>
    </rPh>
    <rPh sb="2" eb="4">
      <t>リレキ</t>
    </rPh>
    <phoneticPr fontId="4"/>
  </si>
  <si>
    <t>■ 更新履歴一覧</t>
    <rPh sb="2" eb="4">
      <t>コウシン</t>
    </rPh>
    <rPh sb="4" eb="6">
      <t>リレキ</t>
    </rPh>
    <rPh sb="6" eb="8">
      <t>イチラン</t>
    </rPh>
    <phoneticPr fontId="4"/>
  </si>
  <si>
    <t>NO</t>
    <phoneticPr fontId="4"/>
  </si>
  <si>
    <t>対象シート</t>
    <rPh sb="0" eb="2">
      <t>タイショウ</t>
    </rPh>
    <phoneticPr fontId="4"/>
  </si>
  <si>
    <t>更新内容</t>
    <rPh sb="0" eb="2">
      <t>コウシン</t>
    </rPh>
    <rPh sb="2" eb="4">
      <t>ナイヨウ</t>
    </rPh>
    <phoneticPr fontId="4"/>
  </si>
  <si>
    <t>Version</t>
    <phoneticPr fontId="4"/>
  </si>
  <si>
    <t>更新者</t>
    <rPh sb="0" eb="2">
      <t>コウシン</t>
    </rPh>
    <rPh sb="2" eb="3">
      <t>シャ</t>
    </rPh>
    <phoneticPr fontId="4"/>
  </si>
  <si>
    <t>更新日</t>
    <rPh sb="0" eb="2">
      <t>コウシン</t>
    </rPh>
    <rPh sb="2" eb="3">
      <t>ヒ</t>
    </rPh>
    <phoneticPr fontId="4"/>
  </si>
  <si>
    <t>全シート</t>
    <rPh sb="0" eb="1">
      <t>ゼン</t>
    </rPh>
    <phoneticPr fontId="4"/>
  </si>
  <si>
    <t>新規作成</t>
    <rPh sb="0" eb="2">
      <t>シンキ</t>
    </rPh>
    <rPh sb="2" eb="4">
      <t>サクセイ</t>
    </rPh>
    <phoneticPr fontId="4"/>
  </si>
  <si>
    <t>シスコム_尾辻(美)</t>
    <rPh sb="5" eb="7">
      <t>オツジ</t>
    </rPh>
    <rPh sb="8" eb="9">
      <t>ビ</t>
    </rPh>
    <phoneticPr fontId="4"/>
  </si>
  <si>
    <t>*</t>
    <phoneticPr fontId="4"/>
  </si>
  <si>
    <t>※行を追加する場合は、*行をコピーして挿入すること</t>
    <phoneticPr fontId="4"/>
  </si>
  <si>
    <t>分析レポート</t>
    <phoneticPr fontId="28"/>
  </si>
  <si>
    <t>テスト指標値の表のレイアウト変更。規模を外出し。</t>
    <rPh sb="3" eb="5">
      <t>シヒョウ</t>
    </rPh>
    <rPh sb="5" eb="6">
      <t>チ</t>
    </rPh>
    <rPh sb="7" eb="8">
      <t>ヒョウ</t>
    </rPh>
    <rPh sb="14" eb="16">
      <t>ヘンコウ</t>
    </rPh>
    <rPh sb="17" eb="19">
      <t>キボ</t>
    </rPh>
    <rPh sb="20" eb="21">
      <t>ソト</t>
    </rPh>
    <rPh sb="21" eb="22">
      <t>ダ</t>
    </rPh>
    <phoneticPr fontId="28"/>
  </si>
  <si>
    <t>シスコム_荒井</t>
    <rPh sb="5" eb="7">
      <t>アライ</t>
    </rPh>
    <phoneticPr fontId="4"/>
  </si>
  <si>
    <t>■分析レポート用集計データ</t>
    <rPh sb="1" eb="3">
      <t>ブンセキ</t>
    </rPh>
    <rPh sb="7" eb="8">
      <t>ヨウ</t>
    </rPh>
    <rPh sb="8" eb="10">
      <t>シュウケイ</t>
    </rPh>
    <phoneticPr fontId="4"/>
  </si>
  <si>
    <t>テスト残項目（実績）</t>
    <rPh sb="3" eb="4">
      <t>ザン</t>
    </rPh>
    <rPh sb="4" eb="6">
      <t>コウモク</t>
    </rPh>
    <rPh sb="7" eb="9">
      <t>ジッセキ</t>
    </rPh>
    <phoneticPr fontId="7"/>
  </si>
  <si>
    <t>■テスト残項目数実績の推移</t>
    <rPh sb="4" eb="5">
      <t>ザン</t>
    </rPh>
    <rPh sb="5" eb="8">
      <t>コウモクスウ</t>
    </rPh>
    <rPh sb="8" eb="10">
      <t>ジッセキ</t>
    </rPh>
    <rPh sb="11" eb="13">
      <t>スイイ</t>
    </rPh>
    <phoneticPr fontId="7"/>
  </si>
  <si>
    <t>不具合原因工程、不具合原因の円グラフを追加</t>
    <rPh sb="14" eb="15">
      <t>エン</t>
    </rPh>
    <rPh sb="19" eb="21">
      <t>ツイカ</t>
    </rPh>
    <phoneticPr fontId="28"/>
  </si>
  <si>
    <t>不具合管理表</t>
    <rPh sb="0" eb="3">
      <t>フグアイ</t>
    </rPh>
    <rPh sb="3" eb="5">
      <t>カンリ</t>
    </rPh>
    <rPh sb="5" eb="6">
      <t>ヒョウ</t>
    </rPh>
    <phoneticPr fontId="28"/>
  </si>
  <si>
    <t>大量の単票取込ができるよう改修。（4000件を40分程度で取り込めることまで確認）</t>
    <rPh sb="0" eb="2">
      <t>タイリョウ</t>
    </rPh>
    <rPh sb="1" eb="2">
      <t>サイダイ</t>
    </rPh>
    <rPh sb="3" eb="5">
      <t>タンピョウ</t>
    </rPh>
    <rPh sb="5" eb="7">
      <t>トリコミ</t>
    </rPh>
    <rPh sb="13" eb="15">
      <t>カイシュウ</t>
    </rPh>
    <rPh sb="21" eb="22">
      <t>ケン</t>
    </rPh>
    <rPh sb="25" eb="26">
      <t>フン</t>
    </rPh>
    <rPh sb="26" eb="28">
      <t>テイド</t>
    </rPh>
    <rPh sb="29" eb="30">
      <t>ト</t>
    </rPh>
    <rPh sb="31" eb="32">
      <t>コ</t>
    </rPh>
    <rPh sb="38" eb="40">
      <t>カクニン</t>
    </rPh>
    <phoneticPr fontId="28"/>
  </si>
  <si>
    <t>分析レポート</t>
  </si>
  <si>
    <t>分析レポート</t>
    <phoneticPr fontId="28"/>
  </si>
  <si>
    <t>不具合残項目の実績、テストの実績数が折れ線グラフ上未来分も表示されていたが、表示されないよう修正。</t>
    <rPh sb="0" eb="3">
      <t>フグアイ</t>
    </rPh>
    <rPh sb="3" eb="4">
      <t>ザン</t>
    </rPh>
    <rPh sb="4" eb="6">
      <t>コウモク</t>
    </rPh>
    <rPh sb="7" eb="9">
      <t>ジッセキ</t>
    </rPh>
    <rPh sb="14" eb="16">
      <t>ジッセキ</t>
    </rPh>
    <rPh sb="16" eb="17">
      <t>スウ</t>
    </rPh>
    <rPh sb="18" eb="19">
      <t>オ</t>
    </rPh>
    <rPh sb="20" eb="21">
      <t>セン</t>
    </rPh>
    <rPh sb="24" eb="25">
      <t>ジョウ</t>
    </rPh>
    <rPh sb="25" eb="27">
      <t>ミライ</t>
    </rPh>
    <rPh sb="27" eb="28">
      <t>ブン</t>
    </rPh>
    <rPh sb="29" eb="31">
      <t>ヒョウジ</t>
    </rPh>
    <rPh sb="38" eb="40">
      <t>ヒョウジ</t>
    </rPh>
    <rPh sb="46" eb="48">
      <t>シュウセイ</t>
    </rPh>
    <phoneticPr fontId="28"/>
  </si>
  <si>
    <t>分類別件数が基準日までの件数で集計されるように修正。</t>
    <rPh sb="0" eb="2">
      <t>ブンルイ</t>
    </rPh>
    <rPh sb="2" eb="3">
      <t>ベツ</t>
    </rPh>
    <rPh sb="3" eb="5">
      <t>ケンスウ</t>
    </rPh>
    <rPh sb="6" eb="9">
      <t>キジュンビ</t>
    </rPh>
    <rPh sb="12" eb="14">
      <t>ケンスウ</t>
    </rPh>
    <rPh sb="15" eb="17">
      <t>シュウケイ</t>
    </rPh>
    <rPh sb="23" eb="25">
      <t>シュウセイ</t>
    </rPh>
    <phoneticPr fontId="28"/>
  </si>
  <si>
    <t>基準日</t>
    <rPh sb="0" eb="3">
      <t>キジュンビ</t>
    </rPh>
    <phoneticPr fontId="7"/>
  </si>
  <si>
    <t>ゾーン分析の誤り修正、及び更新タイミングを単票取込時から、分析レポートシート選択時に変更</t>
    <rPh sb="3" eb="5">
      <t>ブンセキ</t>
    </rPh>
    <rPh sb="6" eb="7">
      <t>アヤマ</t>
    </rPh>
    <rPh sb="8" eb="10">
      <t>シュウセイ</t>
    </rPh>
    <rPh sb="11" eb="12">
      <t>オヨ</t>
    </rPh>
    <rPh sb="13" eb="15">
      <t>コウシン</t>
    </rPh>
    <rPh sb="21" eb="23">
      <t>タンピョウ</t>
    </rPh>
    <rPh sb="23" eb="25">
      <t>トリコミ</t>
    </rPh>
    <rPh sb="25" eb="26">
      <t>ジ</t>
    </rPh>
    <rPh sb="29" eb="31">
      <t>ブンセキ</t>
    </rPh>
    <rPh sb="38" eb="40">
      <t>センタク</t>
    </rPh>
    <rPh sb="40" eb="41">
      <t>ジ</t>
    </rPh>
    <rPh sb="42" eb="44">
      <t>ヘンコウ</t>
    </rPh>
    <phoneticPr fontId="28"/>
  </si>
  <si>
    <t>当月集計式の条件式を"当年かつ当月"の集計がされるよう修正</t>
    <phoneticPr fontId="28"/>
  </si>
  <si>
    <t>全シート</t>
    <rPh sb="0" eb="1">
      <t>ゼン</t>
    </rPh>
    <phoneticPr fontId="28"/>
  </si>
  <si>
    <t>シート順を変更（マスタを後半へ）。ヘッダの背景色を変更</t>
    <phoneticPr fontId="28"/>
  </si>
  <si>
    <t>■残テスト項目数と不具合件数の推移</t>
    <rPh sb="1" eb="2">
      <t>ザン</t>
    </rPh>
    <rPh sb="5" eb="8">
      <t>コウモクスウ</t>
    </rPh>
    <rPh sb="9" eb="12">
      <t>フグアイ</t>
    </rPh>
    <rPh sb="12" eb="14">
      <t>ケンスウ</t>
    </rPh>
    <rPh sb="15" eb="17">
      <t>スイイ</t>
    </rPh>
    <phoneticPr fontId="4"/>
  </si>
  <si>
    <t>シスコム_山本</t>
    <rPh sb="5" eb="7">
      <t>ヤマモト</t>
    </rPh>
    <phoneticPr fontId="28"/>
  </si>
  <si>
    <t>グラフのデータラベル書式を変更（他ツールと統一）</t>
    <phoneticPr fontId="28"/>
  </si>
  <si>
    <r>
      <t>期間設定</t>
    </r>
    <r>
      <rPr>
        <b/>
        <sz val="9"/>
        <color indexed="10"/>
        <rFont val="ＭＳ Ｐゴシック"/>
        <family val="3"/>
        <charset val="128"/>
      </rPr>
      <t>※1</t>
    </r>
    <rPh sb="0" eb="2">
      <t>キカン</t>
    </rPh>
    <rPh sb="2" eb="4">
      <t>セッテイ</t>
    </rPh>
    <phoneticPr fontId="6"/>
  </si>
  <si>
    <t>※1　開始日から最大50週まで設定可能</t>
    <rPh sb="3" eb="6">
      <t>カイシビ</t>
    </rPh>
    <rPh sb="8" eb="10">
      <t>サイダイ</t>
    </rPh>
    <rPh sb="12" eb="13">
      <t>シュウ</t>
    </rPh>
    <rPh sb="15" eb="17">
      <t>セッテイ</t>
    </rPh>
    <rPh sb="17" eb="19">
      <t>カノウ</t>
    </rPh>
    <phoneticPr fontId="6"/>
  </si>
  <si>
    <t>マスタ</t>
    <phoneticPr fontId="28"/>
  </si>
  <si>
    <t>制約事項を記載（※1）</t>
    <rPh sb="0" eb="2">
      <t>セイヤク</t>
    </rPh>
    <rPh sb="2" eb="4">
      <t>ジコウ</t>
    </rPh>
    <rPh sb="5" eb="7">
      <t>キサイ</t>
    </rPh>
    <phoneticPr fontId="28"/>
  </si>
  <si>
    <t>ゴンペルツ曲線</t>
    <rPh sb="5" eb="7">
      <t>キョクセン</t>
    </rPh>
    <phoneticPr fontId="4"/>
  </si>
  <si>
    <t>▼ゴンペルツ</t>
    <phoneticPr fontId="4"/>
  </si>
  <si>
    <t>y=K*b^EXP(-1*c*x)</t>
  </si>
  <si>
    <t>logy=logK+logb^EXP(-1*c*x)</t>
    <phoneticPr fontId="4"/>
  </si>
  <si>
    <t>logy=logK+EXP(-1*c*x)logb</t>
    <phoneticPr fontId="4"/>
  </si>
  <si>
    <t>Y=B+XA</t>
    <phoneticPr fontId="4"/>
  </si>
  <si>
    <t>Y=AX+B ←　1次方程式</t>
    <rPh sb="10" eb="11">
      <t>ジ</t>
    </rPh>
    <rPh sb="11" eb="14">
      <t>ホウテイシキ</t>
    </rPh>
    <phoneticPr fontId="4"/>
  </si>
  <si>
    <t>Y(ln(y))</t>
    <phoneticPr fontId="4"/>
  </si>
  <si>
    <t>X(e^-cx)</t>
    <phoneticPr fontId="4"/>
  </si>
  <si>
    <t>A(傾き=SLOPE）</t>
    <phoneticPr fontId="4"/>
  </si>
  <si>
    <t>B(切片=INTERCEPT）</t>
    <rPh sb="2" eb="4">
      <t>セッペン</t>
    </rPh>
    <phoneticPr fontId="4"/>
  </si>
  <si>
    <t>b(e^A)</t>
  </si>
  <si>
    <t>K(e^B)</t>
    <phoneticPr fontId="4"/>
  </si>
  <si>
    <t>残差平方</t>
    <rPh sb="0" eb="1">
      <t>ザン</t>
    </rPh>
    <rPh sb="1" eb="2">
      <t>サ</t>
    </rPh>
    <rPh sb="2" eb="4">
      <t>ヘイホウ</t>
    </rPh>
    <phoneticPr fontId="4"/>
  </si>
  <si>
    <t>c　（初期値を0.5）</t>
    <rPh sb="3" eb="5">
      <t>ショキ</t>
    </rPh>
    <phoneticPr fontId="4"/>
  </si>
  <si>
    <t>分析レポート</t>
    <rPh sb="0" eb="2">
      <t>ブンセキ</t>
    </rPh>
    <phoneticPr fontId="28"/>
  </si>
  <si>
    <t>シスコム_荒井</t>
    <rPh sb="5" eb="7">
      <t>アライ</t>
    </rPh>
    <phoneticPr fontId="28"/>
  </si>
  <si>
    <t>「データ範囲の形式および数式を拡張する」を解除</t>
    <rPh sb="21" eb="23">
      <t>カイジョ</t>
    </rPh>
    <phoneticPr fontId="28"/>
  </si>
  <si>
    <t>ファイル</t>
    <phoneticPr fontId="28"/>
  </si>
  <si>
    <t>Officeのバージョンを2003から2010へアップグレード</t>
    <phoneticPr fontId="28"/>
  </si>
  <si>
    <t>■ｻﾌﾞｼｽﾃﾑ</t>
    <phoneticPr fontId="36"/>
  </si>
  <si>
    <t>行ラベル</t>
  </si>
  <si>
    <t>総計</t>
  </si>
  <si>
    <t>■機能名</t>
    <rPh sb="1" eb="4">
      <t>キノウメイ</t>
    </rPh>
    <phoneticPr fontId="4"/>
  </si>
  <si>
    <t>■不具合分類</t>
    <rPh sb="1" eb="4">
      <t>フグアイ</t>
    </rPh>
    <rPh sb="4" eb="6">
      <t>ブンルイ</t>
    </rPh>
    <phoneticPr fontId="4"/>
  </si>
  <si>
    <t>■原因工程</t>
    <rPh sb="1" eb="3">
      <t>ゲンイン</t>
    </rPh>
    <rPh sb="3" eb="5">
      <t>コウテイ</t>
    </rPh>
    <phoneticPr fontId="4"/>
  </si>
  <si>
    <t>■原因分類</t>
    <rPh sb="1" eb="3">
      <t>ゲンイン</t>
    </rPh>
    <rPh sb="3" eb="5">
      <t>ブンルイ</t>
    </rPh>
    <phoneticPr fontId="4"/>
  </si>
  <si>
    <t>■修正担当</t>
    <rPh sb="1" eb="3">
      <t>シュウセイ</t>
    </rPh>
    <rPh sb="3" eb="5">
      <t>タントウ</t>
    </rPh>
    <phoneticPr fontId="4"/>
  </si>
  <si>
    <t>ゴンペルツ曲線の追加
円グラフの計算をマクロからピポッドテーブルへ変更</t>
    <rPh sb="5" eb="7">
      <t>キョクセン</t>
    </rPh>
    <rPh sb="8" eb="10">
      <t>ツイカ</t>
    </rPh>
    <rPh sb="11" eb="12">
      <t>エン</t>
    </rPh>
    <rPh sb="16" eb="18">
      <t>ケイサン</t>
    </rPh>
    <rPh sb="33" eb="35">
      <t>ヘンコウ</t>
    </rPh>
    <phoneticPr fontId="28"/>
  </si>
  <si>
    <t>修正待ち</t>
  </si>
  <si>
    <t>円グラフとゾーン分析図の表示不具合の修正</t>
    <rPh sb="0" eb="1">
      <t>エン</t>
    </rPh>
    <rPh sb="8" eb="10">
      <t>ブンセキ</t>
    </rPh>
    <rPh sb="10" eb="11">
      <t>ズ</t>
    </rPh>
    <rPh sb="12" eb="14">
      <t>ヒョウジ</t>
    </rPh>
    <rPh sb="14" eb="17">
      <t>フグアイ</t>
    </rPh>
    <rPh sb="18" eb="20">
      <t>シュウセイ</t>
    </rPh>
    <phoneticPr fontId="28"/>
  </si>
  <si>
    <t>　　（残差平方 現在値が最小となるｃをマクロで計算（※但しcの取りうる値は、0.1～1.0までの0.05きざみとする）</t>
    <rPh sb="3" eb="4">
      <t>ザン</t>
    </rPh>
    <rPh sb="4" eb="5">
      <t>サ</t>
    </rPh>
    <rPh sb="5" eb="7">
      <t>ヘイホウ</t>
    </rPh>
    <rPh sb="8" eb="10">
      <t>ゲンザイ</t>
    </rPh>
    <rPh sb="10" eb="11">
      <t>チ</t>
    </rPh>
    <rPh sb="12" eb="14">
      <t>サイショウ</t>
    </rPh>
    <rPh sb="23" eb="25">
      <t>ケイサン</t>
    </rPh>
    <rPh sb="27" eb="28">
      <t>タダ</t>
    </rPh>
    <rPh sb="31" eb="32">
      <t>ト</t>
    </rPh>
    <rPh sb="35" eb="36">
      <t>アタイ</t>
    </rPh>
    <phoneticPr fontId="4"/>
  </si>
  <si>
    <t>残差平方　現在値</t>
    <rPh sb="0" eb="2">
      <t>ザンサ</t>
    </rPh>
    <rPh sb="2" eb="4">
      <t>ヘイホウ</t>
    </rPh>
    <rPh sb="5" eb="8">
      <t>ゲンザイチ</t>
    </rPh>
    <phoneticPr fontId="4"/>
  </si>
  <si>
    <t>分析レポート</t>
    <rPh sb="0" eb="2">
      <t>ブンセキ</t>
    </rPh>
    <phoneticPr fontId="4"/>
  </si>
  <si>
    <t>ゴンペルツ曲線のロジック変更</t>
    <rPh sb="5" eb="7">
      <t>キョクセン</t>
    </rPh>
    <rPh sb="12" eb="14">
      <t>ヘンコウ</t>
    </rPh>
    <phoneticPr fontId="4"/>
  </si>
  <si>
    <t>シスコム_野田</t>
    <rPh sb="5" eb="7">
      <t>ノダ</t>
    </rPh>
    <phoneticPr fontId="4"/>
  </si>
  <si>
    <t>残テスト項目数曲線のバグを修正</t>
    <rPh sb="0" eb="1">
      <t>ザン</t>
    </rPh>
    <rPh sb="4" eb="7">
      <t>コウモクスウ</t>
    </rPh>
    <rPh sb="7" eb="9">
      <t>キョクセン</t>
    </rPh>
    <rPh sb="13" eb="15">
      <t>シュウセイ</t>
    </rPh>
    <phoneticPr fontId="4"/>
  </si>
  <si>
    <t>実績値</t>
    <rPh sb="0" eb="2">
      <t>ジッセキ</t>
    </rPh>
    <rPh sb="2" eb="3">
      <t>チ</t>
    </rPh>
    <phoneticPr fontId="7"/>
  </si>
  <si>
    <t>上　限</t>
    <rPh sb="0" eb="1">
      <t>ウエ</t>
    </rPh>
    <rPh sb="2" eb="3">
      <t>キリ</t>
    </rPh>
    <phoneticPr fontId="7"/>
  </si>
  <si>
    <t>下　限</t>
    <rPh sb="0" eb="1">
      <t>シタ</t>
    </rPh>
    <rPh sb="2" eb="3">
      <t>キリ</t>
    </rPh>
    <phoneticPr fontId="7"/>
  </si>
  <si>
    <t>着地見込</t>
    <rPh sb="0" eb="2">
      <t>チャクチ</t>
    </rPh>
    <rPh sb="2" eb="4">
      <t>ミコ</t>
    </rPh>
    <phoneticPr fontId="7"/>
  </si>
  <si>
    <t>W_ヘッダ</t>
    <phoneticPr fontId="28"/>
  </si>
  <si>
    <t>基準日を考慮するよう、全体の不具合発生/完了数の関数訂正</t>
    <rPh sb="11" eb="13">
      <t>ゼンタイ</t>
    </rPh>
    <rPh sb="14" eb="17">
      <t>フグアイ</t>
    </rPh>
    <rPh sb="17" eb="19">
      <t>ハッセイ</t>
    </rPh>
    <rPh sb="20" eb="22">
      <t>カンリョウ</t>
    </rPh>
    <rPh sb="22" eb="23">
      <t>スウ</t>
    </rPh>
    <rPh sb="24" eb="26">
      <t>カンスウ</t>
    </rPh>
    <rPh sb="26" eb="28">
      <t>テイセイ</t>
    </rPh>
    <phoneticPr fontId="28"/>
  </si>
  <si>
    <t>シスコム_山本</t>
    <rPh sb="5" eb="7">
      <t>ヤマモト</t>
    </rPh>
    <phoneticPr fontId="28"/>
  </si>
  <si>
    <t>不具合目標値(上限)</t>
    <rPh sb="0" eb="3">
      <t>フグアイ</t>
    </rPh>
    <rPh sb="3" eb="6">
      <t>モクヒョウチ</t>
    </rPh>
    <rPh sb="7" eb="9">
      <t>ジョウゲン</t>
    </rPh>
    <phoneticPr fontId="4"/>
  </si>
  <si>
    <t>不具合目標値(下限)</t>
    <rPh sb="0" eb="3">
      <t>フグアイ</t>
    </rPh>
    <rPh sb="3" eb="6">
      <t>モクヒョウチ</t>
    </rPh>
    <rPh sb="7" eb="9">
      <t>カゲン</t>
    </rPh>
    <phoneticPr fontId="4"/>
  </si>
  <si>
    <t>W_不具合件数データ</t>
    <rPh sb="2" eb="5">
      <t>フグアイ</t>
    </rPh>
    <rPh sb="5" eb="7">
      <t>ケンスウ</t>
    </rPh>
    <phoneticPr fontId="4"/>
  </si>
  <si>
    <t>不具合目標値の表記方法変更（平均値→上限/下限）</t>
    <rPh sb="0" eb="3">
      <t>フグアイ</t>
    </rPh>
    <rPh sb="3" eb="5">
      <t>モクヒョウ</t>
    </rPh>
    <rPh sb="5" eb="6">
      <t>チ</t>
    </rPh>
    <rPh sb="7" eb="9">
      <t>ヒョウキ</t>
    </rPh>
    <rPh sb="9" eb="11">
      <t>ホウホウ</t>
    </rPh>
    <rPh sb="11" eb="13">
      <t>ヘンコウ</t>
    </rPh>
    <rPh sb="14" eb="17">
      <t>ヘイキンチ</t>
    </rPh>
    <rPh sb="18" eb="20">
      <t>ジョウゲン</t>
    </rPh>
    <rPh sb="21" eb="23">
      <t>カゲン</t>
    </rPh>
    <phoneticPr fontId="28"/>
  </si>
  <si>
    <t>マスタ</t>
    <phoneticPr fontId="4"/>
  </si>
  <si>
    <t>不具合予測値表示開始週入力欄の追加</t>
    <rPh sb="0" eb="3">
      <t>フグアイ</t>
    </rPh>
    <rPh sb="3" eb="6">
      <t>ヨソクチ</t>
    </rPh>
    <rPh sb="6" eb="8">
      <t>ヒョウジ</t>
    </rPh>
    <rPh sb="8" eb="10">
      <t>カイシ</t>
    </rPh>
    <rPh sb="10" eb="11">
      <t>シュウ</t>
    </rPh>
    <rPh sb="11" eb="13">
      <t>ニュウリョク</t>
    </rPh>
    <rPh sb="13" eb="14">
      <t>ラン</t>
    </rPh>
    <rPh sb="15" eb="17">
      <t>ツイカ</t>
    </rPh>
    <phoneticPr fontId="28"/>
  </si>
  <si>
    <t>ゴンペルツ曲線表示がマスタ設定した週より表記されるよう関数変更</t>
    <rPh sb="5" eb="7">
      <t>キョクセン</t>
    </rPh>
    <rPh sb="7" eb="9">
      <t>ヒョウジ</t>
    </rPh>
    <rPh sb="13" eb="15">
      <t>セッテイ</t>
    </rPh>
    <rPh sb="17" eb="18">
      <t>シュウ</t>
    </rPh>
    <rPh sb="20" eb="22">
      <t>ヒョウキ</t>
    </rPh>
    <rPh sb="27" eb="29">
      <t>カンスウ</t>
    </rPh>
    <rPh sb="29" eb="31">
      <t>ヘンコウ</t>
    </rPh>
    <phoneticPr fontId="28"/>
  </si>
  <si>
    <t>着地見込表示</t>
    <rPh sb="0" eb="2">
      <t>チャクチ</t>
    </rPh>
    <rPh sb="2" eb="4">
      <t>ミコ</t>
    </rPh>
    <rPh sb="4" eb="6">
      <t>ヒョウジ</t>
    </rPh>
    <phoneticPr fontId="7"/>
  </si>
  <si>
    <t>着地見込欄および折れ線グラフに目標値（上限/下限）を追加</t>
    <rPh sb="0" eb="2">
      <t>チャクチ</t>
    </rPh>
    <rPh sb="2" eb="4">
      <t>ミコ</t>
    </rPh>
    <rPh sb="4" eb="5">
      <t>ラン</t>
    </rPh>
    <rPh sb="8" eb="9">
      <t>オ</t>
    </rPh>
    <rPh sb="10" eb="11">
      <t>セン</t>
    </rPh>
    <rPh sb="15" eb="17">
      <t>モクヒョウ</t>
    </rPh>
    <rPh sb="17" eb="18">
      <t>チ</t>
    </rPh>
    <rPh sb="19" eb="21">
      <t>ジョウゲン</t>
    </rPh>
    <rPh sb="22" eb="24">
      <t>カゲン</t>
    </rPh>
    <rPh sb="26" eb="28">
      <t>ツイカ</t>
    </rPh>
    <phoneticPr fontId="28"/>
  </si>
  <si>
    <t>不具合件数の着地見込を表記</t>
    <rPh sb="0" eb="3">
      <t>フグアイ</t>
    </rPh>
    <rPh sb="3" eb="5">
      <t>ケンスウ</t>
    </rPh>
    <rPh sb="6" eb="8">
      <t>チャクチ</t>
    </rPh>
    <rPh sb="8" eb="10">
      <t>ミコ</t>
    </rPh>
    <rPh sb="11" eb="13">
      <t>ヒョウキ</t>
    </rPh>
    <phoneticPr fontId="28"/>
  </si>
  <si>
    <t>不具合予測値表示開始週</t>
    <rPh sb="0" eb="3">
      <t>フグアイ</t>
    </rPh>
    <rPh sb="3" eb="6">
      <t>ヨソクチ</t>
    </rPh>
    <rPh sb="6" eb="8">
      <t>ヒョウジ</t>
    </rPh>
    <rPh sb="8" eb="10">
      <t>カイシ</t>
    </rPh>
    <rPh sb="10" eb="11">
      <t>シュウ</t>
    </rPh>
    <phoneticPr fontId="6"/>
  </si>
  <si>
    <t>ゾーン分析表がマスタ設定した週以降に表示されるようマスタ追加</t>
    <rPh sb="3" eb="5">
      <t>ブンセキ</t>
    </rPh>
    <rPh sb="5" eb="6">
      <t>ヒョウ</t>
    </rPh>
    <rPh sb="10" eb="12">
      <t>セッテイ</t>
    </rPh>
    <rPh sb="14" eb="15">
      <t>シュウ</t>
    </rPh>
    <rPh sb="15" eb="17">
      <t>イコウ</t>
    </rPh>
    <rPh sb="18" eb="20">
      <t>ヒョウジ</t>
    </rPh>
    <rPh sb="28" eb="30">
      <t>ツイカ</t>
    </rPh>
    <phoneticPr fontId="28"/>
  </si>
  <si>
    <t>W_ゾーン分析図</t>
    <phoneticPr fontId="4"/>
  </si>
  <si>
    <t>着地見込の不具合件数算出関数の訂正</t>
    <rPh sb="0" eb="2">
      <t>チャクチ</t>
    </rPh>
    <rPh sb="2" eb="4">
      <t>ミコ</t>
    </rPh>
    <rPh sb="5" eb="8">
      <t>フグアイ</t>
    </rPh>
    <rPh sb="8" eb="10">
      <t>ケンスウ</t>
    </rPh>
    <rPh sb="10" eb="12">
      <t>サンシュツ</t>
    </rPh>
    <rPh sb="12" eb="14">
      <t>カンスウ</t>
    </rPh>
    <rPh sb="15" eb="17">
      <t>テイセイ</t>
    </rPh>
    <phoneticPr fontId="28"/>
  </si>
  <si>
    <t>着地見込のテスト項目数関数の訂正（進捗がない場合のマクロへの影響を回避）</t>
    <rPh sb="0" eb="2">
      <t>チャクチ</t>
    </rPh>
    <rPh sb="2" eb="4">
      <t>ミコ</t>
    </rPh>
    <rPh sb="8" eb="11">
      <t>コウモクスウ</t>
    </rPh>
    <rPh sb="11" eb="13">
      <t>カンスウ</t>
    </rPh>
    <rPh sb="14" eb="16">
      <t>テイセイ</t>
    </rPh>
    <rPh sb="17" eb="19">
      <t>シン</t>
    </rPh>
    <rPh sb="22" eb="24">
      <t>バアイ</t>
    </rPh>
    <rPh sb="30" eb="32">
      <t>エイキョウ</t>
    </rPh>
    <rPh sb="33" eb="35">
      <t>カイヒ</t>
    </rPh>
    <phoneticPr fontId="4"/>
  </si>
  <si>
    <t>シスコム_山本</t>
    <rPh sb="5" eb="7">
      <t>ヤマモト</t>
    </rPh>
    <phoneticPr fontId="4"/>
  </si>
  <si>
    <t>品質(テスト)</t>
    <rPh sb="0" eb="2">
      <t>ヒンシツ</t>
    </rPh>
    <phoneticPr fontId="4"/>
  </si>
  <si>
    <t>ゾーン分析図</t>
    <phoneticPr fontId="4"/>
  </si>
  <si>
    <t>テスト密度（上限）</t>
    <rPh sb="3" eb="5">
      <t>ミツド</t>
    </rPh>
    <rPh sb="6" eb="8">
      <t>ジョウゲン</t>
    </rPh>
    <phoneticPr fontId="4"/>
  </si>
  <si>
    <t>項目/KL</t>
    <rPh sb="0" eb="2">
      <t>コウモク</t>
    </rPh>
    <phoneticPr fontId="4"/>
  </si>
  <si>
    <t>テスト密度（下限）</t>
    <rPh sb="3" eb="5">
      <t>ミツド</t>
    </rPh>
    <rPh sb="6" eb="8">
      <t>カゲン</t>
    </rPh>
    <phoneticPr fontId="4"/>
  </si>
  <si>
    <t>テスト密度（実績）</t>
    <rPh sb="3" eb="5">
      <t>ミツド</t>
    </rPh>
    <rPh sb="6" eb="8">
      <t>ジッセキ</t>
    </rPh>
    <phoneticPr fontId="4"/>
  </si>
  <si>
    <t>不具合密度（上限）</t>
    <rPh sb="0" eb="3">
      <t>フグアイ</t>
    </rPh>
    <rPh sb="3" eb="5">
      <t>ミツド</t>
    </rPh>
    <rPh sb="6" eb="8">
      <t>ジョウゲン</t>
    </rPh>
    <phoneticPr fontId="4"/>
  </si>
  <si>
    <t>件/KL</t>
    <rPh sb="0" eb="1">
      <t>ケン</t>
    </rPh>
    <phoneticPr fontId="4"/>
  </si>
  <si>
    <t>不具合密度（下限）</t>
    <rPh sb="0" eb="3">
      <t>フグアイ</t>
    </rPh>
    <rPh sb="3" eb="5">
      <t>ミツド</t>
    </rPh>
    <rPh sb="6" eb="8">
      <t>カゲン</t>
    </rPh>
    <phoneticPr fontId="4"/>
  </si>
  <si>
    <t>不具合密度（実績）</t>
    <rPh sb="0" eb="3">
      <t>フグアイ</t>
    </rPh>
    <rPh sb="3" eb="5">
      <t>ミツド</t>
    </rPh>
    <rPh sb="6" eb="8">
      <t>ジッセキ</t>
    </rPh>
    <phoneticPr fontId="4"/>
  </si>
  <si>
    <t>件数</t>
    <rPh sb="0" eb="2">
      <t>ケンスウ</t>
    </rPh>
    <phoneticPr fontId="4"/>
  </si>
  <si>
    <t>総件数</t>
    <rPh sb="0" eb="3">
      <t>ソウケンスウ</t>
    </rPh>
    <phoneticPr fontId="4"/>
  </si>
  <si>
    <t>件</t>
    <rPh sb="0" eb="1">
      <t>ケン</t>
    </rPh>
    <phoneticPr fontId="4"/>
  </si>
  <si>
    <t>テスト済み件数</t>
    <rPh sb="3" eb="4">
      <t>ズ</t>
    </rPh>
    <rPh sb="5" eb="7">
      <t>ケンスウ</t>
    </rPh>
    <phoneticPr fontId="4"/>
  </si>
  <si>
    <t>PJ状況報告書にコピー＆ペーストする場合は</t>
    <rPh sb="2" eb="4">
      <t>ジョウキョウ</t>
    </rPh>
    <rPh sb="4" eb="7">
      <t>ホウコクショ</t>
    </rPh>
    <rPh sb="18" eb="20">
      <t>バアイ</t>
    </rPh>
    <phoneticPr fontId="36"/>
  </si>
  <si>
    <t>貼り付けオプションの”値の貼り付け”　　　を利用してください。</t>
    <rPh sb="0" eb="1">
      <t>ハ</t>
    </rPh>
    <rPh sb="2" eb="3">
      <t>ツ</t>
    </rPh>
    <rPh sb="11" eb="12">
      <t>アタイ</t>
    </rPh>
    <rPh sb="13" eb="14">
      <t>ハ</t>
    </rPh>
    <rPh sb="15" eb="16">
      <t>ツ</t>
    </rPh>
    <rPh sb="22" eb="24">
      <t>リヨウ</t>
    </rPh>
    <phoneticPr fontId="36"/>
  </si>
  <si>
    <t>注）そのまま貼り付けるとエラーとなります。</t>
    <rPh sb="0" eb="1">
      <t>チュウ</t>
    </rPh>
    <rPh sb="6" eb="7">
      <t>ハ</t>
    </rPh>
    <rPh sb="8" eb="9">
      <t>ツ</t>
    </rPh>
    <phoneticPr fontId="36"/>
  </si>
  <si>
    <t>基準日</t>
    <rPh sb="0" eb="3">
      <t>キジュンビ</t>
    </rPh>
    <phoneticPr fontId="36"/>
  </si>
  <si>
    <t>状況報告書貼付用データ</t>
    <phoneticPr fontId="28"/>
  </si>
  <si>
    <t>「状況報告書貼付用データ」を追加</t>
    <phoneticPr fontId="28"/>
  </si>
  <si>
    <t>※左記はシステムテストの標準値。結合テストの標準値は下限1、上限4。</t>
    <rPh sb="1" eb="3">
      <t>サキ</t>
    </rPh>
    <rPh sb="12" eb="14">
      <t>ヒョウジュン</t>
    </rPh>
    <rPh sb="14" eb="15">
      <t>チ</t>
    </rPh>
    <rPh sb="16" eb="18">
      <t>ケツゴウ</t>
    </rPh>
    <rPh sb="22" eb="24">
      <t>ヒョウジュン</t>
    </rPh>
    <rPh sb="24" eb="25">
      <t>チ</t>
    </rPh>
    <rPh sb="26" eb="28">
      <t>カゲン</t>
    </rPh>
    <rPh sb="30" eb="32">
      <t>ジョウゲン</t>
    </rPh>
    <phoneticPr fontId="6"/>
  </si>
  <si>
    <t>マスタ</t>
    <phoneticPr fontId="28"/>
  </si>
  <si>
    <t>結合テストの指標値の誤記修正</t>
    <rPh sb="0" eb="2">
      <t>ケツゴウ</t>
    </rPh>
    <rPh sb="6" eb="8">
      <t>シヒョウ</t>
    </rPh>
    <rPh sb="8" eb="9">
      <t>チ</t>
    </rPh>
    <rPh sb="10" eb="12">
      <t>ゴキ</t>
    </rPh>
    <rPh sb="12" eb="14">
      <t>シュウセイ</t>
    </rPh>
    <phoneticPr fontId="28"/>
  </si>
  <si>
    <t>W_不具合件数データ</t>
    <phoneticPr fontId="28"/>
  </si>
  <si>
    <t>発生累計の関数修正（一部（Y6～AJ6))</t>
    <rPh sb="0" eb="2">
      <t>ハッセイ</t>
    </rPh>
    <rPh sb="2" eb="4">
      <t>ルイケイ</t>
    </rPh>
    <rPh sb="5" eb="7">
      <t>カンスウ</t>
    </rPh>
    <rPh sb="7" eb="9">
      <t>シュウセイ</t>
    </rPh>
    <rPh sb="10" eb="12">
      <t>イチブ</t>
    </rPh>
    <phoneticPr fontId="28"/>
  </si>
  <si>
    <t>W_ヘッダ</t>
    <phoneticPr fontId="28"/>
  </si>
  <si>
    <t>（発生／完了）</t>
    <phoneticPr fontId="4"/>
  </si>
  <si>
    <t>当月（発生／完了）の件数が基準日考慮するよう関数修正</t>
    <rPh sb="0" eb="2">
      <t>トウゲツ</t>
    </rPh>
    <rPh sb="3" eb="5">
      <t>ハッセイ</t>
    </rPh>
    <rPh sb="6" eb="8">
      <t>カンリョウ</t>
    </rPh>
    <rPh sb="10" eb="12">
      <t>ケンスウ</t>
    </rPh>
    <rPh sb="13" eb="16">
      <t>キジュンビ</t>
    </rPh>
    <rPh sb="16" eb="18">
      <t>コウリョ</t>
    </rPh>
    <rPh sb="22" eb="24">
      <t>カンスウ</t>
    </rPh>
    <rPh sb="24" eb="26">
      <t>シュウセイ</t>
    </rPh>
    <phoneticPr fontId="28"/>
  </si>
  <si>
    <t>「週」行表示のための関数を修正</t>
    <rPh sb="1" eb="2">
      <t>シュウ</t>
    </rPh>
    <rPh sb="3" eb="4">
      <t>ギョウ</t>
    </rPh>
    <rPh sb="4" eb="6">
      <t>ヒョウジ</t>
    </rPh>
    <rPh sb="10" eb="12">
      <t>カンスウ</t>
    </rPh>
    <rPh sb="13" eb="15">
      <t>シュウセイ</t>
    </rPh>
    <phoneticPr fontId="28"/>
  </si>
  <si>
    <t>警告）以降は通常変更しないで、利用してください。</t>
    <rPh sb="0" eb="2">
      <t>ケイコク</t>
    </rPh>
    <rPh sb="3" eb="5">
      <t>イコウ</t>
    </rPh>
    <rPh sb="6" eb="8">
      <t>ツウジョウ</t>
    </rPh>
    <rPh sb="8" eb="10">
      <t>ヘンコウ</t>
    </rPh>
    <rPh sb="15" eb="17">
      <t>リヨウ</t>
    </rPh>
    <phoneticPr fontId="6"/>
  </si>
  <si>
    <t>単票シート名</t>
    <rPh sb="0" eb="2">
      <t>タンピョウ</t>
    </rPh>
    <rPh sb="5" eb="6">
      <t>メイ</t>
    </rPh>
    <phoneticPr fontId="6"/>
  </si>
  <si>
    <t>①</t>
    <phoneticPr fontId="4"/>
  </si>
  <si>
    <t>②</t>
    <phoneticPr fontId="4"/>
  </si>
  <si>
    <t>③</t>
    <phoneticPr fontId="4"/>
  </si>
  <si>
    <t>④</t>
    <phoneticPr fontId="4"/>
  </si>
  <si>
    <t>⑤</t>
    <phoneticPr fontId="4"/>
  </si>
  <si>
    <t>⑥</t>
    <phoneticPr fontId="4"/>
  </si>
  <si>
    <t>⑦</t>
    <phoneticPr fontId="4"/>
  </si>
  <si>
    <t>⑧</t>
    <phoneticPr fontId="4"/>
  </si>
  <si>
    <t>⑨</t>
    <phoneticPr fontId="4"/>
  </si>
  <si>
    <t>⑩</t>
    <phoneticPr fontId="4"/>
  </si>
  <si>
    <t>⑪</t>
    <phoneticPr fontId="4"/>
  </si>
  <si>
    <t>不具合件数</t>
    <rPh sb="0" eb="3">
      <t>フグアイ</t>
    </rPh>
    <rPh sb="3" eb="5">
      <t>ケンスウ</t>
    </rPh>
    <phoneticPr fontId="4"/>
  </si>
  <si>
    <t>③品質不良</t>
    <rPh sb="1" eb="3">
      <t>ヒンシツ</t>
    </rPh>
    <rPh sb="3" eb="5">
      <t>フリョウ</t>
    </rPh>
    <phoneticPr fontId="4"/>
  </si>
  <si>
    <t>④テスト不足</t>
    <rPh sb="4" eb="6">
      <t>フソク</t>
    </rPh>
    <phoneticPr fontId="4"/>
  </si>
  <si>
    <t>②まずまず良好</t>
    <rPh sb="5" eb="7">
      <t>リョウコウ</t>
    </rPh>
    <phoneticPr fontId="4"/>
  </si>
  <si>
    <t>分析図</t>
    <rPh sb="0" eb="2">
      <t>ブンセキ</t>
    </rPh>
    <rPh sb="2" eb="3">
      <t>ズ</t>
    </rPh>
    <phoneticPr fontId="6"/>
  </si>
  <si>
    <t>不具合管理表シート名</t>
    <rPh sb="0" eb="3">
      <t>フグアイ</t>
    </rPh>
    <rPh sb="3" eb="5">
      <t>カンリ</t>
    </rPh>
    <rPh sb="5" eb="6">
      <t>ヒョウ</t>
    </rPh>
    <rPh sb="9" eb="10">
      <t>メイ</t>
    </rPh>
    <phoneticPr fontId="6"/>
  </si>
  <si>
    <t>Sub System</t>
    <phoneticPr fontId="4"/>
  </si>
  <si>
    <t>Function</t>
    <phoneticPr fontId="4"/>
  </si>
  <si>
    <t>Category</t>
  </si>
  <si>
    <t xml:space="preserve">Root cause </t>
  </si>
  <si>
    <t>Cause
category</t>
  </si>
  <si>
    <t>In charge of modification</t>
  </si>
  <si>
    <t>データの個数 / Sub System</t>
  </si>
  <si>
    <t>データの個数 / Function</t>
  </si>
  <si>
    <t>データの個数 / Category</t>
  </si>
  <si>
    <t xml:space="preserve">データの個数 / Root cause </t>
  </si>
  <si>
    <t>データの個数 / Cause
category</t>
  </si>
  <si>
    <t>データの個数 / In charge of modification</t>
  </si>
  <si>
    <t>日付フォーマット</t>
    <rPh sb="0" eb="2">
      <t>ヒヅケ</t>
    </rPh>
    <phoneticPr fontId="4"/>
  </si>
  <si>
    <t>管理表</t>
    <rPh sb="0" eb="2">
      <t>カンリ</t>
    </rPh>
    <rPh sb="2" eb="3">
      <t>ヒョウ</t>
    </rPh>
    <phoneticPr fontId="4"/>
  </si>
  <si>
    <t>yyyy/mm/dd</t>
  </si>
  <si>
    <t>yy/mm/dd</t>
  </si>
  <si>
    <t>yyyy"年"mm"月"dd"日"</t>
    <rPh sb="5" eb="6">
      <t>ネン</t>
    </rPh>
    <rPh sb="10" eb="11">
      <t>ツキ</t>
    </rPh>
    <rPh sb="15" eb="16">
      <t>ヒ</t>
    </rPh>
    <phoneticPr fontId="4"/>
  </si>
  <si>
    <t>dd-mmm-yy</t>
  </si>
  <si>
    <t>dd-mmm-yyyy</t>
  </si>
  <si>
    <t>現在の日付フォーマット
（基準日）</t>
    <rPh sb="0" eb="2">
      <t>ゲンザイ</t>
    </rPh>
    <rPh sb="3" eb="5">
      <t>ヒヅケ</t>
    </rPh>
    <rPh sb="13" eb="16">
      <t>キジュンビ</t>
    </rPh>
    <phoneticPr fontId="4"/>
  </si>
  <si>
    <t>現在の日付フォーマット
（一覧）</t>
    <rPh sb="0" eb="2">
      <t>ゲンザイ</t>
    </rPh>
    <rPh sb="3" eb="5">
      <t>ヒヅケ</t>
    </rPh>
    <rPh sb="13" eb="15">
      <t>イチラン</t>
    </rPh>
    <phoneticPr fontId="4"/>
  </si>
  <si>
    <t>曜日テーブル</t>
    <rPh sb="0" eb="2">
      <t>ヨウビ</t>
    </rPh>
    <phoneticPr fontId="4"/>
  </si>
  <si>
    <t>月曜日</t>
    <rPh sb="0" eb="3">
      <t>ゲツヨウビ</t>
    </rPh>
    <phoneticPr fontId="4"/>
  </si>
  <si>
    <t>日曜日</t>
    <rPh sb="0" eb="3">
      <t>ニチヨウビ</t>
    </rPh>
    <phoneticPr fontId="4"/>
  </si>
  <si>
    <t>火曜日</t>
    <rPh sb="0" eb="3">
      <t>カヨウビ</t>
    </rPh>
    <phoneticPr fontId="4"/>
  </si>
  <si>
    <t>水曜日</t>
    <rPh sb="0" eb="3">
      <t>スイヨウビ</t>
    </rPh>
    <phoneticPr fontId="4"/>
  </si>
  <si>
    <t>木曜日</t>
    <rPh sb="0" eb="3">
      <t>モクヨウビ</t>
    </rPh>
    <phoneticPr fontId="4"/>
  </si>
  <si>
    <t>金曜日</t>
    <rPh sb="0" eb="3">
      <t>キンヨウビ</t>
    </rPh>
    <phoneticPr fontId="4"/>
  </si>
  <si>
    <t>土曜日</t>
    <rPh sb="0" eb="3">
      <t>ドヨウビ</t>
    </rPh>
    <phoneticPr fontId="4"/>
  </si>
  <si>
    <t>mm/dd</t>
    <phoneticPr fontId="4"/>
  </si>
  <si>
    <t>dd-mmm</t>
    <phoneticPr fontId="4"/>
  </si>
  <si>
    <t>テスト管理</t>
    <rPh sb="3" eb="5">
      <t>カンリ</t>
    </rPh>
    <phoneticPr fontId="4"/>
  </si>
  <si>
    <t>m/d</t>
    <phoneticPr fontId="4"/>
  </si>
  <si>
    <t>コピーする部分</t>
    <rPh sb="5" eb="7">
      <t>ブブン</t>
    </rPh>
    <phoneticPr fontId="36"/>
  </si>
  <si>
    <t>m/d</t>
  </si>
  <si>
    <t>yyyy/mm/dd</t>
    <phoneticPr fontId="4"/>
  </si>
  <si>
    <t>yy/mm/dd</t>
    <phoneticPr fontId="4"/>
  </si>
  <si>
    <t>m/d</t>
    <phoneticPr fontId="4"/>
  </si>
  <si>
    <t>不具合発生数</t>
    <rPh sb="0" eb="3">
      <t>フグアイ</t>
    </rPh>
    <rPh sb="3" eb="5">
      <t>ハッセイ</t>
    </rPh>
    <rPh sb="5" eb="6">
      <t>スウ</t>
    </rPh>
    <phoneticPr fontId="7"/>
  </si>
  <si>
    <t>不具合修正数</t>
    <rPh sb="0" eb="3">
      <t>フグアイ</t>
    </rPh>
    <rPh sb="3" eb="5">
      <t>シュウセイ</t>
    </rPh>
    <rPh sb="5" eb="6">
      <t>スウ</t>
    </rPh>
    <phoneticPr fontId="7"/>
  </si>
  <si>
    <t>残テスト項目予定数</t>
    <rPh sb="0" eb="1">
      <t>ザン</t>
    </rPh>
    <rPh sb="4" eb="6">
      <t>コウモク</t>
    </rPh>
    <rPh sb="6" eb="9">
      <t>ヨテイスウ</t>
    </rPh>
    <phoneticPr fontId="7"/>
  </si>
  <si>
    <t>残テスト項目実績数</t>
    <rPh sb="0" eb="1">
      <t>ザン</t>
    </rPh>
    <rPh sb="4" eb="6">
      <t>コウモク</t>
    </rPh>
    <rPh sb="6" eb="8">
      <t>ジッセキ</t>
    </rPh>
    <rPh sb="8" eb="9">
      <t>スウ</t>
    </rPh>
    <phoneticPr fontId="7"/>
  </si>
  <si>
    <t>不具合目標件数(上限）</t>
    <phoneticPr fontId="7"/>
  </si>
  <si>
    <t>不具合目標件数(下限）</t>
    <rPh sb="8" eb="9">
      <t>シタ</t>
    </rPh>
    <phoneticPr fontId="7"/>
  </si>
  <si>
    <t>不具合予測数</t>
    <rPh sb="0" eb="3">
      <t>フグアイ</t>
    </rPh>
    <rPh sb="3" eb="5">
      <t>ヨソク</t>
    </rPh>
    <rPh sb="5" eb="6">
      <t>スウ</t>
    </rPh>
    <phoneticPr fontId="7"/>
  </si>
  <si>
    <t>グラフ表記名</t>
    <rPh sb="3" eb="5">
      <t>ヒョウキ</t>
    </rPh>
    <rPh sb="5" eb="6">
      <t>メイ</t>
    </rPh>
    <phoneticPr fontId="7"/>
  </si>
  <si>
    <t>CutSheet</t>
    <phoneticPr fontId="6"/>
  </si>
  <si>
    <t>Failure Management</t>
    <phoneticPr fontId="6"/>
  </si>
  <si>
    <t>英語化ツール対応の為、全体的に調整
名前・図形名・グラフ名等の英語対応他　日付表示のテーブル化</t>
    <phoneticPr fontId="28"/>
  </si>
  <si>
    <t>シスコム_小村</t>
    <rPh sb="5" eb="7">
      <t>コムラ</t>
    </rPh>
    <phoneticPr fontId="28"/>
  </si>
  <si>
    <t>ステータス</t>
    <phoneticPr fontId="4"/>
  </si>
  <si>
    <t>テスト予実</t>
    <rPh sb="3" eb="5">
      <t>ヨジツ</t>
    </rPh>
    <phoneticPr fontId="4"/>
  </si>
  <si>
    <t>検証待ち</t>
  </si>
  <si>
    <t>調査待ち</t>
  </si>
  <si>
    <t>起票</t>
  </si>
  <si>
    <t>予定</t>
    <rPh sb="0" eb="2">
      <t>ヨテイ</t>
    </rPh>
    <phoneticPr fontId="4"/>
  </si>
  <si>
    <t>実績</t>
    <rPh sb="0" eb="2">
      <t>ジッセキ</t>
    </rPh>
    <phoneticPr fontId="4"/>
  </si>
  <si>
    <t>テスト項目番号</t>
    <phoneticPr fontId="4"/>
  </si>
  <si>
    <t>E25</t>
  </si>
  <si>
    <t>I24</t>
  </si>
  <si>
    <t>E24</t>
  </si>
  <si>
    <t>I17</t>
  </si>
  <si>
    <t>E17</t>
  </si>
  <si>
    <t>E14</t>
  </si>
  <si>
    <t>E13</t>
  </si>
  <si>
    <t>I12</t>
  </si>
  <si>
    <t>E12</t>
  </si>
  <si>
    <t>K4</t>
  </si>
  <si>
    <t>K3</t>
  </si>
  <si>
    <t>E10</t>
  </si>
  <si>
    <t>E9</t>
  </si>
  <si>
    <t>E8</t>
    <phoneticPr fontId="6"/>
  </si>
  <si>
    <t>原因内容詳細</t>
    <rPh sb="0" eb="2">
      <t>ゲンイン</t>
    </rPh>
    <rPh sb="2" eb="4">
      <t>ナイヨウ</t>
    </rPh>
    <rPh sb="4" eb="6">
      <t>ショウサイ</t>
    </rPh>
    <phoneticPr fontId="4"/>
  </si>
  <si>
    <t>E15</t>
    <phoneticPr fontId="4"/>
  </si>
  <si>
    <t>修正
プログラム/ドキュメント</t>
    <rPh sb="0" eb="2">
      <t>シュウセイ</t>
    </rPh>
    <phoneticPr fontId="4"/>
  </si>
  <si>
    <t>修正内容</t>
    <rPh sb="0" eb="2">
      <t>シュウセイ</t>
    </rPh>
    <rPh sb="2" eb="4">
      <t>ナイヨウ</t>
    </rPh>
    <phoneticPr fontId="4"/>
  </si>
  <si>
    <t>E19</t>
    <phoneticPr fontId="4"/>
  </si>
  <si>
    <t>E22</t>
    <phoneticPr fontId="4"/>
  </si>
  <si>
    <t>AG</t>
    <phoneticPr fontId="6"/>
  </si>
  <si>
    <t>AH</t>
    <phoneticPr fontId="6"/>
  </si>
  <si>
    <t>ID</t>
    <phoneticPr fontId="4"/>
  </si>
  <si>
    <t>添付</t>
    <rPh sb="0" eb="2">
      <t>テンプ</t>
    </rPh>
    <phoneticPr fontId="4"/>
  </si>
  <si>
    <t>有</t>
    <rPh sb="0" eb="1">
      <t>アリ</t>
    </rPh>
    <phoneticPr fontId="4"/>
  </si>
  <si>
    <t>その他</t>
    <rPh sb="2" eb="3">
      <t>タ</t>
    </rPh>
    <phoneticPr fontId="4"/>
  </si>
  <si>
    <t>■不具合原因</t>
    <rPh sb="1" eb="4">
      <t>フグアイ</t>
    </rPh>
    <rPh sb="4" eb="6">
      <t>ゲンイン</t>
    </rPh>
    <phoneticPr fontId="4"/>
  </si>
  <si>
    <t>要件定義</t>
    <rPh sb="0" eb="2">
      <t>ヨウケン</t>
    </rPh>
    <rPh sb="2" eb="4">
      <t>テイギ</t>
    </rPh>
    <phoneticPr fontId="4"/>
  </si>
  <si>
    <t>基本設計</t>
    <rPh sb="0" eb="2">
      <t>キホン</t>
    </rPh>
    <rPh sb="2" eb="4">
      <t>セッケイ</t>
    </rPh>
    <phoneticPr fontId="4"/>
  </si>
  <si>
    <t>詳細設計</t>
    <rPh sb="0" eb="2">
      <t>ショウサイ</t>
    </rPh>
    <rPh sb="2" eb="4">
      <t>セッケイ</t>
    </rPh>
    <phoneticPr fontId="4"/>
  </si>
  <si>
    <t>Coding</t>
    <phoneticPr fontId="4"/>
  </si>
  <si>
    <t>Environment</t>
  </si>
  <si>
    <t>Others</t>
    <phoneticPr fontId="4"/>
  </si>
  <si>
    <t>ステータス</t>
    <phoneticPr fontId="4"/>
  </si>
  <si>
    <t>Phase</t>
    <phoneticPr fontId="4"/>
  </si>
  <si>
    <t>Requirement</t>
    <phoneticPr fontId="4"/>
  </si>
  <si>
    <t>Fundamental_Design</t>
    <phoneticPr fontId="4"/>
  </si>
  <si>
    <t>Detailed_Design</t>
    <phoneticPr fontId="4"/>
  </si>
  <si>
    <t>TEST</t>
    <phoneticPr fontId="4"/>
  </si>
  <si>
    <t>プログラミング</t>
    <phoneticPr fontId="4"/>
  </si>
  <si>
    <t>テスト</t>
    <phoneticPr fontId="4"/>
  </si>
  <si>
    <t>Detailed_Design</t>
  </si>
  <si>
    <t>(実)異常終了</t>
    <rPh sb="1" eb="2">
      <t>ジツ</t>
    </rPh>
    <rPh sb="3" eb="5">
      <t>イジョウ</t>
    </rPh>
    <rPh sb="5" eb="7">
      <t>シュウリョウ</t>
    </rPh>
    <phoneticPr fontId="4"/>
  </si>
  <si>
    <t>(実)性能不良</t>
    <rPh sb="1" eb="2">
      <t>ジツ</t>
    </rPh>
    <rPh sb="3" eb="5">
      <t>セイノウ</t>
    </rPh>
    <rPh sb="5" eb="7">
      <t>フリョウ</t>
    </rPh>
    <phoneticPr fontId="4"/>
  </si>
  <si>
    <t>その他(原則使用禁止)</t>
    <rPh sb="2" eb="3">
      <t>タ</t>
    </rPh>
    <rPh sb="4" eb="6">
      <t>ゲンソク</t>
    </rPh>
    <rPh sb="6" eb="8">
      <t>シヨウ</t>
    </rPh>
    <rPh sb="8" eb="10">
      <t>キンシ</t>
    </rPh>
    <phoneticPr fontId="4"/>
  </si>
  <si>
    <t>(非)テスト作業ミス</t>
    <rPh sb="6" eb="8">
      <t>サギョウ</t>
    </rPh>
    <phoneticPr fontId="4"/>
  </si>
  <si>
    <t>(非)ドキュメントのみ不良</t>
    <rPh sb="11" eb="13">
      <t>フリョウ</t>
    </rPh>
    <phoneticPr fontId="4"/>
  </si>
  <si>
    <t>(非)既存バグ</t>
    <rPh sb="1" eb="2">
      <t>ヒ</t>
    </rPh>
    <rPh sb="3" eb="5">
      <t>キゾン</t>
    </rPh>
    <phoneticPr fontId="4"/>
  </si>
  <si>
    <t>(実)構築ミス</t>
  </si>
  <si>
    <t>(実)テスト結果不一致</t>
    <rPh sb="1" eb="2">
      <t>ジツ</t>
    </rPh>
    <rPh sb="6" eb="8">
      <t>ケッカ</t>
    </rPh>
    <rPh sb="8" eb="11">
      <t>フイッチ</t>
    </rPh>
    <phoneticPr fontId="4"/>
  </si>
  <si>
    <t>(非)対外システム起因</t>
    <rPh sb="1" eb="2">
      <t>ヒ</t>
    </rPh>
    <rPh sb="3" eb="5">
      <t>タイガイ</t>
    </rPh>
    <rPh sb="9" eb="11">
      <t>キイン</t>
    </rPh>
    <phoneticPr fontId="4"/>
  </si>
  <si>
    <t>完了</t>
    <rPh sb="0" eb="2">
      <t>カンリョウ</t>
    </rPh>
    <phoneticPr fontId="4"/>
  </si>
  <si>
    <t>残あり</t>
    <rPh sb="0" eb="1">
      <t>ザン</t>
    </rPh>
    <phoneticPr fontId="4"/>
  </si>
  <si>
    <t>↓関数↓</t>
    <rPh sb="1" eb="3">
      <t>カンスウ</t>
    </rPh>
    <phoneticPr fontId="4"/>
  </si>
  <si>
    <t>↓プルダウン↓</t>
    <phoneticPr fontId="4"/>
  </si>
  <si>
    <t>機能名</t>
    <rPh sb="0" eb="2">
      <t>キノウ</t>
    </rPh>
    <rPh sb="2" eb="3">
      <t>メイ</t>
    </rPh>
    <phoneticPr fontId="4"/>
  </si>
  <si>
    <t>01.顧客管理</t>
  </si>
  <si>
    <t>02.案件管理</t>
  </si>
  <si>
    <t>05.満期管理</t>
  </si>
  <si>
    <t>機能要件確認</t>
    <rPh sb="0" eb="2">
      <t>キノウ</t>
    </rPh>
    <rPh sb="2" eb="4">
      <t>ヨウケン</t>
    </rPh>
    <rPh sb="4" eb="6">
      <t>カクニン</t>
    </rPh>
    <phoneticPr fontId="4"/>
  </si>
  <si>
    <t>非機能要件確認</t>
    <rPh sb="0" eb="3">
      <t>ヒキノウ</t>
    </rPh>
    <rPh sb="3" eb="7">
      <t>ヨウケンカクニン</t>
    </rPh>
    <phoneticPr fontId="4"/>
  </si>
  <si>
    <t>性能</t>
    <rPh sb="0" eb="2">
      <t>セイノウ</t>
    </rPh>
    <phoneticPr fontId="4"/>
  </si>
  <si>
    <t>外部接続</t>
    <rPh sb="0" eb="2">
      <t>ガイブ</t>
    </rPh>
    <rPh sb="2" eb="4">
      <t>セツゾク</t>
    </rPh>
    <phoneticPr fontId="4"/>
  </si>
  <si>
    <t>その他(お客様個別指摘)</t>
    <rPh sb="2" eb="3">
      <t>タ</t>
    </rPh>
    <rPh sb="5" eb="7">
      <t>キャクサマ</t>
    </rPh>
    <rPh sb="7" eb="9">
      <t>コベツ</t>
    </rPh>
    <rPh sb="9" eb="11">
      <t>シテキ</t>
    </rPh>
    <phoneticPr fontId="4"/>
  </si>
  <si>
    <t>移行からフィードバック</t>
    <rPh sb="0" eb="2">
      <t>イコウ</t>
    </rPh>
    <phoneticPr fontId="4"/>
  </si>
  <si>
    <t>その他(作業中発見)</t>
    <rPh sb="2" eb="3">
      <t>タ</t>
    </rPh>
    <rPh sb="4" eb="7">
      <t>サギョウチュウ</t>
    </rPh>
    <rPh sb="7" eb="9">
      <t>ハッケン</t>
    </rPh>
    <phoneticPr fontId="4"/>
  </si>
  <si>
    <t>環境構築</t>
    <rPh sb="0" eb="2">
      <t>カンキョウ</t>
    </rPh>
    <rPh sb="2" eb="4">
      <t>コウチク</t>
    </rPh>
    <phoneticPr fontId="4"/>
  </si>
  <si>
    <t>(非)仕様改善</t>
    <rPh sb="1" eb="2">
      <t>ヒ</t>
    </rPh>
    <rPh sb="3" eb="5">
      <t>シヨウ</t>
    </rPh>
    <rPh sb="5" eb="7">
      <t>カイゼン</t>
    </rPh>
    <phoneticPr fontId="4"/>
  </si>
  <si>
    <t>試験項目数の記載は必須と捉えてください。</t>
  </si>
  <si>
    <t>なお、試験項目書作成タスクが完了しているモノについては、</t>
  </si>
  <si>
    <t>過不足は一応連絡ください。</t>
  </si>
  <si>
    <t>更にチームごとにもセクション分けしてあるので、自チームの分の試験項目数を記載していってください。</t>
  </si>
  <si>
    <t>Test Managementシートに既に試験項目書の単位に分けて起票しています。</t>
  </si>
  <si>
    <t>また、</t>
  </si>
  <si>
    <t>$/toyotsuhoken/NTTD/24_各種管理/05_品質管理</t>
  </si>
  <si>
    <t>各チーム分はこれまで通り下記へお願いします。</t>
  </si>
  <si>
    <t>上記の不具合管理表をベースに各チーム分を作成してください。</t>
  </si>
  <si>
    <t>●各チームへの依頼</t>
  </si>
  <si>
    <t>内部ロジックの場合は、TIP確認不要</t>
  </si>
  <si>
    <t>外部仕様が伴う場合は、TIP確認が必須</t>
  </si>
  <si>
    <t>バグではないけど、こうした方がいい的なモノを見つけた場合に選択する。</t>
  </si>
  <si>
    <t>②不具合分類に「(非)仕様改善」を追加</t>
  </si>
  <si>
    <t>・その他(作業中発見)　←上記の試験と関係のない所で見つけたら（選択した場合、根堀り葉掘り聞きます）</t>
  </si>
  <si>
    <t>・その他(お客様個別指摘)　←TIPからの指摘がトリガの場合</t>
  </si>
  <si>
    <t>・移行からフィードバック　←移行からフィードバックされたら</t>
  </si>
  <si>
    <t>・外部接続</t>
  </si>
  <si>
    <t>・サイクル</t>
  </si>
  <si>
    <t>・性能</t>
  </si>
  <si>
    <t>・非機能要件確認</t>
  </si>
  <si>
    <t>・機能要件確認</t>
  </si>
  <si>
    <t>↓サブシステム↓</t>
  </si>
  <si>
    <t>（性能試験の中でたまたま見つけた故障は「その他(作業中発見)」としてください）</t>
  </si>
  <si>
    <t>その故障がどの試験に関わる作業の中で見つかったかを選択してください。</t>
  </si>
  <si>
    <t>起因となった試験種類を選択するように修正</t>
  </si>
  <si>
    <t>①サブシステムを試験の単位に修正</t>
  </si>
  <si>
    <t>●改修ポイント</t>
  </si>
  <si>
    <t>$/toyotsuhoken/NTTD/24_各種管理/05_品質管理/TIPレビュー\不具合管理表_システムテスト.xlsm</t>
  </si>
  <si>
    <t>システムテストフェーズ用の不具合管理表を作成しました。</t>
  </si>
  <si>
    <t>役割分担</t>
    <rPh sb="0" eb="2">
      <t>ヤクワリ</t>
    </rPh>
    <rPh sb="2" eb="4">
      <t>ブンタン</t>
    </rPh>
    <phoneticPr fontId="36"/>
  </si>
  <si>
    <t>項目</t>
    <rPh sb="0" eb="2">
      <t>コウモク</t>
    </rPh>
    <phoneticPr fontId="36"/>
  </si>
  <si>
    <t>起票担当</t>
    <rPh sb="0" eb="2">
      <t>キヒョウ</t>
    </rPh>
    <rPh sb="2" eb="4">
      <t>タントウ</t>
    </rPh>
    <phoneticPr fontId="36"/>
  </si>
  <si>
    <t>改修担当</t>
    <rPh sb="0" eb="2">
      <t>カイシュウ</t>
    </rPh>
    <rPh sb="2" eb="4">
      <t>タントウ</t>
    </rPh>
    <phoneticPr fontId="36"/>
  </si>
  <si>
    <t>管理者</t>
    <rPh sb="0" eb="3">
      <t>カンリシャ</t>
    </rPh>
    <phoneticPr fontId="36"/>
  </si>
  <si>
    <t>記載要領</t>
    <rPh sb="0" eb="2">
      <t>キサイ</t>
    </rPh>
    <rPh sb="2" eb="4">
      <t>ヨウリョウ</t>
    </rPh>
    <phoneticPr fontId="36"/>
  </si>
  <si>
    <t>備考</t>
    <rPh sb="0" eb="2">
      <t>ビコウ</t>
    </rPh>
    <phoneticPr fontId="36"/>
  </si>
  <si>
    <t>○</t>
    <phoneticPr fontId="36"/>
  </si>
  <si>
    <t>○</t>
    <phoneticPr fontId="36"/>
  </si>
  <si>
    <t>-</t>
    <phoneticPr fontId="36"/>
  </si>
  <si>
    <t>-</t>
    <phoneticPr fontId="36"/>
  </si>
  <si>
    <t>不具合を検知したテストを実施した日付を入力する。</t>
    <rPh sb="0" eb="3">
      <t>フグアイ</t>
    </rPh>
    <rPh sb="4" eb="6">
      <t>ケンチ</t>
    </rPh>
    <rPh sb="12" eb="14">
      <t>ジッシ</t>
    </rPh>
    <rPh sb="16" eb="18">
      <t>ヒヅケ</t>
    </rPh>
    <rPh sb="19" eb="21">
      <t>ニュウリョク</t>
    </rPh>
    <phoneticPr fontId="36"/>
  </si>
  <si>
    <t>不具合を検知したテストを実施した担当者を入力する。</t>
    <rPh sb="0" eb="3">
      <t>フグアイ</t>
    </rPh>
    <rPh sb="4" eb="6">
      <t>ケンチ</t>
    </rPh>
    <rPh sb="12" eb="14">
      <t>ジッシ</t>
    </rPh>
    <rPh sb="16" eb="19">
      <t>タントウシャ</t>
    </rPh>
    <rPh sb="20" eb="22">
      <t>ニュウリョク</t>
    </rPh>
    <phoneticPr fontId="36"/>
  </si>
  <si>
    <t>テスト項目番号</t>
  </si>
  <si>
    <t xml:space="preserve">改修担当者が調査等で確認できるようにテスト項目を明確に記載すること。
例：SI1テスト項目の場合
画面ID_画面名
テスト項目書の番号
テストパターン表の番号（テストパターン表参照としているもの）
</t>
    <rPh sb="0" eb="2">
      <t>カイシュウ</t>
    </rPh>
    <rPh sb="2" eb="5">
      <t>タントウシャ</t>
    </rPh>
    <rPh sb="6" eb="8">
      <t>チョウサ</t>
    </rPh>
    <rPh sb="8" eb="9">
      <t>トウ</t>
    </rPh>
    <rPh sb="10" eb="12">
      <t>カクニン</t>
    </rPh>
    <rPh sb="21" eb="23">
      <t>コウモク</t>
    </rPh>
    <rPh sb="24" eb="26">
      <t>メイカク</t>
    </rPh>
    <rPh sb="27" eb="29">
      <t>キサイ</t>
    </rPh>
    <rPh sb="35" eb="36">
      <t>レイ</t>
    </rPh>
    <rPh sb="43" eb="45">
      <t>コウモク</t>
    </rPh>
    <rPh sb="46" eb="48">
      <t>バアイ</t>
    </rPh>
    <rPh sb="49" eb="51">
      <t>ガメン</t>
    </rPh>
    <rPh sb="54" eb="56">
      <t>ガメン</t>
    </rPh>
    <rPh sb="56" eb="57">
      <t>メイ</t>
    </rPh>
    <rPh sb="61" eb="63">
      <t>コウモク</t>
    </rPh>
    <rPh sb="63" eb="64">
      <t>ショ</t>
    </rPh>
    <rPh sb="65" eb="67">
      <t>バンゴウ</t>
    </rPh>
    <rPh sb="75" eb="76">
      <t>ヒョウ</t>
    </rPh>
    <rPh sb="77" eb="79">
      <t>バンゴウ</t>
    </rPh>
    <rPh sb="87" eb="88">
      <t>ヒョウ</t>
    </rPh>
    <rPh sb="88" eb="90">
      <t>サンショウ</t>
    </rPh>
    <phoneticPr fontId="36"/>
  </si>
  <si>
    <t>△</t>
    <phoneticPr fontId="36"/>
  </si>
  <si>
    <t>△</t>
    <phoneticPr fontId="36"/>
  </si>
  <si>
    <t xml:space="preserve">各状況にしたがって、下記項目から選択する。
(実)異常終了　…　テスト実施における操作でシステムエラー画面に遷移した場合
(実)テスト結果不一致　…　期待結果と異なる場合（大半はこのケース）
(非)テスト作業ミス　…　テスト手順ミス、テストデータ作成ミスがあった場合
(非)ドキュメントのみ不良　…　テスト結果として正しいが、テスト項目に誤りがあった場合
(非)既存バグ　…　（実）付分類に対して、調査した結果、既存バグと判断できた場合
---- 以下は低頻度となる想定 ----
(実)性能不良　…　単性能テストのみで使用
(実)構築ミス　…　原則、コミット漏れまたはリリース時の資材配置漏れのみ使用
※不具合発覚時は判断できない想定
(非)対外システム起因　…　原則、結合テストでは使用しない
その他(原則使用禁止)　…　品質分析が曖昧になるため、使用禁止
</t>
    <rPh sb="0" eb="1">
      <t>カク</t>
    </rPh>
    <rPh sb="1" eb="3">
      <t>ジョウキョウ</t>
    </rPh>
    <rPh sb="10" eb="12">
      <t>カキ</t>
    </rPh>
    <rPh sb="12" eb="14">
      <t>コウモク</t>
    </rPh>
    <rPh sb="16" eb="18">
      <t>センタク</t>
    </rPh>
    <rPh sb="36" eb="38">
      <t>ジッシ</t>
    </rPh>
    <rPh sb="42" eb="44">
      <t>ソウサ</t>
    </rPh>
    <rPh sb="52" eb="54">
      <t>ガメン</t>
    </rPh>
    <rPh sb="55" eb="57">
      <t>センイ</t>
    </rPh>
    <rPh sb="59" eb="61">
      <t>バアイ</t>
    </rPh>
    <rPh sb="76" eb="78">
      <t>キタイ</t>
    </rPh>
    <rPh sb="78" eb="80">
      <t>ケッカ</t>
    </rPh>
    <rPh sb="81" eb="82">
      <t>コト</t>
    </rPh>
    <rPh sb="84" eb="86">
      <t>バアイ</t>
    </rPh>
    <rPh sb="87" eb="89">
      <t>タイハン</t>
    </rPh>
    <rPh sb="226" eb="228">
      <t>イカ</t>
    </rPh>
    <rPh sb="229" eb="232">
      <t>テイヒンド</t>
    </rPh>
    <rPh sb="235" eb="237">
      <t>ソウテイ</t>
    </rPh>
    <rPh sb="253" eb="254">
      <t>タン</t>
    </rPh>
    <rPh sb="254" eb="256">
      <t>セイノウ</t>
    </rPh>
    <rPh sb="262" eb="264">
      <t>シヨウ</t>
    </rPh>
    <rPh sb="275" eb="277">
      <t>ゲンソク</t>
    </rPh>
    <rPh sb="282" eb="283">
      <t>モ</t>
    </rPh>
    <rPh sb="291" eb="292">
      <t>ジ</t>
    </rPh>
    <rPh sb="293" eb="295">
      <t>シザイ</t>
    </rPh>
    <rPh sb="295" eb="297">
      <t>ハイチ</t>
    </rPh>
    <rPh sb="297" eb="298">
      <t>モ</t>
    </rPh>
    <rPh sb="301" eb="303">
      <t>シヨウ</t>
    </rPh>
    <rPh sb="305" eb="308">
      <t>フグアイ</t>
    </rPh>
    <rPh sb="308" eb="310">
      <t>ハッカク</t>
    </rPh>
    <rPh sb="310" eb="311">
      <t>ジ</t>
    </rPh>
    <rPh sb="312" eb="314">
      <t>ハンダン</t>
    </rPh>
    <rPh sb="318" eb="320">
      <t>ソウテイ</t>
    </rPh>
    <rPh sb="335" eb="337">
      <t>ゲンソク</t>
    </rPh>
    <rPh sb="338" eb="340">
      <t>ケツゴウ</t>
    </rPh>
    <rPh sb="345" eb="347">
      <t>シヨウ</t>
    </rPh>
    <rPh sb="365" eb="367">
      <t>ヒンシツ</t>
    </rPh>
    <rPh sb="367" eb="369">
      <t>ブンセキ</t>
    </rPh>
    <rPh sb="370" eb="372">
      <t>アイマイ</t>
    </rPh>
    <rPh sb="378" eb="380">
      <t>シヨウ</t>
    </rPh>
    <rPh sb="380" eb="382">
      <t>キンシ</t>
    </rPh>
    <phoneticPr fontId="36"/>
  </si>
  <si>
    <t xml:space="preserve">下記見出しを付加して簡潔かつ明確に記載すること。
【使用データ】
不具合を検知した際に使用していたデータを一意に識別できる情報
例えば、顧客管理番号といった主キー情報など
【発生事象】
不具合として認識した事象（事実）を正確に記載する。
「～と思う」「～のようだ」「～という感じ」など、感想や推測は含めない表現とすること。
また、当欄に事象以外の「○○が原因で○○となっている」「本来○○とすべきだったが」といった記載は含めないこと。
記載例：
「○○検索の結果一覧から、該当データ情報のリンクを押下した際、システムエラー画面に遷移した」
「○○登録ボタンを押下後、登録したデータを照会したら、入力した○○欄が空白表示になっている」など
不具合分類と整合性の取れた記載を心がけること。
【期待結果】
テスト結果として、本来想定していた動き、状態などを簡潔に記載する。
例えば、「○○検索時、○○を条件に指定した結果、N件取得できる想定だった」
</t>
    <rPh sb="0" eb="2">
      <t>カキ</t>
    </rPh>
    <rPh sb="2" eb="4">
      <t>ミダ</t>
    </rPh>
    <rPh sb="6" eb="8">
      <t>フカ</t>
    </rPh>
    <rPh sb="10" eb="12">
      <t>カンケツ</t>
    </rPh>
    <rPh sb="14" eb="16">
      <t>メイカク</t>
    </rPh>
    <rPh sb="17" eb="19">
      <t>キサイ</t>
    </rPh>
    <rPh sb="27" eb="29">
      <t>シヨウ</t>
    </rPh>
    <rPh sb="34" eb="37">
      <t>フグアイ</t>
    </rPh>
    <rPh sb="38" eb="40">
      <t>ケンチ</t>
    </rPh>
    <rPh sb="42" eb="43">
      <t>サイ</t>
    </rPh>
    <rPh sb="44" eb="46">
      <t>シヨウ</t>
    </rPh>
    <rPh sb="54" eb="56">
      <t>イチイ</t>
    </rPh>
    <rPh sb="57" eb="59">
      <t>シキベツ</t>
    </rPh>
    <rPh sb="62" eb="64">
      <t>ジョウホウ</t>
    </rPh>
    <rPh sb="65" eb="66">
      <t>タト</t>
    </rPh>
    <rPh sb="69" eb="71">
      <t>コキャク</t>
    </rPh>
    <rPh sb="71" eb="73">
      <t>カンリ</t>
    </rPh>
    <rPh sb="73" eb="75">
      <t>バンゴウ</t>
    </rPh>
    <rPh sb="79" eb="80">
      <t>シュ</t>
    </rPh>
    <rPh sb="82" eb="84">
      <t>ジョウホウ</t>
    </rPh>
    <rPh sb="89" eb="91">
      <t>ハッセイ</t>
    </rPh>
    <rPh sb="91" eb="93">
      <t>ジショウ</t>
    </rPh>
    <rPh sb="95" eb="98">
      <t>フグアイ</t>
    </rPh>
    <rPh sb="101" eb="103">
      <t>ニンシキ</t>
    </rPh>
    <rPh sb="105" eb="107">
      <t>ジショウ</t>
    </rPh>
    <rPh sb="108" eb="110">
      <t>ジジツ</t>
    </rPh>
    <rPh sb="112" eb="114">
      <t>セイカク</t>
    </rPh>
    <rPh sb="115" eb="117">
      <t>キサイ</t>
    </rPh>
    <rPh sb="124" eb="125">
      <t>オモ</t>
    </rPh>
    <rPh sb="139" eb="140">
      <t>カン</t>
    </rPh>
    <rPh sb="145" eb="147">
      <t>カンソウ</t>
    </rPh>
    <rPh sb="148" eb="150">
      <t>スイソク</t>
    </rPh>
    <rPh sb="151" eb="152">
      <t>フク</t>
    </rPh>
    <rPh sb="155" eb="157">
      <t>ヒョウゲン</t>
    </rPh>
    <rPh sb="167" eb="168">
      <t>トウ</t>
    </rPh>
    <rPh sb="168" eb="169">
      <t>ラン</t>
    </rPh>
    <rPh sb="170" eb="172">
      <t>ジショウ</t>
    </rPh>
    <rPh sb="172" eb="174">
      <t>イガイ</t>
    </rPh>
    <rPh sb="179" eb="181">
      <t>ゲンイン</t>
    </rPh>
    <rPh sb="192" eb="194">
      <t>ホンライ</t>
    </rPh>
    <rPh sb="209" eb="211">
      <t>キサイ</t>
    </rPh>
    <rPh sb="212" eb="213">
      <t>フク</t>
    </rPh>
    <rPh sb="221" eb="223">
      <t>キサイ</t>
    </rPh>
    <rPh sb="223" eb="224">
      <t>レイ</t>
    </rPh>
    <rPh sb="229" eb="231">
      <t>ケンサク</t>
    </rPh>
    <rPh sb="232" eb="234">
      <t>ケッカ</t>
    </rPh>
    <rPh sb="234" eb="236">
      <t>イチラン</t>
    </rPh>
    <rPh sb="239" eb="241">
      <t>ガイトウ</t>
    </rPh>
    <rPh sb="244" eb="246">
      <t>ジョウホウ</t>
    </rPh>
    <rPh sb="251" eb="253">
      <t>オウカ</t>
    </rPh>
    <rPh sb="255" eb="256">
      <t>サイ</t>
    </rPh>
    <rPh sb="264" eb="266">
      <t>ガメン</t>
    </rPh>
    <rPh sb="267" eb="269">
      <t>センイ</t>
    </rPh>
    <rPh sb="276" eb="278">
      <t>トウロク</t>
    </rPh>
    <rPh sb="282" eb="284">
      <t>オウカ</t>
    </rPh>
    <rPh sb="284" eb="285">
      <t>ゴ</t>
    </rPh>
    <rPh sb="286" eb="288">
      <t>トウロク</t>
    </rPh>
    <rPh sb="294" eb="296">
      <t>ショウカイ</t>
    </rPh>
    <rPh sb="300" eb="302">
      <t>ニュウリョク</t>
    </rPh>
    <rPh sb="306" eb="307">
      <t>ラン</t>
    </rPh>
    <rPh sb="308" eb="310">
      <t>クウハク</t>
    </rPh>
    <rPh sb="310" eb="312">
      <t>ヒョウジ</t>
    </rPh>
    <rPh sb="322" eb="325">
      <t>フグアイ</t>
    </rPh>
    <rPh sb="325" eb="327">
      <t>ブンルイ</t>
    </rPh>
    <rPh sb="328" eb="331">
      <t>セイゴウセイ</t>
    </rPh>
    <rPh sb="332" eb="333">
      <t>ト</t>
    </rPh>
    <rPh sb="335" eb="337">
      <t>キサイ</t>
    </rPh>
    <rPh sb="338" eb="339">
      <t>ココロ</t>
    </rPh>
    <phoneticPr fontId="36"/>
  </si>
  <si>
    <t>起票時は一律「中」とする。その後の優先度判定で変更する場合がある。</t>
    <rPh sb="0" eb="2">
      <t>キヒョウ</t>
    </rPh>
    <rPh sb="2" eb="3">
      <t>ジ</t>
    </rPh>
    <rPh sb="4" eb="6">
      <t>イチリツ</t>
    </rPh>
    <rPh sb="7" eb="8">
      <t>チュウ</t>
    </rPh>
    <rPh sb="15" eb="16">
      <t>ゴ</t>
    </rPh>
    <rPh sb="17" eb="20">
      <t>ユウセンド</t>
    </rPh>
    <rPh sb="20" eb="22">
      <t>ハンテイ</t>
    </rPh>
    <rPh sb="23" eb="25">
      <t>ヘンコウ</t>
    </rPh>
    <rPh sb="27" eb="29">
      <t>バアイ</t>
    </rPh>
    <phoneticPr fontId="36"/>
  </si>
  <si>
    <t>不具合分類で（実）付項目であれば、原則修正とする。</t>
    <rPh sb="0" eb="3">
      <t>フグアイ</t>
    </rPh>
    <rPh sb="3" eb="5">
      <t>ブンルイ</t>
    </rPh>
    <rPh sb="7" eb="8">
      <t>ジツ</t>
    </rPh>
    <rPh sb="9" eb="10">
      <t>ツキ</t>
    </rPh>
    <rPh sb="10" eb="12">
      <t>コウモク</t>
    </rPh>
    <rPh sb="17" eb="19">
      <t>ゲンソク</t>
    </rPh>
    <rPh sb="19" eb="21">
      <t>シュウセイ</t>
    </rPh>
    <phoneticPr fontId="36"/>
  </si>
  <si>
    <t>起票時は一律、発見日＋３日とする。</t>
    <rPh sb="0" eb="2">
      <t>キヒョウ</t>
    </rPh>
    <rPh sb="2" eb="3">
      <t>ジ</t>
    </rPh>
    <rPh sb="4" eb="6">
      <t>イチリツ</t>
    </rPh>
    <rPh sb="7" eb="9">
      <t>ハッケン</t>
    </rPh>
    <rPh sb="9" eb="10">
      <t>ビ</t>
    </rPh>
    <rPh sb="12" eb="13">
      <t>ニチ</t>
    </rPh>
    <phoneticPr fontId="36"/>
  </si>
  <si>
    <t>ｽﾃｰﾀｽ</t>
  </si>
  <si>
    <t>関数による自動入力</t>
    <rPh sb="0" eb="2">
      <t>カンスウ</t>
    </rPh>
    <rPh sb="5" eb="7">
      <t>ジドウ</t>
    </rPh>
    <rPh sb="7" eb="9">
      <t>ニュウリョク</t>
    </rPh>
    <phoneticPr fontId="36"/>
  </si>
  <si>
    <t>改修チームMTGで分担予定だが、必要に応じて、改修担当が随時入力も可能。</t>
    <rPh sb="0" eb="2">
      <t>カイシュウ</t>
    </rPh>
    <rPh sb="9" eb="11">
      <t>ブンタン</t>
    </rPh>
    <rPh sb="11" eb="13">
      <t>ヨテイ</t>
    </rPh>
    <rPh sb="16" eb="18">
      <t>ヒツヨウ</t>
    </rPh>
    <rPh sb="19" eb="20">
      <t>オウ</t>
    </rPh>
    <rPh sb="23" eb="25">
      <t>カイシュウ</t>
    </rPh>
    <rPh sb="25" eb="27">
      <t>タントウ</t>
    </rPh>
    <rPh sb="28" eb="30">
      <t>ズイジ</t>
    </rPh>
    <rPh sb="30" eb="32">
      <t>ニュウリョク</t>
    </rPh>
    <rPh sb="33" eb="35">
      <t>カノウ</t>
    </rPh>
    <phoneticPr fontId="36"/>
  </si>
  <si>
    <t>起票時は一律、発見日＋１日とする。改修チームMTGで再検討する場合がある。</t>
    <rPh sb="0" eb="2">
      <t>キヒョウ</t>
    </rPh>
    <rPh sb="2" eb="3">
      <t>ジ</t>
    </rPh>
    <rPh sb="4" eb="6">
      <t>イチリツ</t>
    </rPh>
    <rPh sb="7" eb="9">
      <t>ハッケン</t>
    </rPh>
    <rPh sb="9" eb="10">
      <t>ビ</t>
    </rPh>
    <rPh sb="12" eb="13">
      <t>ニチ</t>
    </rPh>
    <rPh sb="26" eb="29">
      <t>サイケントウ</t>
    </rPh>
    <rPh sb="31" eb="33">
      <t>バアイ</t>
    </rPh>
    <phoneticPr fontId="36"/>
  </si>
  <si>
    <t>調査を担当した改修担当が入力する。</t>
    <rPh sb="0" eb="2">
      <t>チョウサ</t>
    </rPh>
    <rPh sb="3" eb="5">
      <t>タントウ</t>
    </rPh>
    <rPh sb="7" eb="9">
      <t>カイシュウ</t>
    </rPh>
    <rPh sb="9" eb="11">
      <t>タントウ</t>
    </rPh>
    <rPh sb="12" eb="14">
      <t>ニュウリョク</t>
    </rPh>
    <phoneticPr fontId="36"/>
  </si>
  <si>
    <t>改修担当が調査結果に基づき、原因工程を選択する。
必要に応じて、管理者が評価し変更する場合がある。</t>
    <rPh sb="0" eb="2">
      <t>カイシュウ</t>
    </rPh>
    <rPh sb="2" eb="4">
      <t>タントウ</t>
    </rPh>
    <rPh sb="5" eb="7">
      <t>チョウサ</t>
    </rPh>
    <rPh sb="7" eb="9">
      <t>ケッカ</t>
    </rPh>
    <rPh sb="10" eb="11">
      <t>モト</t>
    </rPh>
    <rPh sb="14" eb="16">
      <t>ゲンイン</t>
    </rPh>
    <rPh sb="16" eb="18">
      <t>コウテイ</t>
    </rPh>
    <rPh sb="19" eb="21">
      <t>センタク</t>
    </rPh>
    <rPh sb="25" eb="27">
      <t>ヒツヨウ</t>
    </rPh>
    <rPh sb="28" eb="29">
      <t>オウ</t>
    </rPh>
    <rPh sb="32" eb="35">
      <t>カンリシャ</t>
    </rPh>
    <rPh sb="36" eb="38">
      <t>ヒョウカ</t>
    </rPh>
    <rPh sb="39" eb="41">
      <t>ヘンコウ</t>
    </rPh>
    <rPh sb="43" eb="45">
      <t>バアイ</t>
    </rPh>
    <phoneticPr fontId="36"/>
  </si>
  <si>
    <t>改修担当が調査結果に基づき、原因分類を選択する。
必要に応じて、管理者が評価し変更する場合がある。</t>
    <rPh sb="0" eb="2">
      <t>カイシュウ</t>
    </rPh>
    <rPh sb="2" eb="4">
      <t>タントウ</t>
    </rPh>
    <rPh sb="5" eb="7">
      <t>チョウサ</t>
    </rPh>
    <rPh sb="7" eb="9">
      <t>ケッカ</t>
    </rPh>
    <rPh sb="10" eb="11">
      <t>モト</t>
    </rPh>
    <rPh sb="14" eb="16">
      <t>ゲンイン</t>
    </rPh>
    <rPh sb="16" eb="18">
      <t>ブンルイ</t>
    </rPh>
    <rPh sb="19" eb="21">
      <t>センタク</t>
    </rPh>
    <rPh sb="25" eb="27">
      <t>ヒツヨウ</t>
    </rPh>
    <rPh sb="28" eb="29">
      <t>オウ</t>
    </rPh>
    <rPh sb="32" eb="35">
      <t>カンリシャ</t>
    </rPh>
    <rPh sb="36" eb="38">
      <t>ヒョウカ</t>
    </rPh>
    <rPh sb="39" eb="41">
      <t>ヘンコウ</t>
    </rPh>
    <rPh sb="43" eb="45">
      <t>バアイ</t>
    </rPh>
    <phoneticPr fontId="36"/>
  </si>
  <si>
    <t xml:space="preserve">下記見出しを付加して簡潔かつ明確に記載すること。
【直接原因】
不具合箇所の詳細を記載する。併せて、正しい仕様としての動きを記載する。
記載例：
「本来、○○画面で契約を更新した場合、■■区分を○○で更新しなければいけないところ、誤った更新区分××で更新していたため」
（ソースコードのレベルで記載するのではなく、仕様としての不具合原因を記載する）
【作り込み原因】　※改修担当が悩みそうであれば、管理者と共有・分析すること
選択した原因工程および原因分類の根拠を記載する。
なお、結合テストにおいては、基本設計／詳細設計／プログラミング（処理／機能／業務結合観点）が主な原因工程となる想定。
記載例：　※原因工程が詳細設計と仮定
「個人顧客詳細からGAIA契約詳細へ遷移する際に必要なパラメータをそれぞれの設計書で整合性が取れていなかったため、両画面で異なるパラメータを想定した実装になっていた」
など
</t>
    <rPh sb="0" eb="2">
      <t>カキ</t>
    </rPh>
    <rPh sb="2" eb="4">
      <t>ミダ</t>
    </rPh>
    <rPh sb="6" eb="8">
      <t>フカ</t>
    </rPh>
    <rPh sb="10" eb="12">
      <t>カンケツ</t>
    </rPh>
    <rPh sb="14" eb="16">
      <t>メイカク</t>
    </rPh>
    <rPh sb="17" eb="19">
      <t>キサイ</t>
    </rPh>
    <rPh sb="27" eb="29">
      <t>チョクセツ</t>
    </rPh>
    <rPh sb="29" eb="31">
      <t>ゲンイン</t>
    </rPh>
    <rPh sb="33" eb="36">
      <t>フグアイ</t>
    </rPh>
    <rPh sb="36" eb="38">
      <t>カショ</t>
    </rPh>
    <rPh sb="39" eb="41">
      <t>ショウサイ</t>
    </rPh>
    <rPh sb="42" eb="44">
      <t>キサイ</t>
    </rPh>
    <rPh sb="47" eb="48">
      <t>アワ</t>
    </rPh>
    <rPh sb="51" eb="52">
      <t>タダ</t>
    </rPh>
    <rPh sb="54" eb="56">
      <t>シヨウ</t>
    </rPh>
    <rPh sb="60" eb="61">
      <t>ウゴ</t>
    </rPh>
    <rPh sb="63" eb="65">
      <t>キサイ</t>
    </rPh>
    <rPh sb="69" eb="71">
      <t>キサイ</t>
    </rPh>
    <rPh sb="71" eb="72">
      <t>レイ</t>
    </rPh>
    <rPh sb="75" eb="77">
      <t>ホンライ</t>
    </rPh>
    <rPh sb="80" eb="82">
      <t>ガメン</t>
    </rPh>
    <rPh sb="83" eb="85">
      <t>ケイヤク</t>
    </rPh>
    <rPh sb="86" eb="88">
      <t>コウシン</t>
    </rPh>
    <rPh sb="90" eb="92">
      <t>バアイ</t>
    </rPh>
    <rPh sb="95" eb="97">
      <t>クブン</t>
    </rPh>
    <rPh sb="101" eb="103">
      <t>コウシン</t>
    </rPh>
    <rPh sb="116" eb="117">
      <t>アヤマ</t>
    </rPh>
    <rPh sb="119" eb="121">
      <t>コウシン</t>
    </rPh>
    <rPh sb="121" eb="123">
      <t>クブン</t>
    </rPh>
    <rPh sb="126" eb="128">
      <t>コウシン</t>
    </rPh>
    <rPh sb="148" eb="150">
      <t>キサイ</t>
    </rPh>
    <rPh sb="158" eb="160">
      <t>シヨウ</t>
    </rPh>
    <rPh sb="164" eb="167">
      <t>フグアイ</t>
    </rPh>
    <rPh sb="167" eb="169">
      <t>ゲンイン</t>
    </rPh>
    <rPh sb="170" eb="172">
      <t>キサイ</t>
    </rPh>
    <rPh sb="187" eb="189">
      <t>カイシュウ</t>
    </rPh>
    <rPh sb="189" eb="191">
      <t>タントウ</t>
    </rPh>
    <rPh sb="192" eb="193">
      <t>ナヤ</t>
    </rPh>
    <rPh sb="201" eb="204">
      <t>カンリシャ</t>
    </rPh>
    <rPh sb="205" eb="207">
      <t>キョウユウ</t>
    </rPh>
    <rPh sb="208" eb="210">
      <t>ブンセキ</t>
    </rPh>
    <rPh sb="215" eb="217">
      <t>センタク</t>
    </rPh>
    <rPh sb="219" eb="221">
      <t>ゲンイン</t>
    </rPh>
    <rPh sb="221" eb="223">
      <t>コウテイ</t>
    </rPh>
    <rPh sb="226" eb="228">
      <t>ゲンイン</t>
    </rPh>
    <rPh sb="228" eb="230">
      <t>ブンルイ</t>
    </rPh>
    <rPh sb="231" eb="233">
      <t>コンキョ</t>
    </rPh>
    <rPh sb="234" eb="236">
      <t>キサイ</t>
    </rPh>
    <rPh sb="243" eb="245">
      <t>ケツゴウ</t>
    </rPh>
    <rPh sb="254" eb="256">
      <t>キホン</t>
    </rPh>
    <rPh sb="256" eb="258">
      <t>セッケイ</t>
    </rPh>
    <rPh sb="259" eb="261">
      <t>ショウサイ</t>
    </rPh>
    <rPh sb="261" eb="263">
      <t>セッケイ</t>
    </rPh>
    <rPh sb="272" eb="274">
      <t>ショリ</t>
    </rPh>
    <rPh sb="275" eb="277">
      <t>キノウ</t>
    </rPh>
    <rPh sb="278" eb="280">
      <t>ギョウム</t>
    </rPh>
    <rPh sb="280" eb="282">
      <t>ケツゴウ</t>
    </rPh>
    <rPh sb="282" eb="284">
      <t>カンテン</t>
    </rPh>
    <rPh sb="286" eb="287">
      <t>オモ</t>
    </rPh>
    <rPh sb="288" eb="290">
      <t>ゲンイン</t>
    </rPh>
    <rPh sb="290" eb="292">
      <t>コウテイ</t>
    </rPh>
    <rPh sb="295" eb="297">
      <t>ソウテイ</t>
    </rPh>
    <rPh sb="299" eb="301">
      <t>キサイ</t>
    </rPh>
    <rPh sb="301" eb="302">
      <t>レイ</t>
    </rPh>
    <rPh sb="305" eb="307">
      <t>ゲンイン</t>
    </rPh>
    <rPh sb="307" eb="309">
      <t>コウテイ</t>
    </rPh>
    <rPh sb="310" eb="312">
      <t>ショウサイ</t>
    </rPh>
    <rPh sb="312" eb="314">
      <t>セッケイ</t>
    </rPh>
    <rPh sb="315" eb="317">
      <t>カテイ</t>
    </rPh>
    <rPh sb="319" eb="321">
      <t>コジン</t>
    </rPh>
    <rPh sb="321" eb="323">
      <t>コキャク</t>
    </rPh>
    <rPh sb="323" eb="325">
      <t>ショウサイ</t>
    </rPh>
    <rPh sb="331" eb="333">
      <t>ケイヤク</t>
    </rPh>
    <rPh sb="333" eb="335">
      <t>ショウサイ</t>
    </rPh>
    <rPh sb="336" eb="338">
      <t>センイ</t>
    </rPh>
    <rPh sb="340" eb="341">
      <t>サイ</t>
    </rPh>
    <rPh sb="342" eb="344">
      <t>ヒツヨウ</t>
    </rPh>
    <rPh sb="356" eb="358">
      <t>セッケイ</t>
    </rPh>
    <rPh sb="358" eb="359">
      <t>ショ</t>
    </rPh>
    <rPh sb="360" eb="363">
      <t>セイゴウセイ</t>
    </rPh>
    <rPh sb="364" eb="365">
      <t>ト</t>
    </rPh>
    <rPh sb="375" eb="376">
      <t>リョウ</t>
    </rPh>
    <rPh sb="376" eb="378">
      <t>ガメン</t>
    </rPh>
    <rPh sb="379" eb="380">
      <t>コト</t>
    </rPh>
    <rPh sb="388" eb="390">
      <t>ソウテイ</t>
    </rPh>
    <rPh sb="392" eb="394">
      <t>ジッソウ</t>
    </rPh>
    <phoneticPr fontId="36"/>
  </si>
  <si>
    <t>起票時は一律、発見日＋２日とする。改修チームMTGで再検討する場合がある。</t>
    <rPh sb="0" eb="2">
      <t>キヒョウ</t>
    </rPh>
    <rPh sb="2" eb="3">
      <t>ジ</t>
    </rPh>
    <rPh sb="4" eb="6">
      <t>イチリツ</t>
    </rPh>
    <rPh sb="7" eb="9">
      <t>ハッケン</t>
    </rPh>
    <rPh sb="9" eb="10">
      <t>ビ</t>
    </rPh>
    <rPh sb="12" eb="13">
      <t>ニチ</t>
    </rPh>
    <phoneticPr fontId="36"/>
  </si>
  <si>
    <t>修正を担当した改修担当が入力する。</t>
    <rPh sb="0" eb="2">
      <t>シュウセイ</t>
    </rPh>
    <rPh sb="3" eb="5">
      <t>タントウ</t>
    </rPh>
    <rPh sb="7" eb="9">
      <t>カイシュウ</t>
    </rPh>
    <rPh sb="9" eb="11">
      <t>タントウ</t>
    </rPh>
    <rPh sb="12" eb="14">
      <t>ニュウリョク</t>
    </rPh>
    <phoneticPr fontId="36"/>
  </si>
  <si>
    <t xml:space="preserve">修正を担当した改修担当が入力する。修正内容と整合性が取れるよう記載すること。
リビジョン管理表へ転記できるよう抜け漏れなく記載すること。
【修正プログラム】
【修正ドキュメント】
【横展開プログラム】
【横展開ドキュメント】
</t>
    <rPh sb="0" eb="2">
      <t>シュウセイ</t>
    </rPh>
    <rPh sb="3" eb="5">
      <t>タントウ</t>
    </rPh>
    <rPh sb="7" eb="9">
      <t>カイシュウ</t>
    </rPh>
    <rPh sb="9" eb="11">
      <t>タントウ</t>
    </rPh>
    <rPh sb="12" eb="14">
      <t>ニュウリョク</t>
    </rPh>
    <rPh sb="17" eb="19">
      <t>シュウセイ</t>
    </rPh>
    <rPh sb="19" eb="21">
      <t>ナイヨウ</t>
    </rPh>
    <rPh sb="22" eb="25">
      <t>セイゴウセイ</t>
    </rPh>
    <rPh sb="26" eb="27">
      <t>ト</t>
    </rPh>
    <rPh sb="31" eb="33">
      <t>キサイ</t>
    </rPh>
    <rPh sb="44" eb="46">
      <t>カンリ</t>
    </rPh>
    <rPh sb="46" eb="47">
      <t>ヒョウ</t>
    </rPh>
    <rPh sb="48" eb="50">
      <t>テンキ</t>
    </rPh>
    <rPh sb="55" eb="56">
      <t>ヌ</t>
    </rPh>
    <rPh sb="57" eb="58">
      <t>モ</t>
    </rPh>
    <rPh sb="61" eb="63">
      <t>キサイ</t>
    </rPh>
    <rPh sb="70" eb="72">
      <t>シュウセイ</t>
    </rPh>
    <rPh sb="80" eb="82">
      <t>シュウセイ</t>
    </rPh>
    <rPh sb="91" eb="92">
      <t>ヨコ</t>
    </rPh>
    <rPh sb="92" eb="94">
      <t>テンカイ</t>
    </rPh>
    <rPh sb="102" eb="103">
      <t>ヨコ</t>
    </rPh>
    <rPh sb="103" eb="105">
      <t>テンカイ</t>
    </rPh>
    <phoneticPr fontId="36"/>
  </si>
  <si>
    <t xml:space="preserve">下記見出しを付加して簡潔かつ明確に記載すること。
【修正内容】
ソースコードの改修内容について記載すること。
【横展開】　※改修担当が悩みそうであれば、管理者と共有・分析すること
横展開確認の結果、および、横展開が必要な場合、対象となる処理を列挙する。
【移行確認要否】
移行側に影響があるか改修内容から判断する。
基本的に、管理者が改修内容を見て判断する。
</t>
    <rPh sb="0" eb="2">
      <t>カキ</t>
    </rPh>
    <rPh sb="2" eb="4">
      <t>ミダ</t>
    </rPh>
    <rPh sb="6" eb="8">
      <t>フカ</t>
    </rPh>
    <rPh sb="10" eb="12">
      <t>カンケツ</t>
    </rPh>
    <rPh sb="14" eb="16">
      <t>メイカク</t>
    </rPh>
    <rPh sb="17" eb="19">
      <t>キサイ</t>
    </rPh>
    <rPh sb="27" eb="29">
      <t>シュウセイ</t>
    </rPh>
    <rPh sb="29" eb="31">
      <t>ナイヨウ</t>
    </rPh>
    <rPh sb="40" eb="42">
      <t>カイシュウ</t>
    </rPh>
    <rPh sb="42" eb="44">
      <t>ナイヨウ</t>
    </rPh>
    <rPh sb="48" eb="50">
      <t>キサイ</t>
    </rPh>
    <rPh sb="58" eb="59">
      <t>ヨコ</t>
    </rPh>
    <rPh sb="59" eb="61">
      <t>テンカイ</t>
    </rPh>
    <rPh sb="64" eb="66">
      <t>カイシュウ</t>
    </rPh>
    <rPh sb="66" eb="68">
      <t>タントウ</t>
    </rPh>
    <rPh sb="69" eb="70">
      <t>ナヤ</t>
    </rPh>
    <rPh sb="78" eb="81">
      <t>カンリシャ</t>
    </rPh>
    <rPh sb="82" eb="84">
      <t>キョウユウ</t>
    </rPh>
    <rPh sb="85" eb="87">
      <t>ブンセキ</t>
    </rPh>
    <rPh sb="92" eb="93">
      <t>ヨコ</t>
    </rPh>
    <rPh sb="93" eb="95">
      <t>テンカイ</t>
    </rPh>
    <rPh sb="95" eb="97">
      <t>カクニン</t>
    </rPh>
    <rPh sb="98" eb="100">
      <t>ケッカ</t>
    </rPh>
    <rPh sb="105" eb="106">
      <t>ヨコ</t>
    </rPh>
    <rPh sb="106" eb="108">
      <t>テンカイ</t>
    </rPh>
    <rPh sb="109" eb="111">
      <t>ヒツヨウ</t>
    </rPh>
    <rPh sb="112" eb="114">
      <t>バアイ</t>
    </rPh>
    <rPh sb="115" eb="117">
      <t>タイショウ</t>
    </rPh>
    <rPh sb="120" eb="122">
      <t>ショリ</t>
    </rPh>
    <rPh sb="123" eb="125">
      <t>レッキョ</t>
    </rPh>
    <rPh sb="131" eb="133">
      <t>イコウ</t>
    </rPh>
    <rPh sb="133" eb="135">
      <t>カクニン</t>
    </rPh>
    <rPh sb="135" eb="137">
      <t>ヨウヒ</t>
    </rPh>
    <rPh sb="139" eb="141">
      <t>イコウ</t>
    </rPh>
    <rPh sb="141" eb="142">
      <t>ガワ</t>
    </rPh>
    <rPh sb="143" eb="145">
      <t>エイキョウ</t>
    </rPh>
    <rPh sb="149" eb="151">
      <t>カイシュウ</t>
    </rPh>
    <rPh sb="151" eb="153">
      <t>ナイヨウ</t>
    </rPh>
    <rPh sb="155" eb="157">
      <t>ハンダン</t>
    </rPh>
    <rPh sb="161" eb="164">
      <t>キホンテキ</t>
    </rPh>
    <rPh sb="166" eb="169">
      <t>カンリシャ</t>
    </rPh>
    <rPh sb="170" eb="172">
      <t>カイシュウ</t>
    </rPh>
    <rPh sb="172" eb="174">
      <t>ナイヨウ</t>
    </rPh>
    <rPh sb="175" eb="176">
      <t>ミ</t>
    </rPh>
    <rPh sb="177" eb="179">
      <t>ハンダン</t>
    </rPh>
    <phoneticPr fontId="36"/>
  </si>
  <si>
    <t>起票時は起票者氏名を記載する。必要に応じて、管理者が担当変更する場合がある。</t>
    <rPh sb="0" eb="2">
      <t>キヒョウ</t>
    </rPh>
    <rPh sb="2" eb="3">
      <t>ジ</t>
    </rPh>
    <rPh sb="4" eb="6">
      <t>キヒョウ</t>
    </rPh>
    <rPh sb="6" eb="7">
      <t>シャ</t>
    </rPh>
    <rPh sb="7" eb="9">
      <t>シメイ</t>
    </rPh>
    <rPh sb="10" eb="12">
      <t>キサイ</t>
    </rPh>
    <rPh sb="15" eb="17">
      <t>ヒツヨウ</t>
    </rPh>
    <rPh sb="18" eb="19">
      <t>オウ</t>
    </rPh>
    <rPh sb="22" eb="25">
      <t>カンリシャ</t>
    </rPh>
    <rPh sb="26" eb="28">
      <t>タントウ</t>
    </rPh>
    <rPh sb="28" eb="30">
      <t>ヘンコウ</t>
    </rPh>
    <rPh sb="32" eb="34">
      <t>バアイ</t>
    </rPh>
    <phoneticPr fontId="36"/>
  </si>
  <si>
    <t>起票時は一律、発見日＋４日とする。改修チームMTGで再検討する場合がある。</t>
    <rPh sb="0" eb="2">
      <t>キヒョウ</t>
    </rPh>
    <rPh sb="2" eb="3">
      <t>ジ</t>
    </rPh>
    <rPh sb="4" eb="6">
      <t>イチリツ</t>
    </rPh>
    <rPh sb="7" eb="9">
      <t>ハッケン</t>
    </rPh>
    <rPh sb="9" eb="10">
      <t>ビ</t>
    </rPh>
    <rPh sb="12" eb="13">
      <t>ニチ</t>
    </rPh>
    <phoneticPr fontId="36"/>
  </si>
  <si>
    <t>-</t>
  </si>
  <si>
    <t>検証を担当したテスト実施者が記入する。</t>
    <rPh sb="0" eb="2">
      <t>ケンショウ</t>
    </rPh>
    <rPh sb="3" eb="5">
      <t>タントウ</t>
    </rPh>
    <rPh sb="10" eb="12">
      <t>ジッシ</t>
    </rPh>
    <rPh sb="12" eb="13">
      <t>シャ</t>
    </rPh>
    <rPh sb="14" eb="16">
      <t>キニュウ</t>
    </rPh>
    <phoneticPr fontId="36"/>
  </si>
  <si>
    <t>■移行影響確認に関する不具合管理表の記載ルール（奈良様メール）</t>
    <rPh sb="1" eb="3">
      <t>イコウ</t>
    </rPh>
    <rPh sb="3" eb="5">
      <t>エイキョウ</t>
    </rPh>
    <rPh sb="5" eb="7">
      <t>カクニン</t>
    </rPh>
    <rPh sb="8" eb="9">
      <t>カン</t>
    </rPh>
    <rPh sb="11" eb="14">
      <t>フグアイ</t>
    </rPh>
    <rPh sb="14" eb="16">
      <t>カンリ</t>
    </rPh>
    <rPh sb="16" eb="17">
      <t>ヒョウ</t>
    </rPh>
    <rPh sb="18" eb="20">
      <t>キサイ</t>
    </rPh>
    <rPh sb="24" eb="26">
      <t>ナラ</t>
    </rPh>
    <rPh sb="26" eb="27">
      <t>サマ</t>
    </rPh>
    <phoneticPr fontId="36"/>
  </si>
  <si>
    <t>お疲れ様です。</t>
  </si>
  <si>
    <t>奈良です。</t>
  </si>
  <si>
    <t>本日の内部進捗であった、</t>
  </si>
  <si>
    <t>業務から移行へ確認が必要な不具合の連携手段について、</t>
  </si>
  <si>
    <t>以下の通りのルールを設定しようと思います。</t>
  </si>
  <si>
    <t>●設定</t>
  </si>
  <si>
    <t>　業務チームは修正内容列(AA列)に【☆移行要確認】を記入する</t>
  </si>
  <si>
    <t>　移行チームは確認したら☆⇒★に修正する</t>
  </si>
  <si>
    <t>●対象</t>
  </si>
  <si>
    <t>　移行に影響のある不具合を発見した場合、上記設定を行う。</t>
  </si>
  <si>
    <t>　例：</t>
  </si>
  <si>
    <t>　　テーブル変更</t>
  </si>
  <si>
    <t>　　画面項目の増減・変更</t>
  </si>
  <si>
    <t>　　画面項目のチェック処理の増減・変更　など</t>
  </si>
  <si>
    <t>　移行チームはお客様に「移行データはこう設定してください」</t>
  </si>
  <si>
    <t>　という依頼をしています。</t>
  </si>
  <si>
    <t>　それに変更が発生するケースは全てが対象となります。</t>
  </si>
  <si>
    <t>　各チーム、特に不具合管理表をチェックするリーダー層は強く意識するようにお願いします。</t>
  </si>
  <si>
    <t>　各チームの誰が上記☆を記入するかはお任せします（できればリーダー記入が望ましい）</t>
  </si>
  <si>
    <t>数字のみ入力すれば表示形式設定でST-NNNNとなる</t>
    <rPh sb="0" eb="2">
      <t>スウジ</t>
    </rPh>
    <rPh sb="4" eb="6">
      <t>ニュウリョク</t>
    </rPh>
    <rPh sb="9" eb="11">
      <t>ヒョウジ</t>
    </rPh>
    <rPh sb="11" eb="13">
      <t>ケイシキ</t>
    </rPh>
    <rPh sb="13" eb="15">
      <t>セッテイ</t>
    </rPh>
    <phoneticPr fontId="36"/>
  </si>
  <si>
    <t>マスタデータミス</t>
  </si>
  <si>
    <t>APバグ</t>
  </si>
  <si>
    <t>作業ミス</t>
  </si>
  <si>
    <t>作業ミス（実）</t>
  </si>
  <si>
    <t>環境バグ</t>
  </si>
  <si>
    <t>非バグ（試験者勘違い）</t>
  </si>
  <si>
    <t>合計</t>
    <rPh sb="0" eb="2">
      <t>ゴウケイ</t>
    </rPh>
    <phoneticPr fontId="4"/>
  </si>
  <si>
    <t/>
  </si>
  <si>
    <t>非バグ（単性能NG）</t>
    <rPh sb="4" eb="7">
      <t>タンセイノウ</t>
    </rPh>
    <phoneticPr fontId="4"/>
  </si>
  <si>
    <t>非バグ（現行）</t>
    <rPh sb="0" eb="1">
      <t>ヒ</t>
    </rPh>
    <rPh sb="4" eb="6">
      <t>ゲンコウ</t>
    </rPh>
    <phoneticPr fontId="4"/>
  </si>
  <si>
    <t>非バグ（仕様）</t>
    <rPh sb="0" eb="1">
      <t>ヒ</t>
    </rPh>
    <rPh sb="4" eb="6">
      <t>シヨウ</t>
    </rPh>
    <phoneticPr fontId="4"/>
  </si>
  <si>
    <t>テスト項目抽出のもれ・誤り</t>
    <phoneticPr fontId="55"/>
  </si>
  <si>
    <t>業務理解不足</t>
    <phoneticPr fontId="55"/>
  </si>
  <si>
    <t>標準違反</t>
    <rPh sb="0" eb="2">
      <t>ヒョウジュン</t>
    </rPh>
    <rPh sb="2" eb="4">
      <t>イハン</t>
    </rPh>
    <phoneticPr fontId="55"/>
  </si>
  <si>
    <t>テスト実施のもれ・誤り</t>
    <phoneticPr fontId="55"/>
  </si>
  <si>
    <t>コミュニケーション不足</t>
    <phoneticPr fontId="55"/>
  </si>
  <si>
    <t>スキル不足(言語)</t>
    <rPh sb="3" eb="5">
      <t>ブソク</t>
    </rPh>
    <rPh sb="6" eb="8">
      <t>ゲンゴ</t>
    </rPh>
    <phoneticPr fontId="55"/>
  </si>
  <si>
    <t>結果確認ミス</t>
    <phoneticPr fontId="55"/>
  </si>
  <si>
    <t>要件の確認不足</t>
    <phoneticPr fontId="55"/>
  </si>
  <si>
    <t>スキル不足(業務知識)</t>
    <rPh sb="3" eb="5">
      <t>ブソク</t>
    </rPh>
    <rPh sb="6" eb="8">
      <t>ギョウム</t>
    </rPh>
    <rPh sb="8" eb="10">
      <t>チシキ</t>
    </rPh>
    <phoneticPr fontId="55"/>
  </si>
  <si>
    <t>環境都合によるテスト実施の先送り</t>
    <phoneticPr fontId="55"/>
  </si>
  <si>
    <t>設計の確認不足</t>
    <phoneticPr fontId="55"/>
  </si>
  <si>
    <t>スキル不足(製品)</t>
    <rPh sb="3" eb="5">
      <t>ブソク</t>
    </rPh>
    <rPh sb="6" eb="8">
      <t>セイヒン</t>
    </rPh>
    <phoneticPr fontId="55"/>
  </si>
  <si>
    <t>実現方式の検討不足</t>
  </si>
  <si>
    <t>表現上の配慮不足</t>
    <phoneticPr fontId="55"/>
  </si>
  <si>
    <t>修正ミス</t>
    <phoneticPr fontId="55"/>
  </si>
  <si>
    <t>その他</t>
    <phoneticPr fontId="55"/>
  </si>
  <si>
    <t>■wise更改追加</t>
    <rPh sb="5" eb="7">
      <t>コウカイ</t>
    </rPh>
    <rPh sb="7" eb="9">
      <t>ツイカ</t>
    </rPh>
    <phoneticPr fontId="4"/>
  </si>
  <si>
    <t>設計書修正の場合の原因</t>
    <rPh sb="0" eb="3">
      <t>セッケイショ</t>
    </rPh>
    <rPh sb="3" eb="5">
      <t>シュウセイ</t>
    </rPh>
    <rPh sb="6" eb="8">
      <t>バアイ</t>
    </rPh>
    <rPh sb="9" eb="11">
      <t>ゲンイン</t>
    </rPh>
    <phoneticPr fontId="55"/>
  </si>
  <si>
    <t>PG修正の場合の原因</t>
    <rPh sb="2" eb="4">
      <t>シュウセイ</t>
    </rPh>
    <rPh sb="5" eb="7">
      <t>バアイ</t>
    </rPh>
    <rPh sb="8" eb="10">
      <t>ゲンイン</t>
    </rPh>
    <phoneticPr fontId="55"/>
  </si>
  <si>
    <t>前工程のテストで発見すべきであった場合、摘出できなかった要因</t>
    <rPh sb="0" eb="1">
      <t>マエ</t>
    </rPh>
    <rPh sb="1" eb="3">
      <t>コウテイ</t>
    </rPh>
    <rPh sb="8" eb="10">
      <t>ハッケン</t>
    </rPh>
    <phoneticPr fontId="55"/>
  </si>
  <si>
    <t>要件定義漏れ</t>
    <rPh sb="0" eb="2">
      <t>ヨウケン</t>
    </rPh>
    <rPh sb="2" eb="4">
      <t>テイギ</t>
    </rPh>
    <rPh sb="4" eb="5">
      <t>モ</t>
    </rPh>
    <phoneticPr fontId="2"/>
  </si>
  <si>
    <t>要件定義と基本設計との不整合</t>
    <rPh sb="0" eb="2">
      <t>ヨウケン</t>
    </rPh>
    <rPh sb="2" eb="4">
      <t>テイギ</t>
    </rPh>
    <rPh sb="5" eb="7">
      <t>キホン</t>
    </rPh>
    <rPh sb="7" eb="9">
      <t>セッケイ</t>
    </rPh>
    <rPh sb="11" eb="14">
      <t>フセイゴウ</t>
    </rPh>
    <phoneticPr fontId="2"/>
  </si>
  <si>
    <t>基本設計と詳細設計との不整合</t>
    <rPh sb="0" eb="2">
      <t>キホン</t>
    </rPh>
    <rPh sb="2" eb="4">
      <t>セッケイ</t>
    </rPh>
    <rPh sb="5" eb="7">
      <t>ショウサイ</t>
    </rPh>
    <rPh sb="7" eb="9">
      <t>セッケイ</t>
    </rPh>
    <rPh sb="11" eb="14">
      <t>フセイゴウ</t>
    </rPh>
    <phoneticPr fontId="2"/>
  </si>
  <si>
    <t>テストケース誤り</t>
    <rPh sb="6" eb="7">
      <t>アヤマ</t>
    </rPh>
    <phoneticPr fontId="2"/>
  </si>
  <si>
    <t>ハードウェアの不良</t>
    <rPh sb="7" eb="9">
      <t>フリョウ</t>
    </rPh>
    <phoneticPr fontId="2"/>
  </si>
  <si>
    <t>その他(原則使用禁止)</t>
    <rPh sb="2" eb="3">
      <t>タ</t>
    </rPh>
    <rPh sb="4" eb="6">
      <t>ゲンソク</t>
    </rPh>
    <rPh sb="6" eb="8">
      <t>シヨウ</t>
    </rPh>
    <rPh sb="8" eb="10">
      <t>キンシ</t>
    </rPh>
    <phoneticPr fontId="2"/>
  </si>
  <si>
    <t>要件定義記述誤り</t>
    <rPh sb="0" eb="2">
      <t>ヨウケン</t>
    </rPh>
    <rPh sb="2" eb="4">
      <t>テイギ</t>
    </rPh>
    <rPh sb="4" eb="6">
      <t>キジュツ</t>
    </rPh>
    <rPh sb="6" eb="7">
      <t>アヤマ</t>
    </rPh>
    <phoneticPr fontId="2"/>
  </si>
  <si>
    <t>基本設計漏れ(記述なし)</t>
    <rPh sb="0" eb="2">
      <t>キホン</t>
    </rPh>
    <rPh sb="2" eb="4">
      <t>セッケイ</t>
    </rPh>
    <rPh sb="4" eb="5">
      <t>モ</t>
    </rPh>
    <rPh sb="7" eb="9">
      <t>キジュツ</t>
    </rPh>
    <phoneticPr fontId="2"/>
  </si>
  <si>
    <t>詳細設計漏れ(記述なし)</t>
    <rPh sb="0" eb="2">
      <t>ショウサイ</t>
    </rPh>
    <rPh sb="2" eb="4">
      <t>セッケイ</t>
    </rPh>
    <rPh sb="4" eb="5">
      <t>モ</t>
    </rPh>
    <rPh sb="7" eb="9">
      <t>キジュツ</t>
    </rPh>
    <phoneticPr fontId="2"/>
  </si>
  <si>
    <t>テストツール不良</t>
    <rPh sb="6" eb="8">
      <t>フリョウ</t>
    </rPh>
    <phoneticPr fontId="2"/>
  </si>
  <si>
    <t>ミドルウェアの不良</t>
    <rPh sb="7" eb="9">
      <t>フリョウ</t>
    </rPh>
    <phoneticPr fontId="2"/>
  </si>
  <si>
    <t>基本設計誤り</t>
    <rPh sb="0" eb="2">
      <t>キホン</t>
    </rPh>
    <rPh sb="2" eb="4">
      <t>セッケイ</t>
    </rPh>
    <rPh sb="4" eb="5">
      <t>アヤマ</t>
    </rPh>
    <phoneticPr fontId="2"/>
  </si>
  <si>
    <t>詳細設計誤り</t>
    <rPh sb="0" eb="2">
      <t>ショウサイ</t>
    </rPh>
    <rPh sb="2" eb="4">
      <t>セッケイ</t>
    </rPh>
    <rPh sb="4" eb="5">
      <t>アヤマ</t>
    </rPh>
    <phoneticPr fontId="2"/>
  </si>
  <si>
    <t>テストデータ不良</t>
    <rPh sb="6" eb="8">
      <t>フリョウ</t>
    </rPh>
    <phoneticPr fontId="2"/>
  </si>
  <si>
    <t>OSの不良</t>
    <rPh sb="3" eb="5">
      <t>フリョウ</t>
    </rPh>
    <phoneticPr fontId="2"/>
  </si>
  <si>
    <t>基本設計記述不良(曖昧)</t>
    <rPh sb="0" eb="2">
      <t>キホン</t>
    </rPh>
    <rPh sb="2" eb="4">
      <t>セッケイ</t>
    </rPh>
    <rPh sb="4" eb="6">
      <t>キジュツ</t>
    </rPh>
    <rPh sb="6" eb="8">
      <t>フリョウ</t>
    </rPh>
    <rPh sb="9" eb="11">
      <t>アイマイ</t>
    </rPh>
    <phoneticPr fontId="2"/>
  </si>
  <si>
    <t>詳細設計記述不良(曖昧)</t>
    <rPh sb="0" eb="2">
      <t>ショウサイ</t>
    </rPh>
    <rPh sb="2" eb="4">
      <t>セッケイ</t>
    </rPh>
    <rPh sb="4" eb="6">
      <t>キジュツ</t>
    </rPh>
    <rPh sb="6" eb="8">
      <t>フリョウ</t>
    </rPh>
    <rPh sb="9" eb="11">
      <t>アイマイ</t>
    </rPh>
    <phoneticPr fontId="2"/>
  </si>
  <si>
    <t>テスト作業不良</t>
    <rPh sb="3" eb="5">
      <t>サギョウ</t>
    </rPh>
    <rPh sb="5" eb="7">
      <t>フリョウ</t>
    </rPh>
    <phoneticPr fontId="2"/>
  </si>
  <si>
    <t>ユーティリティソフト不良</t>
    <rPh sb="10" eb="12">
      <t>フリョウ</t>
    </rPh>
    <phoneticPr fontId="2"/>
  </si>
  <si>
    <t>テスト結果確認ミス</t>
    <rPh sb="3" eb="5">
      <t>ケッカ</t>
    </rPh>
    <rPh sb="5" eb="7">
      <t>カクニン</t>
    </rPh>
    <phoneticPr fontId="2"/>
  </si>
  <si>
    <t>対外システム不良</t>
    <rPh sb="0" eb="2">
      <t>タイガイ</t>
    </rPh>
    <rPh sb="6" eb="8">
      <t>フリョウ</t>
    </rPh>
    <phoneticPr fontId="2"/>
  </si>
  <si>
    <t>パッケージ不良</t>
    <rPh sb="5" eb="7">
      <t>フリョウ</t>
    </rPh>
    <phoneticPr fontId="2"/>
  </si>
  <si>
    <t>資産のバージョン違い</t>
    <rPh sb="0" eb="2">
      <t>シサン</t>
    </rPh>
    <rPh sb="8" eb="9">
      <t>チガ</t>
    </rPh>
    <phoneticPr fontId="2"/>
  </si>
  <si>
    <t>個別分類</t>
    <rPh sb="0" eb="2">
      <t>コベツ</t>
    </rPh>
    <rPh sb="2" eb="4">
      <t>ブンルイ</t>
    </rPh>
    <phoneticPr fontId="4"/>
  </si>
  <si>
    <t>UI2(現行欠落)</t>
    <rPh sb="4" eb="6">
      <t>ゲンコウ</t>
    </rPh>
    <rPh sb="6" eb="8">
      <t>ケツラク</t>
    </rPh>
    <phoneticPr fontId="4"/>
  </si>
  <si>
    <t>UI1(不備)</t>
    <rPh sb="4" eb="6">
      <t>フビ</t>
    </rPh>
    <phoneticPr fontId="4"/>
  </si>
  <si>
    <t>UX</t>
    <phoneticPr fontId="4"/>
  </si>
  <si>
    <t>チーム</t>
    <phoneticPr fontId="4"/>
  </si>
  <si>
    <t>基盤</t>
    <rPh sb="0" eb="2">
      <t>キバン</t>
    </rPh>
    <phoneticPr fontId="4"/>
  </si>
  <si>
    <t>バッチ運用</t>
    <rPh sb="3" eb="5">
      <t>ウンヨウ</t>
    </rPh>
    <phoneticPr fontId="4"/>
  </si>
  <si>
    <t>移行</t>
    <rPh sb="0" eb="2">
      <t>イコウ</t>
    </rPh>
    <phoneticPr fontId="4"/>
  </si>
  <si>
    <t>FW更改</t>
    <rPh sb="2" eb="4">
      <t>コウカイ</t>
    </rPh>
    <phoneticPr fontId="4"/>
  </si>
  <si>
    <t>UI改善</t>
    <rPh sb="2" eb="4">
      <t>カイゼン</t>
    </rPh>
    <phoneticPr fontId="4"/>
  </si>
  <si>
    <t>Biz追付</t>
    <rPh sb="3" eb="5">
      <t>オイツ</t>
    </rPh>
    <phoneticPr fontId="4"/>
  </si>
  <si>
    <t>保守追付</t>
    <rPh sb="0" eb="2">
      <t>ホシュ</t>
    </rPh>
    <rPh sb="2" eb="4">
      <t>オイツ</t>
    </rPh>
    <phoneticPr fontId="4"/>
  </si>
  <si>
    <t>サイクル</t>
  </si>
  <si>
    <t>テスト区分(ST)</t>
    <rPh sb="3" eb="5">
      <t>クブン</t>
    </rPh>
    <phoneticPr fontId="4"/>
  </si>
  <si>
    <t>テスト区分</t>
    <rPh sb="3" eb="5">
      <t>クブン</t>
    </rPh>
    <phoneticPr fontId="4"/>
  </si>
  <si>
    <r>
      <t>ｻﾌﾞｼｽﾃﾑ→</t>
    </r>
    <r>
      <rPr>
        <sz val="11"/>
        <color rgb="FFFF0000"/>
        <rFont val="ＭＳ Ｐゴシック"/>
        <family val="3"/>
        <charset val="128"/>
        <scheme val="minor"/>
      </rPr>
      <t>チーム名</t>
    </r>
    <rPh sb="11" eb="12">
      <t>メイ</t>
    </rPh>
    <phoneticPr fontId="36"/>
  </si>
  <si>
    <t>起票したチーム名を記載する。</t>
    <rPh sb="0" eb="2">
      <t>キヒョウ</t>
    </rPh>
    <rPh sb="7" eb="8">
      <t>メイ</t>
    </rPh>
    <rPh sb="9" eb="11">
      <t>キサイ</t>
    </rPh>
    <phoneticPr fontId="36"/>
  </si>
  <si>
    <r>
      <t xml:space="preserve">XCAT担当分の下記機能から選択する。
01.顧客管理
02.案件管理
03.契約管理(Wise既存)　
04.契約管理(アドオン)　…　GAIA契約関連
11.共通管理　…　ファイルアップロード等Z99に該当するもの
12.バッチ処理
</t>
    </r>
    <r>
      <rPr>
        <sz val="11"/>
        <color rgb="FFFF0000"/>
        <rFont val="ＭＳ Ｐゴシック"/>
        <family val="3"/>
        <charset val="128"/>
        <scheme val="minor"/>
      </rPr>
      <t xml:space="preserve">→ココはXCATさんで決めてください。
</t>
    </r>
    <rPh sb="4" eb="6">
      <t>タントウ</t>
    </rPh>
    <rPh sb="6" eb="7">
      <t>ブン</t>
    </rPh>
    <rPh sb="8" eb="10">
      <t>カキ</t>
    </rPh>
    <rPh sb="10" eb="12">
      <t>キノウ</t>
    </rPh>
    <rPh sb="14" eb="16">
      <t>センタク</t>
    </rPh>
    <rPh sb="73" eb="75">
      <t>ケイヤク</t>
    </rPh>
    <rPh sb="75" eb="77">
      <t>カンレン</t>
    </rPh>
    <rPh sb="98" eb="99">
      <t>トウ</t>
    </rPh>
    <rPh sb="103" eb="105">
      <t>ガイトウ</t>
    </rPh>
    <rPh sb="130" eb="131">
      <t>キ</t>
    </rPh>
    <phoneticPr fontId="36"/>
  </si>
  <si>
    <t>原因分類（事象）</t>
    <rPh sb="0" eb="2">
      <t>ゲンイン</t>
    </rPh>
    <rPh sb="2" eb="4">
      <t>ブンルイ</t>
    </rPh>
    <rPh sb="5" eb="7">
      <t>ジショウ</t>
    </rPh>
    <phoneticPr fontId="4"/>
  </si>
  <si>
    <t>不具合分類（事象）</t>
    <rPh sb="0" eb="3">
      <t>フグアイ</t>
    </rPh>
    <rPh sb="3" eb="5">
      <t>ブンルイ</t>
    </rPh>
    <phoneticPr fontId="4"/>
  </si>
  <si>
    <r>
      <t>連番で記載する。</t>
    </r>
    <r>
      <rPr>
        <sz val="11"/>
        <color rgb="FFFF0000"/>
        <rFont val="ＭＳ Ｐゴシック"/>
        <family val="3"/>
        <charset val="128"/>
        <scheme val="minor"/>
      </rPr>
      <t>（単体はUT-、結合はSI-、総合はST-で）</t>
    </r>
    <rPh sb="0" eb="2">
      <t>レンバン</t>
    </rPh>
    <rPh sb="3" eb="5">
      <t>キサイ</t>
    </rPh>
    <rPh sb="9" eb="11">
      <t>タンタイ</t>
    </rPh>
    <rPh sb="16" eb="18">
      <t>ケツゴウ</t>
    </rPh>
    <rPh sb="23" eb="25">
      <t>ソウゴウ</t>
    </rPh>
    <phoneticPr fontId="36"/>
  </si>
  <si>
    <t>当該バグを本来摘出すべきテスト工程</t>
    <rPh sb="0" eb="2">
      <t>トウガイ</t>
    </rPh>
    <rPh sb="5" eb="7">
      <t>ホンライ</t>
    </rPh>
    <rPh sb="7" eb="9">
      <t>テキシュツ</t>
    </rPh>
    <phoneticPr fontId="55"/>
  </si>
  <si>
    <t>上記記載の場合、本来発見すべきテスト工程で発見できなかった原因を選択する。該当しない場合はスルーでOK。</t>
    <rPh sb="0" eb="2">
      <t>ジョウキ</t>
    </rPh>
    <rPh sb="2" eb="4">
      <t>キサイ</t>
    </rPh>
    <rPh sb="5" eb="7">
      <t>バアイ</t>
    </rPh>
    <rPh sb="8" eb="10">
      <t>ホンライ</t>
    </rPh>
    <rPh sb="10" eb="12">
      <t>ハッケン</t>
    </rPh>
    <rPh sb="18" eb="20">
      <t>コウテイ</t>
    </rPh>
    <rPh sb="21" eb="23">
      <t>ハッケン</t>
    </rPh>
    <rPh sb="29" eb="31">
      <t>ゲンイン</t>
    </rPh>
    <rPh sb="32" eb="34">
      <t>センタク</t>
    </rPh>
    <phoneticPr fontId="36"/>
  </si>
  <si>
    <t xml:space="preserve">設計書修正の場合、設計書修正となった原因を選択する。該当しない場合はスルーでOK。
</t>
    <rPh sb="0" eb="3">
      <t>セッケイショ</t>
    </rPh>
    <rPh sb="3" eb="5">
      <t>シュウセイ</t>
    </rPh>
    <rPh sb="6" eb="8">
      <t>バアイ</t>
    </rPh>
    <rPh sb="9" eb="12">
      <t>セッケイショ</t>
    </rPh>
    <rPh sb="12" eb="14">
      <t>シュウセイ</t>
    </rPh>
    <rPh sb="18" eb="20">
      <t>ゲンイン</t>
    </rPh>
    <rPh sb="21" eb="23">
      <t>センタク</t>
    </rPh>
    <phoneticPr fontId="36"/>
  </si>
  <si>
    <t xml:space="preserve">PG修正の場合、PG修正となった原因を選択する。該当しない場合はスルーでOK。
</t>
    <rPh sb="2" eb="4">
      <t>シュウセイ</t>
    </rPh>
    <rPh sb="5" eb="7">
      <t>バアイ</t>
    </rPh>
    <rPh sb="10" eb="12">
      <t>シュウセイ</t>
    </rPh>
    <rPh sb="16" eb="18">
      <t>ゲンイン</t>
    </rPh>
    <rPh sb="19" eb="21">
      <t>センタク</t>
    </rPh>
    <phoneticPr fontId="36"/>
  </si>
  <si>
    <t xml:space="preserve">本来バグを発見すべきテスト工程より後のテスト工程でバグを発見した場合、本来発見すべきテスト工程を選択する。該当しない場合はスルーでOK。
</t>
    <rPh sb="0" eb="2">
      <t>ホンライ</t>
    </rPh>
    <rPh sb="5" eb="7">
      <t>ハッケン</t>
    </rPh>
    <rPh sb="13" eb="15">
      <t>コウテイ</t>
    </rPh>
    <rPh sb="17" eb="18">
      <t>ノチ</t>
    </rPh>
    <rPh sb="22" eb="24">
      <t>コウテイ</t>
    </rPh>
    <rPh sb="28" eb="30">
      <t>ハッケン</t>
    </rPh>
    <rPh sb="32" eb="34">
      <t>バアイ</t>
    </rPh>
    <rPh sb="35" eb="37">
      <t>ホンライ</t>
    </rPh>
    <rPh sb="37" eb="39">
      <t>ハッケン</t>
    </rPh>
    <rPh sb="45" eb="47">
      <t>コウテイ</t>
    </rPh>
    <rPh sb="48" eb="50">
      <t>センタク</t>
    </rPh>
    <phoneticPr fontId="36"/>
  </si>
  <si>
    <t xml:space="preserve">個別分類項目を選択する。（今のところ、UI系の分類のみ）該当しない場合はスルーでOK。
UI1…画面の見た目に対するバグ…画面要件資料からの反映関連
UI2…現行機能を満たしていない…画面要件資料ではうたいきれない現行機能部分
UX…機能改修系…普通のバグ
</t>
    <rPh sb="0" eb="2">
      <t>コベツ</t>
    </rPh>
    <rPh sb="2" eb="4">
      <t>ブンルイ</t>
    </rPh>
    <rPh sb="4" eb="6">
      <t>コウモク</t>
    </rPh>
    <rPh sb="7" eb="9">
      <t>センタク</t>
    </rPh>
    <rPh sb="13" eb="14">
      <t>イマ</t>
    </rPh>
    <rPh sb="21" eb="22">
      <t>ケイ</t>
    </rPh>
    <rPh sb="23" eb="25">
      <t>ブンルイ</t>
    </rPh>
    <rPh sb="28" eb="30">
      <t>ガイトウ</t>
    </rPh>
    <rPh sb="33" eb="35">
      <t>バアイ</t>
    </rPh>
    <phoneticPr fontId="36"/>
  </si>
  <si>
    <t xml:space="preserve">STでのテスト分類を選択する。UT,SIは未使用。
</t>
    <rPh sb="7" eb="9">
      <t>ブンルイ</t>
    </rPh>
    <rPh sb="10" eb="12">
      <t>センタク</t>
    </rPh>
    <rPh sb="21" eb="24">
      <t>ミシヨウ</t>
    </rPh>
    <phoneticPr fontId="36"/>
  </si>
  <si>
    <t>UT</t>
    <phoneticPr fontId="4"/>
  </si>
  <si>
    <t>SI</t>
    <phoneticPr fontId="4"/>
  </si>
  <si>
    <t>ST</t>
    <phoneticPr fontId="4"/>
  </si>
  <si>
    <t>UAT</t>
    <phoneticPr fontId="4"/>
  </si>
  <si>
    <t>当該バグを本来摘出すべきテスト工程</t>
    <phoneticPr fontId="4"/>
  </si>
  <si>
    <t>摘出すべきテスト工程で発見できなかった理由</t>
    <rPh sb="0" eb="2">
      <t>テキシュツ</t>
    </rPh>
    <rPh sb="8" eb="10">
      <t>コウテイ</t>
    </rPh>
    <phoneticPr fontId="55"/>
  </si>
  <si>
    <t>横展開(有・無)</t>
    <phoneticPr fontId="4"/>
  </si>
  <si>
    <t>無</t>
    <rPh sb="0" eb="1">
      <t>ナシ</t>
    </rPh>
    <phoneticPr fontId="4"/>
  </si>
  <si>
    <t>WiseOffice基盤更改プロジェクト</t>
    <rPh sb="10" eb="12">
      <t>キバン</t>
    </rPh>
    <rPh sb="12" eb="14">
      <t>コウカイ</t>
    </rPh>
    <phoneticPr fontId="4"/>
  </si>
  <si>
    <t>03.契約管理</t>
  </si>
  <si>
    <t>04.手数料管理</t>
  </si>
  <si>
    <t>06.事業報告書ダウンロード</t>
  </si>
  <si>
    <t>07.早期解約管理</t>
  </si>
  <si>
    <t>08.残高ダウンロード</t>
  </si>
  <si>
    <t>09.ライフイベント管理</t>
  </si>
  <si>
    <t>10.業務マスタメンテ</t>
  </si>
  <si>
    <t>11.営業支援管理</t>
  </si>
  <si>
    <t>12.共通</t>
  </si>
  <si>
    <t>13.エラー</t>
  </si>
  <si>
    <t>14.スマデバ画面</t>
  </si>
  <si>
    <t>16.共通系(意向ナビ）</t>
  </si>
  <si>
    <t>17.ご相談プロセス(意向ナビ）</t>
  </si>
  <si>
    <t>18.お客様管理(意向ナビ）</t>
  </si>
  <si>
    <t>19.ご相談管理(意向ナビ）</t>
  </si>
  <si>
    <t>20.マスタメンテナンス(意向ナビ）</t>
  </si>
  <si>
    <t>21.金融サービス仲介(意向ナビ）</t>
  </si>
  <si>
    <t>22.Error エラー画面(意向ナビ）</t>
  </si>
  <si>
    <t>追加した</t>
    <rPh sb="0" eb="2">
      <t>ツイカ</t>
    </rPh>
    <phoneticPr fontId="4"/>
  </si>
  <si>
    <t>横展開
有無</t>
    <rPh sb="0" eb="1">
      <t>ヨコ</t>
    </rPh>
    <rPh sb="1" eb="3">
      <t>テンカイ</t>
    </rPh>
    <rPh sb="4" eb="6">
      <t>ウム</t>
    </rPh>
    <phoneticPr fontId="4"/>
  </si>
  <si>
    <t>（L列に横展開有無を挿入したため「Import」で取込がずれるため、ボタン使用不可</t>
    <rPh sb="2" eb="3">
      <t>レツ</t>
    </rPh>
    <rPh sb="4" eb="5">
      <t>ヨコ</t>
    </rPh>
    <rPh sb="5" eb="7">
      <t>テンカイ</t>
    </rPh>
    <rPh sb="7" eb="9">
      <t>ウム</t>
    </rPh>
    <rPh sb="10" eb="12">
      <t>ソウニュウ</t>
    </rPh>
    <rPh sb="25" eb="27">
      <t>トリコミ</t>
    </rPh>
    <rPh sb="37" eb="39">
      <t>シヨウ</t>
    </rPh>
    <rPh sb="39" eb="41">
      <t>フカ</t>
    </rPh>
    <phoneticPr fontId="4"/>
  </si>
  <si>
    <t>現行</t>
    <rPh sb="0" eb="2">
      <t>ゲンコウ</t>
    </rPh>
    <phoneticPr fontId="4"/>
  </si>
  <si>
    <t>既存バグ</t>
    <rPh sb="0" eb="2">
      <t>キゾン</t>
    </rPh>
    <phoneticPr fontId="2"/>
  </si>
  <si>
    <t>資材管理不備</t>
    <rPh sb="0" eb="4">
      <t>シザイカンリ</t>
    </rPh>
    <rPh sb="4" eb="6">
      <t>フビ</t>
    </rPh>
    <phoneticPr fontId="4"/>
  </si>
  <si>
    <t>既存バグ</t>
  </si>
  <si>
    <t>　　←</t>
    <phoneticPr fontId="7"/>
  </si>
  <si>
    <t>もともと</t>
    <phoneticPr fontId="7"/>
  </si>
  <si>
    <t>■機能名</t>
    <rPh sb="1" eb="4">
      <t>キノウメイ</t>
    </rPh>
    <phoneticPr fontId="36"/>
  </si>
  <si>
    <t>■画面名</t>
    <rPh sb="1" eb="3">
      <t>ガメン</t>
    </rPh>
    <rPh sb="3" eb="4">
      <t>メイ</t>
    </rPh>
    <phoneticPr fontId="4"/>
  </si>
  <si>
    <t>スキル不足(製品：Imart等)</t>
    <rPh sb="3" eb="5">
      <t>ブソク</t>
    </rPh>
    <rPh sb="6" eb="8">
      <t>セイヒン</t>
    </rPh>
    <rPh sb="14" eb="15">
      <t>ナド</t>
    </rPh>
    <phoneticPr fontId="55"/>
  </si>
  <si>
    <t>詳細設計と実装との不整合</t>
    <rPh sb="0" eb="4">
      <t>ショウサイセッケイ</t>
    </rPh>
    <rPh sb="5" eb="7">
      <t>ジッソウ</t>
    </rPh>
    <rPh sb="9" eb="12">
      <t>フセイゴウ</t>
    </rPh>
    <phoneticPr fontId="4"/>
  </si>
  <si>
    <t xml:space="preserve">1
</t>
    <phoneticPr fontId="4"/>
  </si>
  <si>
    <t>UX</t>
  </si>
  <si>
    <t>個別分類：</t>
    <rPh sb="0" eb="4">
      <t>コベツブンルイ</t>
    </rPh>
    <phoneticPr fontId="4"/>
  </si>
  <si>
    <t>UI1(不備)　</t>
    <rPh sb="4" eb="6">
      <t>フビ</t>
    </rPh>
    <phoneticPr fontId="4"/>
  </si>
  <si>
    <t>UI改善により埋め込まれた障害</t>
    <rPh sb="2" eb="4">
      <t>カイゼン</t>
    </rPh>
    <rPh sb="7" eb="8">
      <t>ウ</t>
    </rPh>
    <rPh sb="9" eb="10">
      <t>コ</t>
    </rPh>
    <rPh sb="13" eb="15">
      <t>ショウガイ</t>
    </rPh>
    <phoneticPr fontId="4"/>
  </si>
  <si>
    <t>UX改善対応によって埋め込まれた障害</t>
    <rPh sb="2" eb="4">
      <t>カイゼン</t>
    </rPh>
    <rPh sb="4" eb="6">
      <t>タイオウ</t>
    </rPh>
    <rPh sb="10" eb="11">
      <t>ウ</t>
    </rPh>
    <rPh sb="12" eb="13">
      <t>コ</t>
    </rPh>
    <rPh sb="16" eb="18">
      <t>ショウガイ</t>
    </rPh>
    <phoneticPr fontId="4"/>
  </si>
  <si>
    <t>UI改善対応時に現行に表示されている項目の欠落を検知した場合（モックレビュー済みなので基本的にはない想定）</t>
    <rPh sb="2" eb="4">
      <t>カイゼン</t>
    </rPh>
    <rPh sb="4" eb="7">
      <t>タイオウジ</t>
    </rPh>
    <rPh sb="8" eb="10">
      <t>ゲンコウ</t>
    </rPh>
    <rPh sb="11" eb="13">
      <t>ヒョウジ</t>
    </rPh>
    <rPh sb="18" eb="20">
      <t>コウモク</t>
    </rPh>
    <rPh sb="21" eb="23">
      <t>ケツラク</t>
    </rPh>
    <rPh sb="24" eb="26">
      <t>ケンチ</t>
    </rPh>
    <rPh sb="28" eb="30">
      <t>バアイ</t>
    </rPh>
    <rPh sb="38" eb="39">
      <t>ズ</t>
    </rPh>
    <rPh sb="43" eb="46">
      <t>キホンテキ</t>
    </rPh>
    <rPh sb="50" eb="52">
      <t>ソウテイ</t>
    </rPh>
    <phoneticPr fontId="4"/>
  </si>
  <si>
    <t>■不具合原因 2 (RootCause2)</t>
    <rPh sb="1" eb="4">
      <t>フグアイ</t>
    </rPh>
    <rPh sb="4" eb="6">
      <t>ゲンイン</t>
    </rPh>
    <phoneticPr fontId="4"/>
  </si>
  <si>
    <t>仕様書不備の問題</t>
    <phoneticPr fontId="4"/>
  </si>
  <si>
    <t>仕様からの展開の問題</t>
    <phoneticPr fontId="4"/>
  </si>
  <si>
    <t>仕様関連以外の問題点</t>
    <phoneticPr fontId="4"/>
  </si>
  <si>
    <t>1:記述漏れ（記述なし）</t>
    <phoneticPr fontId="4"/>
  </si>
  <si>
    <t>1:仕様の見落とし</t>
    <phoneticPr fontId="4"/>
  </si>
  <si>
    <t>1:言語、ﾌﾚｰﾑﾜｰｸ等知識不足</t>
    <phoneticPr fontId="4"/>
  </si>
  <si>
    <t>2:記述誤り</t>
    <phoneticPr fontId="4"/>
  </si>
  <si>
    <t>2:仕様の理解不足</t>
    <phoneticPr fontId="4"/>
  </si>
  <si>
    <t>2:周知連絡の不徹底</t>
    <phoneticPr fontId="4"/>
  </si>
  <si>
    <t>3:あいまいな記述（不明確）</t>
    <rPh sb="7" eb="9">
      <t>キジュツ</t>
    </rPh>
    <phoneticPr fontId="4"/>
  </si>
  <si>
    <t>3:仕様の確認不足</t>
    <phoneticPr fontId="4"/>
  </si>
  <si>
    <t>3:標準違反</t>
    <phoneticPr fontId="4"/>
  </si>
  <si>
    <t>4:標準違反</t>
    <phoneticPr fontId="4"/>
  </si>
  <si>
    <t>4:仕様の検討粗漏</t>
    <phoneticPr fontId="4"/>
  </si>
  <si>
    <t>4:再利用module既存バグ</t>
    <phoneticPr fontId="4"/>
  </si>
  <si>
    <t>5:ドキュメント修正漏れ・ミス</t>
    <phoneticPr fontId="4"/>
  </si>
  <si>
    <t>5:仕様から展開時の凡ミス</t>
    <phoneticPr fontId="4"/>
  </si>
  <si>
    <t>5:修正ミス、修正漏れ</t>
    <phoneticPr fontId="4"/>
  </si>
  <si>
    <t>6:ドキュメント間不整合</t>
    <phoneticPr fontId="4"/>
  </si>
  <si>
    <t>6:その他</t>
    <phoneticPr fontId="4"/>
  </si>
  <si>
    <t>6:単なる凡ミス</t>
    <phoneticPr fontId="4"/>
  </si>
  <si>
    <t>7:その他</t>
    <phoneticPr fontId="4"/>
  </si>
  <si>
    <t>7:限界値、境界値の考慮漏れ</t>
    <phoneticPr fontId="4"/>
  </si>
  <si>
    <t>8:ユーザビリティの考慮不足</t>
    <phoneticPr fontId="4"/>
  </si>
  <si>
    <t>8:特殊な値や条件の考慮漏れ</t>
    <phoneticPr fontId="4"/>
  </si>
  <si>
    <t>9:データパターンの考慮漏れ</t>
    <phoneticPr fontId="4"/>
  </si>
  <si>
    <t>10:性能要件未達成</t>
    <phoneticPr fontId="4"/>
  </si>
  <si>
    <t>11:画面状態やデータ状態の考慮漏れ</t>
    <phoneticPr fontId="4"/>
  </si>
  <si>
    <t>□原因区分</t>
    <rPh sb="1" eb="5">
      <t>ゲンインクブン</t>
    </rPh>
    <phoneticPr fontId="4"/>
  </si>
  <si>
    <t>原因区分</t>
    <rPh sb="0" eb="4">
      <t>ゲンインクブン</t>
    </rPh>
    <phoneticPr fontId="4"/>
  </si>
  <si>
    <t>UX改善</t>
    <rPh sb="2" eb="4">
      <t>カイゼン</t>
    </rPh>
    <phoneticPr fontId="4"/>
  </si>
  <si>
    <t>12:非バグ</t>
    <rPh sb="3" eb="4">
      <t>ヒ</t>
    </rPh>
    <phoneticPr fontId="4"/>
  </si>
  <si>
    <t>原因区分</t>
    <rPh sb="0" eb="4">
      <t>ゲンインクブン</t>
    </rPh>
    <phoneticPr fontId="4"/>
  </si>
  <si>
    <t>結合試験</t>
    <rPh sb="0" eb="4">
      <t>ケツゴウシケン</t>
    </rPh>
    <phoneticPr fontId="4"/>
  </si>
  <si>
    <t>テスト観点</t>
    <phoneticPr fontId="4"/>
  </si>
  <si>
    <t>オンライン内連動</t>
    <rPh sb="5" eb="6">
      <t>ナイ</t>
    </rPh>
    <rPh sb="6" eb="8">
      <t>レンドウ</t>
    </rPh>
    <phoneticPr fontId="4"/>
  </si>
  <si>
    <t>IAC連動</t>
    <rPh sb="3" eb="5">
      <t>レンドウ</t>
    </rPh>
    <phoneticPr fontId="4"/>
  </si>
  <si>
    <t>案件登録確認</t>
    <rPh sb="0" eb="2">
      <t>アンケン</t>
    </rPh>
    <rPh sb="2" eb="6">
      <t>トウロクカクニン</t>
    </rPh>
    <phoneticPr fontId="4"/>
  </si>
  <si>
    <t>スケジュール登録確認</t>
    <rPh sb="6" eb="10">
      <t>トウロクカクニン</t>
    </rPh>
    <phoneticPr fontId="4"/>
  </si>
  <si>
    <t>UT工程の申し送り</t>
    <rPh sb="2" eb="4">
      <t>コウテイ</t>
    </rPh>
    <rPh sb="5" eb="6">
      <t>モウ</t>
    </rPh>
    <rPh sb="7" eb="8">
      <t>オク</t>
    </rPh>
    <phoneticPr fontId="4"/>
  </si>
  <si>
    <t>スマデバ</t>
    <phoneticPr fontId="4"/>
  </si>
  <si>
    <t>意向確認ナビ</t>
    <rPh sb="0" eb="2">
      <t>イコウ</t>
    </rPh>
    <rPh sb="2" eb="4">
      <t>カクニン</t>
    </rPh>
    <phoneticPr fontId="4"/>
  </si>
  <si>
    <t>XXXXXXXX</t>
    <phoneticPr fontId="4"/>
  </si>
  <si>
    <t>個社カスタマイズ</t>
    <rPh sb="0" eb="2">
      <t>コシャ</t>
    </rPh>
    <phoneticPr fontId="4"/>
  </si>
  <si>
    <t>現新比較</t>
    <rPh sb="0" eb="4">
      <t>ゲンシンヒカク</t>
    </rPh>
    <phoneticPr fontId="4"/>
  </si>
  <si>
    <t>運用資材</t>
    <rPh sb="0" eb="4">
      <t>ウンヨウシザイ</t>
    </rPh>
    <phoneticPr fontId="4"/>
  </si>
  <si>
    <t>オンライン_バッチ連動</t>
    <rPh sb="9" eb="11">
      <t>レンドウ</t>
    </rPh>
    <phoneticPr fontId="4"/>
  </si>
  <si>
    <t>テスト観点</t>
    <rPh sb="3" eb="5">
      <t>カンテン</t>
    </rPh>
    <phoneticPr fontId="4"/>
  </si>
  <si>
    <t>テスト内容</t>
    <rPh sb="3" eb="5">
      <t>ナイヨウ</t>
    </rPh>
    <phoneticPr fontId="4"/>
  </si>
  <si>
    <t>本来摘出すべき
テスト工程</t>
    <phoneticPr fontId="4"/>
  </si>
  <si>
    <t>画面遷移網羅</t>
  </si>
  <si>
    <t>出力帳票</t>
    <rPh sb="0" eb="2">
      <t>シュツリョク</t>
    </rPh>
    <rPh sb="2" eb="4">
      <t>チョウヒョウ</t>
    </rPh>
    <phoneticPr fontId="2"/>
  </si>
  <si>
    <t>認証処理</t>
    <rPh sb="0" eb="2">
      <t>ニンショウ</t>
    </rPh>
    <rPh sb="2" eb="4">
      <t>ショリ</t>
    </rPh>
    <phoneticPr fontId="2"/>
  </si>
  <si>
    <t>認可権限制御(メニュー）</t>
    <rPh sb="0" eb="2">
      <t>ニンカ</t>
    </rPh>
    <rPh sb="4" eb="6">
      <t>セイギョ</t>
    </rPh>
    <phoneticPr fontId="2"/>
  </si>
  <si>
    <t>認可権限制御(ボタン_リンク）</t>
    <rPh sb="0" eb="2">
      <t>ニンカ</t>
    </rPh>
    <rPh sb="4" eb="6">
      <t>セイギョ</t>
    </rPh>
    <phoneticPr fontId="2"/>
  </si>
  <si>
    <t>認可権限制御(URL直叩き）</t>
    <rPh sb="0" eb="2">
      <t>ニンカ</t>
    </rPh>
    <rPh sb="4" eb="6">
      <t>セイギョ</t>
    </rPh>
    <rPh sb="10" eb="11">
      <t>チョク</t>
    </rPh>
    <rPh sb="11" eb="12">
      <t>タタ</t>
    </rPh>
    <phoneticPr fontId="2"/>
  </si>
  <si>
    <t>セッション管理</t>
    <rPh sb="5" eb="7">
      <t>カンリ</t>
    </rPh>
    <phoneticPr fontId="2"/>
  </si>
  <si>
    <t>ログ確認</t>
    <rPh sb="2" eb="4">
      <t>カクニン</t>
    </rPh>
    <phoneticPr fontId="2"/>
  </si>
  <si>
    <t>UX要件取込確認</t>
    <rPh sb="2" eb="4">
      <t>ヨウケン</t>
    </rPh>
    <rPh sb="4" eb="6">
      <t>トリコミ</t>
    </rPh>
    <rPh sb="6" eb="8">
      <t>カクニン</t>
    </rPh>
    <phoneticPr fontId="2"/>
  </si>
  <si>
    <t>非同期_バッチ取込</t>
    <rPh sb="0" eb="3">
      <t>ヒドウキ</t>
    </rPh>
    <rPh sb="7" eb="9">
      <t>トリコミ</t>
    </rPh>
    <phoneticPr fontId="4"/>
  </si>
  <si>
    <t>相関チェック(VL)</t>
    <rPh sb="0" eb="2">
      <t>ソウカン</t>
    </rPh>
    <phoneticPr fontId="2"/>
  </si>
  <si>
    <t>相関チェック(Java)</t>
    <rPh sb="0" eb="2">
      <t>ソウカン</t>
    </rPh>
    <phoneticPr fontId="2"/>
  </si>
  <si>
    <t>画面間連動(Wise_IAC)</t>
    <phoneticPr fontId="4"/>
  </si>
  <si>
    <t>全ボタン_リンク</t>
    <rPh sb="0" eb="1">
      <t>ゼン</t>
    </rPh>
    <phoneticPr fontId="2"/>
  </si>
  <si>
    <t>発見できなかった
理由</t>
    <phoneticPr fontId="4"/>
  </si>
  <si>
    <t>IAC既存故障</t>
    <phoneticPr fontId="4"/>
  </si>
  <si>
    <t>NDIT 徐</t>
    <rPh sb="5" eb="6">
      <t>ジョ</t>
    </rPh>
    <phoneticPr fontId="4"/>
  </si>
  <si>
    <t>シート「シナリオ4」
No.3</t>
  </si>
  <si>
    <t>【手順】
①重要度と登録状態には以下値を入力して、スケジュール詳細入力画面で定期スケジュールを新規作成する
　重要度＝高、登録状態＝仮
②スマデバ画面で新規のスケジュールを参照して、編集ボタンを押下する。
【現象】
定期スケジュール編集画面に対象スケジュールを表示すると、拡張項目の入力値と既定値の両方が選択済の状態になってしまった。</t>
    <rPh sb="17" eb="19">
      <t>イカ</t>
    </rPh>
    <rPh sb="107" eb="108">
      <t>ゾウ</t>
    </rPh>
    <phoneticPr fontId="4"/>
  </si>
  <si>
    <t>無</t>
  </si>
  <si>
    <t>NDIT 徐</t>
  </si>
  <si>
    <t>IAC既存故障</t>
    <rPh sb="3" eb="5">
      <t>キゾン</t>
    </rPh>
    <rPh sb="5" eb="7">
      <t>コショウ</t>
    </rPh>
    <phoneticPr fontId="4"/>
  </si>
  <si>
    <t>仕様関連以外の問題点</t>
  </si>
  <si>
    <t>シート「シナリオ5」
No.10</t>
  </si>
  <si>
    <t>【手順】
　スマデバ画面でスケジュールを参照して、辞退ボタンを押下する。
【現象】
確認文言が一部表示切れになってしまった。</t>
    <rPh sb="26" eb="28">
      <t>ジタイ</t>
    </rPh>
    <phoneticPr fontId="4"/>
  </si>
  <si>
    <t>スマデバの画面サイズに応じた、はみ出し部分の改行処理が行われていない。</t>
  </si>
  <si>
    <t>NDIT 張えん</t>
    <rPh sb="5" eb="6">
      <t>チョウ</t>
    </rPh>
    <phoneticPr fontId="4"/>
  </si>
  <si>
    <t>シート「シナリオ4」
No.11</t>
  </si>
  <si>
    <t>シート「シナリオ3」
No.3</t>
  </si>
  <si>
    <t>シート「シナリオ3」
No.4</t>
  </si>
  <si>
    <t>NDIT 張健</t>
    <rPh sb="5" eb="6">
      <t>チョウ</t>
    </rPh>
    <rPh sb="6" eb="7">
      <t>ケン</t>
    </rPh>
    <phoneticPr fontId="4"/>
  </si>
  <si>
    <t>画面間連動(Wise_IAC)</t>
  </si>
  <si>
    <t>【手順】
スマデバで属性「来客」と重要度「高」と登録状態「仮」のスケジュールを登録する。PCでログインしてグループポートレットを表示する。
【現象】
スケジュールポートレット画面でタイトルにアイコン「来客」が表示されるが、「重」と「仮」が表示されない。</t>
    <rPh sb="1" eb="3">
      <t>テジュン</t>
    </rPh>
    <rPh sb="10" eb="12">
      <t>ゾクセイ</t>
    </rPh>
    <rPh sb="13" eb="15">
      <t>ライキャク</t>
    </rPh>
    <rPh sb="17" eb="20">
      <t>ジュウヨウド</t>
    </rPh>
    <rPh sb="21" eb="22">
      <t>タカ</t>
    </rPh>
    <rPh sb="24" eb="26">
      <t>トウロク</t>
    </rPh>
    <rPh sb="26" eb="28">
      <t>ジョウタイ</t>
    </rPh>
    <rPh sb="29" eb="30">
      <t>カリ</t>
    </rPh>
    <rPh sb="39" eb="41">
      <t>トウロク</t>
    </rPh>
    <rPh sb="64" eb="66">
      <t>ヒョウジ</t>
    </rPh>
    <rPh sb="72" eb="74">
      <t>ゲンショウ</t>
    </rPh>
    <rPh sb="88" eb="90">
      <t>ガメン</t>
    </rPh>
    <rPh sb="101" eb="103">
      <t>ライキャク</t>
    </rPh>
    <rPh sb="105" eb="107">
      <t>ヒョウジ</t>
    </rPh>
    <rPh sb="113" eb="114">
      <t>ジュウ</t>
    </rPh>
    <rPh sb="117" eb="118">
      <t>カリ</t>
    </rPh>
    <rPh sb="120" eb="122">
      <t>ヒョウジ</t>
    </rPh>
    <phoneticPr fontId="4"/>
  </si>
  <si>
    <t>NDIT 張えん</t>
  </si>
  <si>
    <t>仕様書不備の問題</t>
  </si>
  <si>
    <t>SI</t>
  </si>
  <si>
    <t>【修正プログラム】
あり
【修正ドキュメント】
なし
【横展開プログラム】
あり
【横展開ドキュメント】
なし</t>
    <phoneticPr fontId="4"/>
  </si>
  <si>
    <t>【修正プログラム】
あり
【修正ドキュメント】
なし
【横展開プログラム】
なし
【横展開ドキュメント】
なし</t>
    <phoneticPr fontId="4"/>
  </si>
  <si>
    <t>【修正内容】
「checked=option.defaultFlg」の部分を削除する
下記の画面改修：
スマデバの編集画面
【横展開】
なし</t>
    <phoneticPr fontId="4"/>
  </si>
  <si>
    <t>【修正内容】
CSSスタイルを追加
下記の画面改修：
スマデバの辞退画面
【横展開】
なし</t>
    <phoneticPr fontId="4"/>
  </si>
  <si>
    <t>無</t>
    <phoneticPr fontId="4"/>
  </si>
  <si>
    <t>NDIT 徐</t>
    <phoneticPr fontId="4"/>
  </si>
  <si>
    <t>画面遷移網羅</t>
    <phoneticPr fontId="4"/>
  </si>
  <si>
    <t>有</t>
  </si>
  <si>
    <t>全ボタン_リンク</t>
  </si>
  <si>
    <t>出力帳票</t>
  </si>
  <si>
    <t>認証処理</t>
  </si>
  <si>
    <t>認可権限制御(メニュー）</t>
  </si>
  <si>
    <t>認可権限制御(ボタン_リンク）</t>
  </si>
  <si>
    <t>認可権限制御(URL直叩き）</t>
  </si>
  <si>
    <t>セッション管理</t>
  </si>
  <si>
    <t>ログ確認</t>
  </si>
  <si>
    <t>UX要件取込確認</t>
  </si>
  <si>
    <t>非同期_バッチ取込</t>
  </si>
  <si>
    <t>案件登録確認</t>
  </si>
  <si>
    <t>スケジュール登録確認</t>
  </si>
  <si>
    <t>相関チェック(VL)</t>
  </si>
  <si>
    <t>相関チェック(Java)</t>
  </si>
  <si>
    <t>XXXXXXXX</t>
  </si>
  <si>
    <t>現新比較</t>
  </si>
  <si>
    <t>運用資材</t>
  </si>
  <si>
    <t>NDIT曾</t>
    <rPh sb="4" eb="5">
      <t>ソ</t>
    </rPh>
    <phoneticPr fontId="4"/>
  </si>
  <si>
    <t>NDIT曾</t>
    <phoneticPr fontId="4"/>
  </si>
  <si>
    <t>【手順】
スケジュール⇒スケジュールグループ（日）⇒スケジュール参照画面
【現象】
ISP側の参照画面は参照のみ可能で、IAC側の参照画面は編集ボタン活性化することで編集できます。</t>
    <rPh sb="23" eb="24">
      <t>ヒ</t>
    </rPh>
    <rPh sb="32" eb="34">
      <t>サンショウ</t>
    </rPh>
    <rPh sb="34" eb="36">
      <t>ガメン</t>
    </rPh>
    <rPh sb="46" eb="47">
      <t>カワ</t>
    </rPh>
    <rPh sb="48" eb="52">
      <t>サンショウガメン</t>
    </rPh>
    <rPh sb="53" eb="55">
      <t>サンショウ</t>
    </rPh>
    <rPh sb="57" eb="59">
      <t>カノウ</t>
    </rPh>
    <rPh sb="64" eb="65">
      <t>カワ</t>
    </rPh>
    <rPh sb="66" eb="70">
      <t>サンショウガメン</t>
    </rPh>
    <rPh sb="71" eb="73">
      <t>ヘンシュウ</t>
    </rPh>
    <rPh sb="76" eb="78">
      <t>カッセイ</t>
    </rPh>
    <rPh sb="78" eb="79">
      <t>カ</t>
    </rPh>
    <rPh sb="84" eb="86">
      <t>ヘンシュウ</t>
    </rPh>
    <phoneticPr fontId="4"/>
  </si>
  <si>
    <t>有</t>
    <rPh sb="0" eb="1">
      <t>ア</t>
    </rPh>
    <phoneticPr fontId="4"/>
  </si>
  <si>
    <t>【修正内容】
【横展開】
横展開の項目「説明」
下記の画面も同じ問題がある
①スケジュール登録画面
②スケジュール編集画面
③スケジュール定期編集画面</t>
    <rPh sb="19" eb="21">
      <t>コウモク</t>
    </rPh>
    <rPh sb="22" eb="24">
      <t>セツメイ</t>
    </rPh>
    <rPh sb="47" eb="51">
      <t>トウロクガメン</t>
    </rPh>
    <rPh sb="59" eb="61">
      <t>ヘンシュウ</t>
    </rPh>
    <rPh sb="61" eb="63">
      <t>ガメン</t>
    </rPh>
    <rPh sb="71" eb="73">
      <t>テイキ</t>
    </rPh>
    <rPh sb="73" eb="77">
      <t>ヘンシュウガメン</t>
    </rPh>
    <phoneticPr fontId="4"/>
  </si>
  <si>
    <t>【修正内容】
重要度「高」と登録状態「仮」時、アイコンの表示を追加する。
【横展開】
下記の画面も同じ問題があるので、修正しました
①ポートレット（スケジュール_カレンダー（週））
②スケジュール_空き状況検索
③スマデバのスケジュール（グループ）一覧
④スマデバのスケジュール（リスト）一覧
⑤スマデバのスケジュール（カレンダー）</t>
    <rPh sb="50" eb="51">
      <t>オナ</t>
    </rPh>
    <rPh sb="52" eb="54">
      <t>モンダイ</t>
    </rPh>
    <rPh sb="60" eb="62">
      <t>シュウセイ</t>
    </rPh>
    <rPh sb="88" eb="89">
      <t>シュウ</t>
    </rPh>
    <phoneticPr fontId="4"/>
  </si>
  <si>
    <t>XCAT</t>
    <phoneticPr fontId="4"/>
  </si>
  <si>
    <t>NDIT 張えん</t>
    <phoneticPr fontId="4"/>
  </si>
  <si>
    <t>【発生原因】
内容項目の既存の最大文字数が1000文字となっている
【根本原因】
IAC更改の影響調査で、ISPとIACのチェックロジックが不一致になることを発覚できなかった</t>
    <rPh sb="7" eb="9">
      <t>ナイヨウ</t>
    </rPh>
    <rPh sb="9" eb="11">
      <t>コウモク</t>
    </rPh>
    <rPh sb="12" eb="14">
      <t>キゾン</t>
    </rPh>
    <rPh sb="15" eb="17">
      <t>サイダイ</t>
    </rPh>
    <rPh sb="17" eb="19">
      <t>モジ</t>
    </rPh>
    <rPh sb="19" eb="20">
      <t>スウ</t>
    </rPh>
    <rPh sb="25" eb="27">
      <t>モジ</t>
    </rPh>
    <rPh sb="45" eb="47">
      <t>コウカイ</t>
    </rPh>
    <rPh sb="48" eb="50">
      <t>エイキョウ</t>
    </rPh>
    <rPh sb="50" eb="52">
      <t>チョウサ</t>
    </rPh>
    <rPh sb="71" eb="74">
      <t>フイッチ</t>
    </rPh>
    <rPh sb="80" eb="82">
      <t>ハッカク</t>
    </rPh>
    <phoneticPr fontId="4"/>
  </si>
  <si>
    <t>【手順】
TODO編集画面にて、全項目がフル桁となる移行データを表示する。
内容の表示値を修正せず、保存する。
【現象】
保存できなく、内容項目にチェックエラーが発生</t>
    <rPh sb="1" eb="3">
      <t>テジュン</t>
    </rPh>
    <rPh sb="9" eb="11">
      <t>ヘンシュウ</t>
    </rPh>
    <rPh sb="11" eb="13">
      <t>ガメン</t>
    </rPh>
    <rPh sb="16" eb="17">
      <t>ゼン</t>
    </rPh>
    <rPh sb="17" eb="19">
      <t>コウモク</t>
    </rPh>
    <rPh sb="22" eb="23">
      <t>ケタ</t>
    </rPh>
    <rPh sb="32" eb="34">
      <t>ヒョウジ</t>
    </rPh>
    <rPh sb="38" eb="40">
      <t>ナイヨウ</t>
    </rPh>
    <rPh sb="41" eb="43">
      <t>ヒョウジ</t>
    </rPh>
    <rPh sb="43" eb="44">
      <t>チ</t>
    </rPh>
    <rPh sb="45" eb="47">
      <t>シュウセイ</t>
    </rPh>
    <rPh sb="50" eb="52">
      <t>ホゾン</t>
    </rPh>
    <rPh sb="58" eb="60">
      <t>ゲンショウ</t>
    </rPh>
    <rPh sb="69" eb="71">
      <t>ナイヨウ</t>
    </rPh>
    <rPh sb="71" eb="73">
      <t>コウモク</t>
    </rPh>
    <rPh sb="82" eb="84">
      <t>ハッセイ</t>
    </rPh>
    <phoneticPr fontId="4"/>
  </si>
  <si>
    <t>NDIT 余</t>
    <rPh sb="5" eb="6">
      <t>ヨ</t>
    </rPh>
    <phoneticPr fontId="4"/>
  </si>
  <si>
    <t>IACのUI更改</t>
    <rPh sb="6" eb="8">
      <t>コウカイ</t>
    </rPh>
    <phoneticPr fontId="4"/>
  </si>
  <si>
    <t>TODO登録</t>
    <rPh sb="4" eb="6">
      <t>トウロク</t>
    </rPh>
    <phoneticPr fontId="4"/>
  </si>
  <si>
    <t>伝言メモ登録</t>
    <rPh sb="0" eb="2">
      <t>デンゴン</t>
    </rPh>
    <rPh sb="4" eb="6">
      <t>トウロク</t>
    </rPh>
    <phoneticPr fontId="4"/>
  </si>
  <si>
    <t>移行確認</t>
    <rPh sb="0" eb="2">
      <t>イコウ</t>
    </rPh>
    <rPh sb="2" eb="4">
      <t>カクニン</t>
    </rPh>
    <phoneticPr fontId="4"/>
  </si>
  <si>
    <t>NDIT 余</t>
    <phoneticPr fontId="4"/>
  </si>
  <si>
    <t>仕様からの展開の問題</t>
  </si>
  <si>
    <t>【手順】
ポータル画面の伝言メモポートレットに任意の伝言をクリックする
【現象】
選択した伝言をポップアップで表示するが、ポップアップ画面にスクロールがある</t>
    <rPh sb="9" eb="11">
      <t>ガメン</t>
    </rPh>
    <rPh sb="12" eb="14">
      <t>デンゴン</t>
    </rPh>
    <rPh sb="23" eb="25">
      <t>ニンイ</t>
    </rPh>
    <rPh sb="42" eb="44">
      <t>センタク</t>
    </rPh>
    <rPh sb="46" eb="48">
      <t>デンゴン</t>
    </rPh>
    <rPh sb="56" eb="58">
      <t>ヒョウジ</t>
    </rPh>
    <rPh sb="68" eb="70">
      <t>ガメン</t>
    </rPh>
    <phoneticPr fontId="4"/>
  </si>
  <si>
    <t>【発生原因】
UI更改によって、ポータル上の文字サイズが大きくなりましたが、ポップアップ画面が当初のUI更改対象画面となっていないので、画面の既定サイズの修正を漏れた</t>
    <rPh sb="9" eb="11">
      <t>コウカイ</t>
    </rPh>
    <rPh sb="20" eb="21">
      <t>ジョウ</t>
    </rPh>
    <rPh sb="22" eb="24">
      <t>モジ</t>
    </rPh>
    <rPh sb="28" eb="29">
      <t>オオ</t>
    </rPh>
    <rPh sb="44" eb="46">
      <t>ガメン</t>
    </rPh>
    <rPh sb="47" eb="49">
      <t>トウショ</t>
    </rPh>
    <rPh sb="52" eb="54">
      <t>コウカイ</t>
    </rPh>
    <rPh sb="54" eb="56">
      <t>タイショウ</t>
    </rPh>
    <rPh sb="56" eb="58">
      <t>ガメン</t>
    </rPh>
    <rPh sb="68" eb="70">
      <t>ガメン</t>
    </rPh>
    <rPh sb="71" eb="73">
      <t>キテイ</t>
    </rPh>
    <rPh sb="77" eb="79">
      <t>シュウセイ</t>
    </rPh>
    <rPh sb="80" eb="81">
      <t>モ</t>
    </rPh>
    <phoneticPr fontId="4"/>
  </si>
  <si>
    <t>NDIT 張健</t>
    <rPh sb="6" eb="7">
      <t>ケン</t>
    </rPh>
    <phoneticPr fontId="4"/>
  </si>
  <si>
    <t>ISPと同様の仕様で対応いただきたいです。</t>
    <rPh sb="4" eb="5">
      <t>オナ</t>
    </rPh>
    <rPh sb="7" eb="9">
      <t>シヨウ</t>
    </rPh>
    <rPh sb="10" eb="12">
      <t>タイオウ</t>
    </rPh>
    <phoneticPr fontId="4"/>
  </si>
  <si>
    <t>修正案①でお願いします。</t>
    <rPh sb="0" eb="2">
      <t>シュウセイ</t>
    </rPh>
    <rPh sb="2" eb="3">
      <t>アン</t>
    </rPh>
    <rPh sb="6" eb="7">
      <t>ネガ</t>
    </rPh>
    <phoneticPr fontId="4"/>
  </si>
  <si>
    <t>NTTD回答</t>
    <rPh sb="4" eb="6">
      <t>カイトウ</t>
    </rPh>
    <phoneticPr fontId="4"/>
  </si>
  <si>
    <t>【手順】
　既存履歴情報のリンクをクリックして、
ToDo連携情報エリアが表示される
【現象】
TODOエリア（参照モード）のUI更改漏れ</t>
    <phoneticPr fontId="4"/>
  </si>
  <si>
    <t>【手順】
　スケジュール編集画面、案件詳細リンクをを押下する。
【現象】
システムエラーが発生します。</t>
    <rPh sb="17" eb="19">
      <t>アンケン</t>
    </rPh>
    <phoneticPr fontId="4"/>
  </si>
  <si>
    <t>【手順】
　①スケジュール編集画面、案件検索ボタンをを押下する。
　②案件検索画面の検索ボタンを押下しする。
【現象】
①案件検索画面に左側のメニューが残っています。
②案件検索一覧画面の案件選択不能。</t>
    <rPh sb="18" eb="20">
      <t>アンケン</t>
    </rPh>
    <rPh sb="35" eb="37">
      <t>アンケン</t>
    </rPh>
    <rPh sb="62" eb="64">
      <t>アンケン</t>
    </rPh>
    <rPh sb="86" eb="88">
      <t>アンケン</t>
    </rPh>
    <rPh sb="95" eb="97">
      <t>アンケン</t>
    </rPh>
    <phoneticPr fontId="4"/>
  </si>
  <si>
    <t>【手順】
　①スケジュール編集画面、顧客検索ボタンをを押下する。
　②顧客検索画面の検索ボタンを押下しする。
【現象】
①顧客検索画面に左側のメニューが残っています。
②顧客検索一覧画面の顧客選択不能。</t>
    <rPh sb="13" eb="15">
      <t>ヘンシュウ</t>
    </rPh>
    <rPh sb="15" eb="17">
      <t>ガメン</t>
    </rPh>
    <rPh sb="18" eb="20">
      <t>コキャク</t>
    </rPh>
    <rPh sb="20" eb="22">
      <t>ケンサク</t>
    </rPh>
    <rPh sb="39" eb="41">
      <t>ガメン</t>
    </rPh>
    <rPh sb="42" eb="44">
      <t>ケンサク</t>
    </rPh>
    <rPh sb="48" eb="50">
      <t>オウカ</t>
    </rPh>
    <rPh sb="63" eb="65">
      <t>コキャク</t>
    </rPh>
    <rPh sb="65" eb="67">
      <t>ケンサク</t>
    </rPh>
    <rPh sb="67" eb="69">
      <t>ガメン</t>
    </rPh>
    <rPh sb="70" eb="72">
      <t>ヒダリガワ</t>
    </rPh>
    <rPh sb="78" eb="79">
      <t>ノコ</t>
    </rPh>
    <rPh sb="87" eb="91">
      <t>コキャクケンサク</t>
    </rPh>
    <rPh sb="96" eb="98">
      <t>コキャク</t>
    </rPh>
    <phoneticPr fontId="4"/>
  </si>
  <si>
    <t>【手順】
　スケジュール編集画面、顧客詳細リンクをを押下する。
【現象】
システムエラーが発生します。</t>
    <rPh sb="19" eb="21">
      <t>ショウサイ</t>
    </rPh>
    <rPh sb="46" eb="48">
      <t>ハッセイ</t>
    </rPh>
    <phoneticPr fontId="4"/>
  </si>
  <si>
    <t>【発生原因】
「参加者編集許可」として移行するのは移行要件のテーブルマッピング仕様書の通りです。
【根本原因】
仕様漏れる</t>
    <phoneticPr fontId="4"/>
  </si>
  <si>
    <t>【修正内容】
参加者編集許可の値を不可に変更する
【横展開】
なし</t>
  </si>
  <si>
    <t>無</t>
    <rPh sb="0" eb="1">
      <t>ナ</t>
    </rPh>
    <phoneticPr fontId="4"/>
  </si>
  <si>
    <t>NDIT 張健</t>
    <rPh sb="5" eb="7">
      <t>チョウケン</t>
    </rPh>
    <phoneticPr fontId="4"/>
  </si>
  <si>
    <t>【修正内容】
伝言メモポートレット詳細ポップアップ画面に
タイトルと用件のフォントサイズを修正した。
また、背景色も画面の下に空白がでないよういに伸ばした。
【横展開】
なし</t>
    <rPh sb="1" eb="3">
      <t>シュウセイ</t>
    </rPh>
    <rPh sb="3" eb="5">
      <t>ナイヨウ</t>
    </rPh>
    <rPh sb="7" eb="9">
      <t>デンゴン</t>
    </rPh>
    <rPh sb="17" eb="19">
      <t>ショウサイ</t>
    </rPh>
    <rPh sb="25" eb="27">
      <t>ガメン</t>
    </rPh>
    <rPh sb="34" eb="36">
      <t>ヨウケン</t>
    </rPh>
    <rPh sb="45" eb="47">
      <t>シュウセイ</t>
    </rPh>
    <rPh sb="54" eb="57">
      <t>ハイケイショク</t>
    </rPh>
    <rPh sb="58" eb="60">
      <t>ガメン</t>
    </rPh>
    <rPh sb="61" eb="62">
      <t>シタ</t>
    </rPh>
    <rPh sb="63" eb="65">
      <t>クウハク</t>
    </rPh>
    <rPh sb="73" eb="74">
      <t>ノ</t>
    </rPh>
    <rPh sb="81" eb="82">
      <t>ヨコ</t>
    </rPh>
    <rPh sb="82" eb="84">
      <t>テンカイ</t>
    </rPh>
    <phoneticPr fontId="4"/>
  </si>
  <si>
    <t>【手順】
案件更新画面にて、履歴一覧の中に、TODO連携ありのレコードの対応内容リンクを押下する。履歴詳細とTODO連携の内容を表示させる。
【現象】
ボタン「Todo連携する／ToDo連携しない」が表示される。
現行のISP画面の方は表示しない。現新が一致になってない。</t>
    <rPh sb="5" eb="11">
      <t>アンケンコウシンガメン</t>
    </rPh>
    <phoneticPr fontId="4"/>
  </si>
  <si>
    <t>NDIT</t>
    <phoneticPr fontId="4"/>
  </si>
  <si>
    <t>XCAT袁</t>
    <rPh sb="4" eb="5">
      <t>エン</t>
    </rPh>
    <phoneticPr fontId="4"/>
  </si>
  <si>
    <t>5:修正ミス、修正漏れ</t>
  </si>
  <si>
    <t>環境都合によるテスト実施の先送り</t>
  </si>
  <si>
    <t xml:space="preserve">【修正内容】
ToDo連携切替スイッチ：編集モードかつToDo詳細モード以外のみ表示
</t>
    <phoneticPr fontId="4"/>
  </si>
  <si>
    <t>【修正内容】
ツールバー開始位置を修正する。
【横展開】
なし</t>
    <rPh sb="12" eb="16">
      <t>カイシイチ</t>
    </rPh>
    <rPh sb="17" eb="19">
      <t>シュウセイ</t>
    </rPh>
    <phoneticPr fontId="4"/>
  </si>
  <si>
    <t>定期スケジュール編集SP画面：repeat_schedule_edit.html
編集画面なので、スケジュールテーブルの登録値によって、画面項目の選択肢を選択すべきですが、現状は拡張項目の既定値を見ている。
修正方法が「checked=option.defaultFlg」の部分を削除することと思っています。</t>
    <phoneticPr fontId="4"/>
  </si>
  <si>
    <t>3:仕様の確認不足</t>
  </si>
  <si>
    <t>【発生原因】
ポートレット側のスケジュールアイコン表示が対応漏れた
【根本原因】
ポートレットのFW更改内容について、NTTD側への確認不足でしたので、スケジュールアイコンの対応が漏れた</t>
    <rPh sb="13" eb="14">
      <t>ガワ</t>
    </rPh>
    <rPh sb="25" eb="27">
      <t>ヒョウジ</t>
    </rPh>
    <rPh sb="28" eb="30">
      <t>タイオウ</t>
    </rPh>
    <rPh sb="30" eb="31">
      <t>モ</t>
    </rPh>
    <rPh sb="51" eb="53">
      <t>コウカイ</t>
    </rPh>
    <rPh sb="53" eb="55">
      <t>ナイヨウ</t>
    </rPh>
    <rPh sb="64" eb="65">
      <t>ガワ</t>
    </rPh>
    <rPh sb="67" eb="69">
      <t>カクニン</t>
    </rPh>
    <rPh sb="69" eb="71">
      <t>フソク</t>
    </rPh>
    <rPh sb="88" eb="90">
      <t>タイオウ</t>
    </rPh>
    <rPh sb="91" eb="92">
      <t>モ</t>
    </rPh>
    <phoneticPr fontId="4"/>
  </si>
  <si>
    <t>【手順】
スケジュールの期間を複数日設定する
スケジュール⇒スケジュールグループ（日）⇒スケジュールグループ（週）
【現象】
在席状況の領域がスケジュールバーに覆われた。</t>
    <rPh sb="12" eb="14">
      <t>キカン</t>
    </rPh>
    <rPh sb="55" eb="56">
      <t>シュウ</t>
    </rPh>
    <rPh sb="68" eb="70">
      <t>リョウイキ</t>
    </rPh>
    <rPh sb="80" eb="81">
      <t>オオ</t>
    </rPh>
    <phoneticPr fontId="4"/>
  </si>
  <si>
    <t xml:space="preserve">【発生原因】
スケジュールバーの開始位置の計算が不正です。
【根本原因】
</t>
    <phoneticPr fontId="4"/>
  </si>
  <si>
    <t>【手順】
標準ツール移行⇒施設変更画面⇒アクセス権詳細
【現象】
ISP側で権限が「全組織」の施設の場合、iACに移行すると、該当施設の権限を設定していない</t>
    <rPh sb="5" eb="7">
      <t>ヒョウジュン</t>
    </rPh>
    <rPh sb="10" eb="12">
      <t>イコウ</t>
    </rPh>
    <rPh sb="13" eb="15">
      <t>シセツ</t>
    </rPh>
    <rPh sb="15" eb="17">
      <t>ヘンコウ</t>
    </rPh>
    <rPh sb="17" eb="19">
      <t>ガメン</t>
    </rPh>
    <rPh sb="36" eb="37">
      <t>ガワ</t>
    </rPh>
    <rPh sb="38" eb="40">
      <t>ケンゲン</t>
    </rPh>
    <rPh sb="42" eb="45">
      <t>ゼンソシキ</t>
    </rPh>
    <rPh sb="50" eb="52">
      <t>バアイ</t>
    </rPh>
    <rPh sb="57" eb="59">
      <t>イコウ</t>
    </rPh>
    <rPh sb="63" eb="65">
      <t>ガイトウ</t>
    </rPh>
    <rPh sb="65" eb="67">
      <t>シセツ</t>
    </rPh>
    <rPh sb="68" eb="70">
      <t>ケンゲン</t>
    </rPh>
    <rPh sb="71" eb="73">
      <t>セッテイ</t>
    </rPh>
    <phoneticPr fontId="4"/>
  </si>
  <si>
    <t>【発生原因】
権限のデータが移行なし
【根本原因】
仕様書の記載漏れ</t>
    <rPh sb="7" eb="9">
      <t>ケンゲン</t>
    </rPh>
    <rPh sb="27" eb="30">
      <t>シヨウショ</t>
    </rPh>
    <rPh sb="31" eb="33">
      <t>キサイ</t>
    </rPh>
    <rPh sb="33" eb="34">
      <t>モ</t>
    </rPh>
    <phoneticPr fontId="4"/>
  </si>
  <si>
    <t>XCAT社さんから頂いた詳細画面へのURLが正しくない</t>
    <rPh sb="4" eb="5">
      <t>シャ</t>
    </rPh>
    <rPh sb="9" eb="10">
      <t>イタダ</t>
    </rPh>
    <rPh sb="12" eb="14">
      <t>ショウサイ</t>
    </rPh>
    <rPh sb="14" eb="16">
      <t>ガメン</t>
    </rPh>
    <rPh sb="22" eb="23">
      <t>タダ</t>
    </rPh>
    <phoneticPr fontId="4"/>
  </si>
  <si>
    <t>2:周知連絡の不徹底</t>
  </si>
  <si>
    <t>XCAT側に分析</t>
    <rPh sb="4" eb="5">
      <t>ガワ</t>
    </rPh>
    <rPh sb="6" eb="8">
      <t>ブンセキ</t>
    </rPh>
    <phoneticPr fontId="4"/>
  </si>
  <si>
    <t>XCAT側に分析</t>
    <phoneticPr fontId="4"/>
  </si>
  <si>
    <t>XCAT側に分析
【発生原因】
仕様書記述不足
【根本原因】
・UT環境ではTODO資材がないのため、検証出来なかった。
・UI表示が単一ボタンの表示/非表示から「Todo連携する／ToDo連携しない」スイッチボタンに変更されたため、理解のズレが発生しました。</t>
    <rPh sb="21" eb="23">
      <t>ブソク</t>
    </rPh>
    <rPh sb="35" eb="37">
      <t>カンキョウ</t>
    </rPh>
    <rPh sb="43" eb="45">
      <t>シザイ</t>
    </rPh>
    <rPh sb="52" eb="54">
      <t>ケンショウ</t>
    </rPh>
    <rPh sb="54" eb="56">
      <t>デキ</t>
    </rPh>
    <rPh sb="74" eb="76">
      <t>ヒョウジ</t>
    </rPh>
    <rPh sb="77" eb="80">
      <t>ヒヒョウジ</t>
    </rPh>
    <phoneticPr fontId="4"/>
  </si>
  <si>
    <t>NDIT・XCAT</t>
    <phoneticPr fontId="4"/>
  </si>
  <si>
    <t>■NDIT
スケジュール編集画面の顧客詳細リンクのURLを修正</t>
    <rPh sb="12" eb="14">
      <t>ヘンシュウ</t>
    </rPh>
    <rPh sb="14" eb="16">
      <t>ガメン</t>
    </rPh>
    <rPh sb="17" eb="19">
      <t>コキャク</t>
    </rPh>
    <rPh sb="19" eb="21">
      <t>ショウサイ</t>
    </rPh>
    <rPh sb="29" eb="31">
      <t>シュウセイ</t>
    </rPh>
    <phoneticPr fontId="4"/>
  </si>
  <si>
    <t>■NDIT
スケジュール編集画面の案件詳細リンクのURLを修正</t>
    <rPh sb="12" eb="14">
      <t>ヘンシュウ</t>
    </rPh>
    <rPh sb="14" eb="16">
      <t>ガメン</t>
    </rPh>
    <rPh sb="17" eb="19">
      <t>アンケン</t>
    </rPh>
    <rPh sb="19" eb="21">
      <t>ショウサイ</t>
    </rPh>
    <rPh sb="29" eb="31">
      <t>シュウセイ</t>
    </rPh>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</si>
</sst>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176" formatCode="&quot;第&quot;0&quot;回&quot;"/>
    <numFmt numFmtId="177" formatCode="00"/>
    <numFmt numFmtId="178" formatCode="yy/mm/dd"/>
    <numFmt numFmtId="179" formatCode="m/d"/>
    <numFmt numFmtId="180" formatCode="yyyy"/>
    <numFmt numFmtId="181" formatCode="0.0"/>
    <numFmt numFmtId="182" formatCode="aaaa"/>
    <numFmt numFmtId="183" formatCode="0.00_ "/>
    <numFmt numFmtId="184" formatCode="0&quot;週目より表示&quot;"/>
    <numFmt numFmtId="185" formatCode="0_ "/>
    <numFmt numFmtId="186" formatCode="#,##0;\-#,##0;&quot;-&quot;"/>
    <numFmt numFmtId="187" formatCode="&quot;$&quot;#,##0_);[Red]\(&quot;$&quot;#,##0\)"/>
    <numFmt numFmtId="188" formatCode="&quot;$&quot;#,##0.00_);[Red]\(&quot;$&quot;#,##0.00\)"/>
    <numFmt numFmtId="189" formatCode="\C&quot;$&quot;#,###"/>
    <numFmt numFmtId="190" formatCode="yyyy/mm/dd"/>
    <numFmt numFmtId="191" formatCode="&quot;UT&quot;\-0000"/>
    <numFmt numFmtId="192" formatCode="0000"/>
    <numFmt numFmtId="193" formatCode="#,##0_);[Red]\(#,##0\)"/>
    <numFmt numFmtId="194" formatCode="0_);[Red]\(0\)"/>
    <numFmt numFmtId="195" formatCode="&quot;IT&quot;\-0000"/>
  </numFmts>
  <fonts count="63">
    <font>
      <sz val="11"/>
      <color theme="1"/>
      <name val="ＭＳ Ｐゴシック"/>
      <family val="3"/>
      <charset val="128"/>
      <scheme val="minor"/>
    </font>
    <font>
      <sz val="11"/>
      <color theme="1"/>
      <name val="ＭＳ Ｐゴシック"/>
      <family val="2"/>
      <charset val="128"/>
      <scheme val="minor"/>
    </font>
    <font>
      <sz val="11"/>
      <color theme="1"/>
      <name val="MS UI Gothic"/>
      <family val="2"/>
      <charset val="128"/>
    </font>
    <font>
      <sz val="11"/>
      <color indexed="8"/>
      <name val="ＭＳ Ｐゴシック"/>
      <family val="3"/>
      <charset val="128"/>
    </font>
    <font>
      <sz val="6"/>
      <name val="ＭＳ Ｐゴシック"/>
      <family val="3"/>
      <charset val="128"/>
    </font>
    <font>
      <sz val="10"/>
      <color indexed="8"/>
      <name val="ＭＳ Ｐゴシック"/>
      <family val="3"/>
      <charset val="128"/>
    </font>
    <font>
      <sz val="6"/>
      <name val="ＭＳ Ｐゴシック"/>
      <family val="3"/>
      <charset val="128"/>
    </font>
    <font>
      <sz val="6"/>
      <name val="ＭＳ Ｐゴシック"/>
      <family val="3"/>
      <charset val="128"/>
    </font>
    <font>
      <sz val="6"/>
      <name val="ＭＳ Ｐゴシック"/>
      <family val="3"/>
      <charset val="128"/>
    </font>
    <font>
      <b/>
      <sz val="11"/>
      <color indexed="9"/>
      <name val="ＭＳ Ｐゴシック"/>
      <family val="3"/>
      <charset val="128"/>
    </font>
    <font>
      <sz val="11"/>
      <color indexed="8"/>
      <name val="ＭＳ Ｐゴシック"/>
      <family val="3"/>
      <charset val="128"/>
    </font>
    <font>
      <b/>
      <sz val="11"/>
      <color indexed="8"/>
      <name val="ＭＳ Ｐゴシック"/>
      <family val="3"/>
      <charset val="128"/>
    </font>
    <font>
      <b/>
      <sz val="14"/>
      <color indexed="8"/>
      <name val="ＭＳ Ｐゴシック"/>
      <family val="3"/>
      <charset val="128"/>
    </font>
    <font>
      <sz val="10"/>
      <color indexed="8"/>
      <name val="ＭＳ Ｐゴシック"/>
      <family val="3"/>
      <charset val="128"/>
    </font>
    <font>
      <sz val="14"/>
      <color indexed="8"/>
      <name val="ＭＳ Ｐゴシック"/>
      <family val="3"/>
      <charset val="128"/>
    </font>
    <font>
      <sz val="10"/>
      <color indexed="9"/>
      <name val="ＭＳ Ｐゴシック"/>
      <family val="3"/>
      <charset val="128"/>
    </font>
    <font>
      <sz val="10"/>
      <name val="ＭＳ Ｐゴシック"/>
      <family val="3"/>
      <charset val="128"/>
    </font>
    <font>
      <sz val="12"/>
      <color indexed="8"/>
      <name val="ＭＳ Ｐゴシック"/>
      <family val="3"/>
      <charset val="128"/>
    </font>
    <font>
      <b/>
      <sz val="12"/>
      <name val="ＭＳ Ｐゴシック"/>
      <family val="3"/>
      <charset val="128"/>
    </font>
    <font>
      <sz val="16"/>
      <color indexed="8"/>
      <name val="ＭＳ Ｐゴシック"/>
      <family val="3"/>
      <charset val="128"/>
    </font>
    <font>
      <b/>
      <sz val="11"/>
      <name val="ＭＳ Ｐゴシック"/>
      <family val="3"/>
      <charset val="128"/>
    </font>
    <font>
      <u/>
      <sz val="10"/>
      <color indexed="12"/>
      <name val="ＭＳ Ｐゴシック"/>
      <family val="3"/>
      <charset val="128"/>
    </font>
    <font>
      <b/>
      <sz val="10.5"/>
      <color indexed="8"/>
      <name val="ＭＳ Ｐゴシック"/>
      <family val="3"/>
      <charset val="128"/>
    </font>
    <font>
      <b/>
      <sz val="10.5"/>
      <name val="ＭＳ Ｐゴシック"/>
      <family val="3"/>
      <charset val="128"/>
    </font>
    <font>
      <b/>
      <u/>
      <sz val="11"/>
      <color indexed="8"/>
      <name val="ＭＳ Ｐゴシック"/>
      <family val="3"/>
      <charset val="128"/>
    </font>
    <font>
      <sz val="10"/>
      <color indexed="10"/>
      <name val="ＭＳ Ｐゴシック"/>
      <family val="3"/>
      <charset val="128"/>
    </font>
    <font>
      <b/>
      <sz val="12"/>
      <color indexed="8"/>
      <name val="ＭＳ Ｐゴシック"/>
      <family val="3"/>
      <charset val="128"/>
    </font>
    <font>
      <sz val="11"/>
      <name val="ＭＳ Ｐゴシック"/>
      <family val="3"/>
      <charset val="128"/>
    </font>
    <font>
      <sz val="6"/>
      <name val="ＭＳ Ｐゴシック"/>
      <family val="3"/>
      <charset val="128"/>
    </font>
    <font>
      <b/>
      <sz val="16"/>
      <color indexed="8"/>
      <name val="ＭＳ Ｐゴシック"/>
      <family val="3"/>
      <charset val="128"/>
    </font>
    <font>
      <b/>
      <sz val="9"/>
      <color indexed="10"/>
      <name val="ＭＳ Ｐゴシック"/>
      <family val="3"/>
      <charset val="128"/>
    </font>
    <font>
      <u/>
      <sz val="11"/>
      <color theme="10"/>
      <name val="ＭＳ Ｐゴシック"/>
      <family val="3"/>
      <charset val="128"/>
      <scheme val="minor"/>
    </font>
    <font>
      <b/>
      <sz val="11"/>
      <color theme="1"/>
      <name val="ＭＳ Ｐゴシック"/>
      <family val="3"/>
      <charset val="128"/>
      <scheme val="minor"/>
    </font>
    <font>
      <b/>
      <sz val="11"/>
      <color rgb="FFFF0000"/>
      <name val="ＭＳ Ｐゴシック"/>
      <family val="3"/>
      <charset val="128"/>
      <scheme val="minor"/>
    </font>
    <font>
      <sz val="10"/>
      <color rgb="FFFF0000"/>
      <name val="ＭＳ Ｐゴシック"/>
      <family val="3"/>
      <charset val="128"/>
      <scheme val="minor"/>
    </font>
    <font>
      <sz val="11"/>
      <color rgb="FF000000"/>
      <name val="ＭＳ Ｐゴシック"/>
      <family val="3"/>
      <charset val="128"/>
    </font>
    <font>
      <sz val="6"/>
      <name val="ＭＳ Ｐゴシック"/>
      <family val="3"/>
      <charset val="128"/>
      <scheme val="minor"/>
    </font>
    <font>
      <sz val="12"/>
      <color theme="1"/>
      <name val="ＭＳ Ｐゴシック"/>
      <family val="3"/>
      <charset val="128"/>
      <scheme val="minor"/>
    </font>
    <font>
      <sz val="10"/>
      <color theme="1"/>
      <name val="ＭＳ Ｐゴシック"/>
      <family val="3"/>
      <charset val="128"/>
      <scheme val="minor"/>
    </font>
    <font>
      <b/>
      <sz val="10"/>
      <name val="ＭＳ Ｐゴシック"/>
      <family val="3"/>
      <charset val="128"/>
    </font>
    <font>
      <b/>
      <sz val="10"/>
      <color rgb="FFFF0000"/>
      <name val="ＭＳ Ｐゴシック"/>
      <family val="3"/>
      <charset val="128"/>
    </font>
    <font>
      <sz val="8"/>
      <color rgb="FF4D4D4D"/>
      <name val="ＭＳ Ｐゴシック"/>
      <family val="3"/>
      <charset val="128"/>
    </font>
    <font>
      <sz val="10"/>
      <color theme="2"/>
      <name val="ＭＳ Ｐゴシック"/>
      <family val="3"/>
      <charset val="128"/>
    </font>
    <font>
      <sz val="10"/>
      <color indexed="8"/>
      <name val="Arial"/>
      <family val="2"/>
    </font>
    <font>
      <sz val="8"/>
      <name val="Arial"/>
      <family val="2"/>
    </font>
    <font>
      <b/>
      <sz val="12"/>
      <name val="Arial"/>
      <family val="2"/>
    </font>
    <font>
      <sz val="10"/>
      <name val="ＭＳ ゴシック"/>
      <family val="3"/>
      <charset val="128"/>
    </font>
    <font>
      <sz val="10"/>
      <name val="MS Sans Serif"/>
      <family val="2"/>
    </font>
    <font>
      <sz val="11"/>
      <name val="明朝"/>
      <family val="3"/>
      <charset val="128"/>
    </font>
    <font>
      <sz val="10"/>
      <name val="Arial"/>
      <family val="2"/>
    </font>
    <font>
      <u/>
      <sz val="8.25"/>
      <color indexed="36"/>
      <name val="ＭＳ Ｐゴシック"/>
      <family val="3"/>
      <charset val="128"/>
    </font>
    <font>
      <sz val="14"/>
      <name val="ＭＳ 明朝"/>
      <family val="1"/>
      <charset val="128"/>
    </font>
    <font>
      <b/>
      <sz val="6"/>
      <color indexed="8"/>
      <name val="ＭＳ Ｐゴシック"/>
      <family val="3"/>
      <charset val="128"/>
    </font>
    <font>
      <sz val="12"/>
      <name val="ＭＳ Ｐゴシック"/>
      <family val="3"/>
      <charset val="128"/>
    </font>
    <font>
      <sz val="9"/>
      <name val="ＭＳ Ｐゴシック"/>
      <family val="3"/>
      <charset val="128"/>
    </font>
    <font>
      <sz val="18"/>
      <color theme="3"/>
      <name val="ＭＳ Ｐゴシック"/>
      <family val="2"/>
      <charset val="128"/>
      <scheme val="major"/>
    </font>
    <font>
      <sz val="11"/>
      <color rgb="FFFF0000"/>
      <name val="ＭＳ Ｐゴシック"/>
      <family val="3"/>
      <charset val="128"/>
      <scheme val="minor"/>
    </font>
    <font>
      <sz val="12"/>
      <color rgb="FFFF0000"/>
      <name val="ＭＳ Ｐゴシック"/>
      <family val="3"/>
      <charset val="128"/>
    </font>
    <font>
      <b/>
      <sz val="10.5"/>
      <color rgb="FFFF0000"/>
      <name val="ＭＳ Ｐゴシック"/>
      <family val="3"/>
      <charset val="128"/>
    </font>
    <font>
      <sz val="10"/>
      <color rgb="FFFF0000"/>
      <name val="ＭＳ Ｐゴシック"/>
      <family val="3"/>
      <charset val="128"/>
    </font>
    <font>
      <sz val="11"/>
      <color theme="1"/>
      <name val="ＭＳ Ｐゴシック"/>
      <family val="3"/>
      <charset val="128"/>
      <scheme val="minor"/>
    </font>
    <font>
      <sz val="11"/>
      <color theme="1" tint="0.499984740745262"/>
      <name val="ＭＳ Ｐゴシック"/>
      <family val="3"/>
      <charset val="128"/>
      <scheme val="minor"/>
    </font>
    <font>
      <b/>
      <sz val="10"/>
      <color theme="1"/>
      <name val="ＭＳ Ｐゴシック"/>
      <family val="3"/>
      <charset val="128"/>
      <scheme val="minor"/>
    </font>
  </fonts>
  <fills count="25">
    <fill>
      <patternFill patternType="none"/>
    </fill>
    <fill>
      <patternFill patternType="gray125"/>
    </fill>
    <fill>
      <patternFill patternType="solid">
        <fgColor indexed="19"/>
        <bgColor indexed="64"/>
      </patternFill>
    </fill>
    <fill>
      <patternFill patternType="solid">
        <fgColor indexed="59"/>
        <bgColor indexed="64"/>
      </patternFill>
    </fill>
    <fill>
      <patternFill patternType="solid">
        <fgColor indexed="43"/>
        <bgColor indexed="64"/>
      </patternFill>
    </fill>
    <fill>
      <patternFill patternType="solid">
        <fgColor indexed="22"/>
        <bgColor indexed="64"/>
      </patternFill>
    </fill>
    <fill>
      <patternFill patternType="solid">
        <fgColor theme="2" tint="-0.249977111117893"/>
        <bgColor indexed="64"/>
      </patternFill>
    </fill>
    <fill>
      <patternFill patternType="solid">
        <fgColor rgb="FFFFFF99"/>
        <bgColor indexed="64"/>
      </patternFill>
    </fill>
    <fill>
      <patternFill patternType="solid">
        <fgColor theme="2" tint="-9.9978637043366805E-2"/>
        <bgColor indexed="64"/>
      </patternFill>
    </fill>
    <fill>
      <patternFill patternType="solid">
        <fgColor theme="9" tint="0.59999389629810485"/>
        <bgColor indexed="64"/>
      </patternFill>
    </fill>
    <fill>
      <patternFill patternType="solid">
        <fgColor theme="2"/>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rgb="FFFF6699"/>
        <bgColor indexed="64"/>
      </patternFill>
    </fill>
    <fill>
      <patternFill patternType="solid">
        <fgColor rgb="FFFF9999"/>
        <bgColor indexed="64"/>
      </patternFill>
    </fill>
    <fill>
      <patternFill patternType="solid">
        <fgColor theme="0"/>
        <bgColor indexed="64"/>
      </patternFill>
    </fill>
    <fill>
      <patternFill patternType="solid">
        <fgColor rgb="FFFFCCCC"/>
        <bgColor indexed="64"/>
      </patternFill>
    </fill>
    <fill>
      <patternFill patternType="solid">
        <fgColor indexed="26"/>
        <bgColor indexed="64"/>
      </patternFill>
    </fill>
    <fill>
      <patternFill patternType="solid">
        <fgColor rgb="FFC4BD97"/>
        <bgColor indexed="64"/>
      </patternFill>
    </fill>
    <fill>
      <patternFill patternType="solid">
        <fgColor theme="6" tint="0.39997558519241921"/>
        <bgColor indexed="64"/>
      </patternFill>
    </fill>
    <fill>
      <patternFill patternType="lightUp">
        <fgColor theme="0" tint="-0.34998626667073579"/>
        <bgColor indexed="65"/>
      </patternFill>
    </fill>
    <fill>
      <patternFill patternType="solid">
        <fgColor rgb="FFCCFFCC"/>
        <bgColor indexed="64"/>
      </patternFill>
    </fill>
    <fill>
      <patternFill patternType="solid">
        <fgColor rgb="FFFFFF00"/>
        <bgColor indexed="64"/>
      </patternFill>
    </fill>
    <fill>
      <patternFill patternType="solid">
        <fgColor theme="8" tint="0.79998168889431442"/>
        <bgColor indexed="64"/>
      </patternFill>
    </fill>
    <fill>
      <patternFill patternType="solid">
        <fgColor theme="9" tint="0.79998168889431442"/>
        <bgColor indexed="64"/>
      </patternFill>
    </fill>
  </fills>
  <borders count="117">
    <border>
      <left/>
      <right/>
      <top/>
      <bottom/>
      <diagonal/>
    </border>
    <border>
      <left style="thin">
        <color indexed="64"/>
      </left>
      <right style="thin">
        <color indexed="64"/>
      </right>
      <top style="thin">
        <color indexed="64"/>
      </top>
      <bottom style="thin">
        <color indexed="64"/>
      </bottom>
      <diagonal/>
    </border>
    <border>
      <left style="thin">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top style="thin">
        <color indexed="64"/>
      </top>
      <bottom style="hair">
        <color indexed="64"/>
      </bottom>
      <diagonal/>
    </border>
    <border>
      <left style="thin">
        <color indexed="64"/>
      </left>
      <right/>
      <top style="hair">
        <color indexed="64"/>
      </top>
      <bottom style="thin">
        <color indexed="64"/>
      </bottom>
      <diagonal/>
    </border>
    <border>
      <left style="medium">
        <color indexed="64"/>
      </left>
      <right style="hair">
        <color indexed="64"/>
      </right>
      <top style="medium">
        <color indexed="64"/>
      </top>
      <bottom style="thin">
        <color indexed="64"/>
      </bottom>
      <diagonal/>
    </border>
    <border>
      <left style="hair">
        <color indexed="64"/>
      </left>
      <right style="hair">
        <color indexed="64"/>
      </right>
      <top style="medium">
        <color indexed="64"/>
      </top>
      <bottom style="thin">
        <color indexed="64"/>
      </bottom>
      <diagonal/>
    </border>
    <border>
      <left style="hair">
        <color indexed="64"/>
      </left>
      <right style="medium">
        <color indexed="64"/>
      </right>
      <top style="medium">
        <color indexed="64"/>
      </top>
      <bottom style="thin">
        <color indexed="64"/>
      </bottom>
      <diagonal/>
    </border>
    <border>
      <left style="hair">
        <color indexed="64"/>
      </left>
      <right/>
      <top style="medium">
        <color indexed="64"/>
      </top>
      <bottom style="thin">
        <color indexed="64"/>
      </bottom>
      <diagonal/>
    </border>
    <border>
      <left/>
      <right style="hair">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hair">
        <color indexed="64"/>
      </right>
      <top style="thin">
        <color indexed="64"/>
      </top>
      <bottom/>
      <diagonal/>
    </border>
    <border>
      <left style="hair">
        <color indexed="64"/>
      </left>
      <right style="hair">
        <color indexed="64"/>
      </right>
      <top style="thin">
        <color indexed="64"/>
      </top>
      <bottom/>
      <diagonal/>
    </border>
    <border>
      <left style="hair">
        <color indexed="64"/>
      </left>
      <right style="medium">
        <color indexed="64"/>
      </right>
      <top style="thin">
        <color indexed="64"/>
      </top>
      <bottom/>
      <diagonal/>
    </border>
    <border>
      <left style="hair">
        <color indexed="64"/>
      </left>
      <right/>
      <top style="thin">
        <color indexed="64"/>
      </top>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right style="hair">
        <color indexed="64"/>
      </right>
      <top style="thin">
        <color indexed="64"/>
      </top>
      <bottom/>
      <diagonal/>
    </border>
    <border>
      <left style="hair">
        <color indexed="64"/>
      </left>
      <right/>
      <top/>
      <bottom style="hair">
        <color indexed="64"/>
      </bottom>
      <diagonal/>
    </border>
    <border>
      <left style="hair">
        <color indexed="64"/>
      </left>
      <right/>
      <top style="hair">
        <color indexed="64"/>
      </top>
      <bottom style="hair">
        <color indexed="64"/>
      </bottom>
      <diagonal/>
    </border>
    <border>
      <left style="hair">
        <color indexed="64"/>
      </left>
      <right/>
      <top style="hair">
        <color indexed="64"/>
      </top>
      <bottom style="thin">
        <color indexed="64"/>
      </bottom>
      <diagonal/>
    </border>
    <border>
      <left style="hair">
        <color indexed="64"/>
      </left>
      <right/>
      <top style="thin">
        <color indexed="64"/>
      </top>
      <bottom style="hair">
        <color indexed="64"/>
      </bottom>
      <diagonal/>
    </border>
    <border>
      <left style="hair">
        <color indexed="64"/>
      </left>
      <right/>
      <top style="hair">
        <color indexed="64"/>
      </top>
      <bottom style="double">
        <color indexed="64"/>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style="hair">
        <color indexed="64"/>
      </top>
      <bottom style="thin">
        <color indexed="64"/>
      </bottom>
      <diagonal/>
    </border>
    <border>
      <left/>
      <right style="hair">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hair">
        <color indexed="64"/>
      </left>
      <right style="hair">
        <color indexed="64"/>
      </right>
      <top style="thin">
        <color indexed="64"/>
      </top>
      <bottom style="hair">
        <color indexed="64"/>
      </bottom>
      <diagonal/>
    </border>
    <border>
      <left style="thin">
        <color indexed="64"/>
      </left>
      <right style="hair">
        <color indexed="64"/>
      </right>
      <top style="hair">
        <color indexed="64"/>
      </top>
      <bottom style="double">
        <color indexed="64"/>
      </bottom>
      <diagonal/>
    </border>
    <border>
      <left style="hair">
        <color indexed="64"/>
      </left>
      <right style="hair">
        <color indexed="64"/>
      </right>
      <top style="hair">
        <color indexed="64"/>
      </top>
      <bottom style="double">
        <color indexed="64"/>
      </bottom>
      <diagonal/>
    </border>
    <border>
      <left style="hair">
        <color indexed="64"/>
      </left>
      <right style="thin">
        <color indexed="64"/>
      </right>
      <top style="hair">
        <color indexed="64"/>
      </top>
      <bottom style="double">
        <color indexed="64"/>
      </bottom>
      <diagonal/>
    </border>
    <border>
      <left style="thin">
        <color indexed="64"/>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style="thin">
        <color indexed="64"/>
      </right>
      <top/>
      <bottom style="hair">
        <color indexed="64"/>
      </bottom>
      <diagonal/>
    </border>
    <border>
      <left style="hair">
        <color indexed="64"/>
      </left>
      <right style="hair">
        <color indexed="64"/>
      </right>
      <top style="hair">
        <color indexed="64"/>
      </top>
      <bottom/>
      <diagonal/>
    </border>
    <border>
      <left style="hair">
        <color indexed="64"/>
      </left>
      <right/>
      <top style="hair">
        <color indexed="64"/>
      </top>
      <bottom/>
      <diagonal/>
    </border>
    <border>
      <left style="thin">
        <color indexed="64"/>
      </left>
      <right style="hair">
        <color indexed="64"/>
      </right>
      <top style="hair">
        <color indexed="64"/>
      </top>
      <bottom/>
      <diagonal/>
    </border>
    <border>
      <left style="hair">
        <color indexed="64"/>
      </left>
      <right style="thin">
        <color indexed="64"/>
      </right>
      <top style="hair">
        <color indexed="64"/>
      </top>
      <bottom/>
      <diagonal/>
    </border>
    <border>
      <left style="thin">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thin">
        <color indexed="64"/>
      </left>
      <right style="hair">
        <color indexed="8"/>
      </right>
      <top/>
      <bottom style="thin">
        <color indexed="64"/>
      </bottom>
      <diagonal/>
    </border>
    <border>
      <left style="hair">
        <color indexed="8"/>
      </left>
      <right style="thin">
        <color indexed="64"/>
      </right>
      <top/>
      <bottom style="thin">
        <color indexed="64"/>
      </bottom>
      <diagonal/>
    </border>
    <border>
      <left/>
      <right/>
      <top/>
      <bottom style="thin">
        <color indexed="64"/>
      </bottom>
      <diagonal/>
    </border>
    <border>
      <left style="medium">
        <color indexed="64"/>
      </left>
      <right style="hair">
        <color indexed="64"/>
      </right>
      <top style="thin">
        <color indexed="64"/>
      </top>
      <bottom style="thin">
        <color indexed="64"/>
      </bottom>
      <diagonal/>
    </border>
    <border>
      <left style="hair">
        <color indexed="64"/>
      </left>
      <right style="medium">
        <color indexed="64"/>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double">
        <color indexed="64"/>
      </top>
      <bottom/>
      <diagonal/>
    </border>
    <border>
      <left/>
      <right/>
      <top style="double">
        <color indexed="64"/>
      </top>
      <bottom/>
      <diagonal/>
    </border>
    <border>
      <left/>
      <right style="thin">
        <color indexed="64"/>
      </right>
      <top style="double">
        <color indexed="64"/>
      </top>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top/>
      <bottom style="double">
        <color indexed="64"/>
      </bottom>
      <diagonal/>
    </border>
    <border>
      <left/>
      <right/>
      <top/>
      <bottom style="double">
        <color indexed="64"/>
      </bottom>
      <diagonal/>
    </border>
    <border>
      <left/>
      <right style="hair">
        <color indexed="64"/>
      </right>
      <top/>
      <bottom style="double">
        <color indexed="64"/>
      </bottom>
      <diagonal/>
    </border>
    <border>
      <left style="hair">
        <color indexed="64"/>
      </left>
      <right style="hair">
        <color indexed="64"/>
      </right>
      <top/>
      <bottom/>
      <diagonal/>
    </border>
    <border>
      <left style="hair">
        <color indexed="64"/>
      </left>
      <right style="hair">
        <color indexed="64"/>
      </right>
      <top/>
      <bottom style="thin">
        <color indexed="64"/>
      </bottom>
      <diagonal/>
    </border>
    <border>
      <left/>
      <right style="thin">
        <color indexed="64"/>
      </right>
      <top style="thin">
        <color indexed="64"/>
      </top>
      <bottom/>
      <diagonal/>
    </border>
    <border>
      <left style="hair">
        <color indexed="64"/>
      </left>
      <right/>
      <top/>
      <bottom/>
      <diagonal/>
    </border>
    <border>
      <left/>
      <right style="thin">
        <color indexed="64"/>
      </right>
      <top/>
      <bottom/>
      <diagonal/>
    </border>
    <border>
      <left style="hair">
        <color indexed="64"/>
      </left>
      <right/>
      <top/>
      <bottom style="thin">
        <color indexed="64"/>
      </bottom>
      <diagonal/>
    </border>
    <border>
      <left/>
      <right style="hair">
        <color indexed="64"/>
      </right>
      <top/>
      <bottom/>
      <diagonal/>
    </border>
    <border>
      <left/>
      <right style="hair">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hair">
        <color indexed="64"/>
      </left>
      <right style="thin">
        <color indexed="64"/>
      </right>
      <top style="double">
        <color indexed="64"/>
      </top>
      <bottom style="hair">
        <color indexed="64"/>
      </bottom>
      <diagonal/>
    </border>
    <border>
      <left/>
      <right/>
      <top/>
      <bottom style="hair">
        <color indexed="64"/>
      </bottom>
      <diagonal/>
    </border>
    <border>
      <left/>
      <right style="thin">
        <color indexed="64"/>
      </right>
      <top/>
      <bottom style="hair">
        <color indexed="64"/>
      </bottom>
      <diagonal/>
    </border>
    <border>
      <left style="medium">
        <color rgb="FFFF0000"/>
      </left>
      <right style="medium">
        <color rgb="FFFF0000"/>
      </right>
      <top style="medium">
        <color rgb="FFFF0000"/>
      </top>
      <bottom style="hair">
        <color indexed="64"/>
      </bottom>
      <diagonal/>
    </border>
    <border>
      <left style="medium">
        <color rgb="FFFF0000"/>
      </left>
      <right style="medium">
        <color rgb="FFFF0000"/>
      </right>
      <top/>
      <bottom style="hair">
        <color indexed="64"/>
      </bottom>
      <diagonal/>
    </border>
    <border>
      <left style="medium">
        <color rgb="FFFF0000"/>
      </left>
      <right style="medium">
        <color rgb="FFFF0000"/>
      </right>
      <top style="hair">
        <color indexed="64"/>
      </top>
      <bottom style="hair">
        <color indexed="64"/>
      </bottom>
      <diagonal/>
    </border>
    <border>
      <left style="medium">
        <color rgb="FFFF0000"/>
      </left>
      <right style="medium">
        <color rgb="FFFF0000"/>
      </right>
      <top style="hair">
        <color indexed="64"/>
      </top>
      <bottom style="medium">
        <color rgb="FFFF0000"/>
      </bottom>
      <diagonal/>
    </border>
    <border>
      <left/>
      <right/>
      <top style="medium">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top style="hair">
        <color indexed="64"/>
      </top>
      <bottom/>
      <diagonal/>
    </border>
    <border>
      <left/>
      <right style="thin">
        <color indexed="64"/>
      </right>
      <top style="hair">
        <color indexed="64"/>
      </top>
      <bottom/>
      <diagonal/>
    </border>
    <border>
      <left/>
      <right style="hair">
        <color indexed="64"/>
      </right>
      <top/>
      <bottom style="hair">
        <color indexed="64"/>
      </bottom>
      <diagonal/>
    </border>
    <border>
      <left/>
      <right style="hair">
        <color indexed="64"/>
      </right>
      <top style="hair">
        <color indexed="64"/>
      </top>
      <bottom style="thin">
        <color indexed="64"/>
      </bottom>
      <diagonal/>
    </border>
    <border>
      <left style="thin">
        <color indexed="64"/>
      </left>
      <right/>
      <top style="hair">
        <color indexed="64"/>
      </top>
      <bottom style="hair">
        <color indexed="64"/>
      </bottom>
      <diagonal/>
    </border>
    <border>
      <left style="thin">
        <color indexed="64"/>
      </left>
      <right style="hair">
        <color indexed="64"/>
      </right>
      <top/>
      <bottom style="thin">
        <color indexed="64"/>
      </bottom>
      <diagonal/>
    </border>
    <border>
      <left style="medium">
        <color auto="1"/>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
      <left/>
      <right/>
      <top/>
      <bottom style="medium">
        <color auto="1"/>
      </bottom>
      <diagonal/>
    </border>
    <border>
      <left style="medium">
        <color auto="1"/>
      </left>
      <right style="hair">
        <color auto="1"/>
      </right>
      <top/>
      <bottom style="hair">
        <color auto="1"/>
      </bottom>
      <diagonal/>
    </border>
    <border>
      <left style="hair">
        <color auto="1"/>
      </left>
      <right style="medium">
        <color auto="1"/>
      </right>
      <top/>
      <bottom style="hair">
        <color auto="1"/>
      </bottom>
      <diagonal/>
    </border>
    <border>
      <left style="thin">
        <color auto="1"/>
      </left>
      <right style="thin">
        <color auto="1"/>
      </right>
      <top/>
      <bottom style="dotted">
        <color auto="1"/>
      </bottom>
      <diagonal/>
    </border>
    <border>
      <left style="thin">
        <color auto="1"/>
      </left>
      <right style="thin">
        <color auto="1"/>
      </right>
      <top style="dotted">
        <color auto="1"/>
      </top>
      <bottom style="dotted">
        <color auto="1"/>
      </bottom>
      <diagonal/>
    </border>
    <border>
      <left style="thin">
        <color auto="1"/>
      </left>
      <right style="thin">
        <color auto="1"/>
      </right>
      <top style="dotted">
        <color auto="1"/>
      </top>
      <bottom style="thin">
        <color auto="1"/>
      </bottom>
      <diagonal/>
    </border>
    <border>
      <left style="medium">
        <color indexed="64"/>
      </left>
      <right style="hair">
        <color indexed="64"/>
      </right>
      <top/>
      <bottom/>
      <diagonal/>
    </border>
    <border>
      <left style="hair">
        <color indexed="64"/>
      </left>
      <right style="hair">
        <color indexed="64"/>
      </right>
      <top/>
      <bottom style="medium">
        <color indexed="64"/>
      </bottom>
      <diagonal/>
    </border>
    <border>
      <left style="hair">
        <color indexed="64"/>
      </left>
      <right/>
      <top/>
      <bottom style="medium">
        <color indexed="64"/>
      </bottom>
      <diagonal/>
    </border>
    <border>
      <left style="hair">
        <color indexed="64"/>
      </left>
      <right style="medium">
        <color indexed="64"/>
      </right>
      <top/>
      <bottom style="medium">
        <color indexed="64"/>
      </bottom>
      <diagonal/>
    </border>
    <border>
      <left style="medium">
        <color indexed="64"/>
      </left>
      <right style="hair">
        <color indexed="64"/>
      </right>
      <top/>
      <bottom style="medium">
        <color indexed="64"/>
      </bottom>
      <diagonal/>
    </border>
    <border>
      <left/>
      <right style="hair">
        <color indexed="64"/>
      </right>
      <top/>
      <bottom style="medium">
        <color indexed="64"/>
      </bottom>
      <diagonal/>
    </border>
    <border>
      <left style="medium">
        <color indexed="64"/>
      </left>
      <right/>
      <top/>
      <bottom style="medium">
        <color indexed="64"/>
      </bottom>
      <diagonal/>
    </border>
    <border>
      <left style="hair">
        <color indexed="64"/>
      </left>
      <right/>
      <top style="thin">
        <color indexed="64"/>
      </top>
      <bottom style="thin">
        <color indexed="64"/>
      </bottom>
      <diagonal/>
    </border>
    <border>
      <left/>
      <right style="hair">
        <color indexed="64"/>
      </right>
      <top style="thin">
        <color indexed="64"/>
      </top>
      <bottom style="thin">
        <color indexed="64"/>
      </bottom>
      <diagonal/>
    </border>
    <border>
      <left style="medium">
        <color indexed="64"/>
      </left>
      <right/>
      <top style="thin">
        <color indexed="64"/>
      </top>
      <bottom style="thin">
        <color indexed="64"/>
      </bottom>
      <diagonal/>
    </border>
    <border>
      <left style="thin">
        <color indexed="64"/>
      </left>
      <right style="thin">
        <color indexed="64"/>
      </right>
      <top style="thin">
        <color indexed="64"/>
      </top>
      <bottom style="dotted">
        <color indexed="64"/>
      </bottom>
      <diagonal/>
    </border>
    <border>
      <left/>
      <right/>
      <top style="medium">
        <color indexed="64"/>
      </top>
      <bottom style="thin">
        <color indexed="64"/>
      </bottom>
      <diagonal/>
    </border>
  </borders>
  <cellStyleXfs count="25">
    <xf numFmtId="0" fontId="0" fillId="0" borderId="0">
      <alignment vertical="center"/>
    </xf>
    <xf numFmtId="9" fontId="10" fillId="0" borderId="0" applyFont="0" applyFill="0" applyBorder="0" applyAlignment="0" applyProtection="0">
      <alignment vertical="center"/>
    </xf>
    <xf numFmtId="9" fontId="3" fillId="0" borderId="0" applyFont="0" applyFill="0" applyBorder="0" applyAlignment="0" applyProtection="0">
      <alignment vertical="center"/>
    </xf>
    <xf numFmtId="0" fontId="31" fillId="0" borderId="0" applyNumberFormat="0" applyFill="0" applyBorder="0" applyAlignment="0" applyProtection="0">
      <alignment vertical="center"/>
    </xf>
    <xf numFmtId="38" fontId="10" fillId="0" borderId="0" applyFont="0" applyFill="0" applyBorder="0" applyAlignment="0" applyProtection="0">
      <alignment vertical="center"/>
    </xf>
    <xf numFmtId="0" fontId="27" fillId="0" borderId="0"/>
    <xf numFmtId="0" fontId="16" fillId="0" borderId="0"/>
    <xf numFmtId="186" fontId="43" fillId="0" borderId="0" applyFill="0" applyBorder="0" applyAlignment="0"/>
    <xf numFmtId="38" fontId="44" fillId="5" borderId="0" applyNumberFormat="0" applyBorder="0" applyAlignment="0" applyProtection="0"/>
    <xf numFmtId="0" fontId="45" fillId="0" borderId="89" applyNumberFormat="0" applyAlignment="0" applyProtection="0">
      <alignment horizontal="left" vertical="center"/>
    </xf>
    <xf numFmtId="0" fontId="45" fillId="0" borderId="80">
      <alignment horizontal="left" vertical="center"/>
    </xf>
    <xf numFmtId="10" fontId="44" fillId="17" borderId="1" applyNumberFormat="0" applyBorder="0" applyAlignment="0" applyProtection="0"/>
    <xf numFmtId="1" fontId="46" fillId="0" borderId="0" applyProtection="0">
      <protection locked="0"/>
    </xf>
    <xf numFmtId="38" fontId="47" fillId="0" borderId="0" applyFont="0" applyFill="0" applyBorder="0" applyAlignment="0" applyProtection="0"/>
    <xf numFmtId="40" fontId="47" fillId="0" borderId="0" applyFont="0" applyFill="0" applyBorder="0" applyAlignment="0" applyProtection="0"/>
    <xf numFmtId="187" fontId="47" fillId="0" borderId="0" applyFont="0" applyFill="0" applyBorder="0" applyAlignment="0" applyProtection="0"/>
    <xf numFmtId="188" fontId="47" fillId="0" borderId="0" applyFont="0" applyFill="0" applyBorder="0" applyAlignment="0" applyProtection="0"/>
    <xf numFmtId="189" fontId="48" fillId="0" borderId="0"/>
    <xf numFmtId="0" fontId="49" fillId="0" borderId="0"/>
    <xf numFmtId="10" fontId="49" fillId="0" borderId="0" applyFont="0" applyFill="0" applyBorder="0" applyAlignment="0" applyProtection="0"/>
    <xf numFmtId="38" fontId="16" fillId="0" borderId="0" applyFont="0" applyFill="0" applyBorder="0" applyAlignment="0" applyProtection="0"/>
    <xf numFmtId="0" fontId="50" fillId="0" borderId="0" applyNumberFormat="0" applyFill="0" applyBorder="0" applyAlignment="0" applyProtection="0">
      <alignment vertical="top"/>
      <protection locked="0"/>
    </xf>
    <xf numFmtId="1" fontId="51" fillId="0" borderId="0"/>
    <xf numFmtId="0" fontId="2" fillId="0" borderId="0">
      <alignment vertical="center"/>
    </xf>
    <xf numFmtId="0" fontId="1" fillId="0" borderId="0">
      <alignment vertical="center"/>
    </xf>
  </cellStyleXfs>
  <cellXfs count="666">
    <xf numFmtId="0" fontId="0" fillId="0" borderId="0" xfId="0">
      <alignment vertical="center"/>
    </xf>
    <xf numFmtId="0" fontId="13" fillId="0" borderId="0" xfId="0" applyFont="1">
      <alignment vertical="center"/>
    </xf>
    <xf numFmtId="176" fontId="0" fillId="0" borderId="0" xfId="0" applyNumberFormat="1">
      <alignment vertical="center"/>
    </xf>
    <xf numFmtId="0" fontId="15" fillId="0" borderId="0" xfId="0" applyFont="1" applyAlignment="1">
      <alignment horizontal="center" vertical="center"/>
    </xf>
    <xf numFmtId="0" fontId="0" fillId="2" borderId="1" xfId="0" applyFill="1" applyBorder="1" applyAlignment="1">
      <alignment horizontal="center" vertical="center"/>
    </xf>
    <xf numFmtId="0" fontId="0" fillId="2" borderId="1" xfId="0" applyFill="1" applyBorder="1" applyAlignment="1">
      <alignment horizontal="center" vertical="center" wrapText="1"/>
    </xf>
    <xf numFmtId="0" fontId="16" fillId="2" borderId="1" xfId="0" applyFont="1" applyFill="1" applyBorder="1">
      <alignment vertical="center"/>
    </xf>
    <xf numFmtId="0" fontId="16" fillId="2" borderId="1" xfId="0" applyFont="1" applyFill="1" applyBorder="1" applyAlignment="1">
      <alignment horizontal="center" vertical="center"/>
    </xf>
    <xf numFmtId="0" fontId="0" fillId="2" borderId="2" xfId="0" applyFill="1" applyBorder="1" applyAlignment="1">
      <alignment horizontal="center" vertical="center"/>
    </xf>
    <xf numFmtId="0" fontId="0" fillId="2" borderId="3" xfId="0" applyFill="1" applyBorder="1" applyAlignment="1">
      <alignment horizontal="center" vertical="center"/>
    </xf>
    <xf numFmtId="0" fontId="17" fillId="2" borderId="4" xfId="0" applyFont="1" applyFill="1" applyBorder="1" applyAlignment="1">
      <alignment vertical="top" wrapText="1"/>
    </xf>
    <xf numFmtId="0" fontId="17" fillId="2" borderId="5" xfId="0" applyFont="1" applyFill="1" applyBorder="1" applyAlignment="1">
      <alignment vertical="top" wrapText="1"/>
    </xf>
    <xf numFmtId="0" fontId="17" fillId="2" borderId="6" xfId="0" applyFont="1" applyFill="1" applyBorder="1" applyAlignment="1">
      <alignment vertical="top" wrapText="1"/>
    </xf>
    <xf numFmtId="0" fontId="17" fillId="3" borderId="1" xfId="0" applyFont="1" applyFill="1" applyBorder="1" applyAlignment="1">
      <alignment vertical="top" wrapText="1"/>
    </xf>
    <xf numFmtId="49" fontId="16" fillId="0" borderId="0" xfId="0" applyNumberFormat="1" applyFont="1" applyAlignment="1">
      <alignment horizontal="left" vertical="top" wrapText="1"/>
    </xf>
    <xf numFmtId="0" fontId="18" fillId="0" borderId="0" xfId="0" applyFont="1" applyAlignment="1">
      <alignment horizontal="left" vertical="top" wrapText="1"/>
    </xf>
    <xf numFmtId="0" fontId="13" fillId="0" borderId="0" xfId="0" applyFont="1" applyAlignment="1">
      <alignment horizontal="left" vertical="top" wrapText="1"/>
    </xf>
    <xf numFmtId="0" fontId="19" fillId="0" borderId="0" xfId="0" applyFont="1" applyAlignment="1">
      <alignment horizontal="left" vertical="top" wrapText="1" shrinkToFit="1"/>
    </xf>
    <xf numFmtId="0" fontId="14" fillId="0" borderId="0" xfId="0" applyFont="1" applyAlignment="1">
      <alignment horizontal="left" vertical="top" wrapText="1" shrinkToFit="1"/>
    </xf>
    <xf numFmtId="0" fontId="13" fillId="0" borderId="0" xfId="0" applyFont="1" applyAlignment="1">
      <alignment horizontal="center" vertical="center"/>
    </xf>
    <xf numFmtId="0" fontId="13" fillId="0" borderId="1" xfId="0" applyFont="1" applyBorder="1" applyAlignment="1">
      <alignment horizontal="center" vertical="center"/>
    </xf>
    <xf numFmtId="0" fontId="11" fillId="0" borderId="7" xfId="0" applyFont="1" applyBorder="1" applyAlignment="1">
      <alignment horizontal="center" vertical="center" wrapText="1"/>
    </xf>
    <xf numFmtId="0" fontId="11" fillId="0" borderId="8" xfId="0" applyFont="1" applyBorder="1" applyAlignment="1">
      <alignment horizontal="center" vertical="center" wrapText="1"/>
    </xf>
    <xf numFmtId="0" fontId="11" fillId="0" borderId="9" xfId="0" applyFont="1" applyBorder="1" applyAlignment="1">
      <alignment horizontal="center" vertical="center" wrapText="1"/>
    </xf>
    <xf numFmtId="0" fontId="11" fillId="0" borderId="10" xfId="0" applyFont="1" applyBorder="1" applyAlignment="1">
      <alignment horizontal="center" vertical="center" wrapText="1"/>
    </xf>
    <xf numFmtId="0" fontId="11" fillId="0" borderId="0" xfId="0" applyFont="1" applyAlignment="1">
      <alignment horizontal="center" vertical="center" wrapText="1"/>
    </xf>
    <xf numFmtId="0" fontId="20" fillId="0" borderId="0" xfId="0" applyFont="1" applyAlignment="1">
      <alignment horizontal="center" vertical="center" wrapText="1"/>
    </xf>
    <xf numFmtId="0" fontId="0" fillId="0" borderId="0" xfId="0" applyAlignment="1">
      <alignment horizontal="right" vertical="center" wrapText="1"/>
    </xf>
    <xf numFmtId="0" fontId="0" fillId="0" borderId="0" xfId="0" applyAlignment="1">
      <alignment horizontal="right" vertical="center" wrapText="1" shrinkToFit="1"/>
    </xf>
    <xf numFmtId="0" fontId="0" fillId="0" borderId="0" xfId="0" applyAlignment="1">
      <alignment vertical="center" wrapText="1"/>
    </xf>
    <xf numFmtId="0" fontId="11" fillId="0" borderId="0" xfId="0" applyFont="1">
      <alignment vertical="center"/>
    </xf>
    <xf numFmtId="0" fontId="12" fillId="0" borderId="0" xfId="0" applyFont="1" applyAlignment="1">
      <alignment vertical="center" wrapText="1"/>
    </xf>
    <xf numFmtId="0" fontId="17" fillId="0" borderId="0" xfId="0" applyFont="1" applyAlignment="1">
      <alignment vertical="center" wrapText="1" shrinkToFit="1"/>
    </xf>
    <xf numFmtId="0" fontId="17" fillId="3" borderId="6" xfId="0" applyFont="1" applyFill="1" applyBorder="1" applyAlignment="1">
      <alignment vertical="top" wrapText="1"/>
    </xf>
    <xf numFmtId="49" fontId="21" fillId="0" borderId="0" xfId="3" applyNumberFormat="1" applyFont="1" applyFill="1" applyAlignment="1">
      <alignment horizontal="left" vertical="top" wrapText="1"/>
    </xf>
    <xf numFmtId="49" fontId="17" fillId="0" borderId="0" xfId="0" applyNumberFormat="1" applyFont="1" applyAlignment="1">
      <alignment horizontal="left" vertical="top" wrapText="1"/>
    </xf>
    <xf numFmtId="49" fontId="13" fillId="0" borderId="0" xfId="0" applyNumberFormat="1" applyFont="1" applyAlignment="1">
      <alignment horizontal="left" vertical="top" wrapText="1"/>
    </xf>
    <xf numFmtId="0" fontId="12" fillId="0" borderId="0" xfId="0" applyFont="1" applyAlignment="1">
      <alignment horizontal="center" vertical="center" wrapText="1"/>
    </xf>
    <xf numFmtId="0" fontId="18" fillId="0" borderId="0" xfId="0" applyFont="1" applyAlignment="1">
      <alignment horizontal="center" vertical="center" wrapText="1"/>
    </xf>
    <xf numFmtId="0" fontId="17" fillId="0" borderId="0" xfId="0" applyFont="1" applyAlignment="1">
      <alignment horizontal="center" vertical="center" wrapText="1" shrinkToFit="1"/>
    </xf>
    <xf numFmtId="178" fontId="13" fillId="0" borderId="0" xfId="0" applyNumberFormat="1" applyFont="1">
      <alignment vertical="center"/>
    </xf>
    <xf numFmtId="0" fontId="13" fillId="2" borderId="1" xfId="0" applyFont="1" applyFill="1" applyBorder="1" applyAlignment="1">
      <alignment horizontal="center" vertical="center"/>
    </xf>
    <xf numFmtId="49" fontId="22" fillId="2" borderId="15" xfId="0" applyNumberFormat="1" applyFont="1" applyFill="1" applyBorder="1" applyAlignment="1">
      <alignment horizontal="center" vertical="center" wrapText="1"/>
    </xf>
    <xf numFmtId="0" fontId="22" fillId="2" borderId="16" xfId="0" applyFont="1" applyFill="1" applyBorder="1" applyAlignment="1">
      <alignment horizontal="center" vertical="center" wrapText="1"/>
    </xf>
    <xf numFmtId="49" fontId="22" fillId="2" borderId="16" xfId="0" applyNumberFormat="1" applyFont="1" applyFill="1" applyBorder="1" applyAlignment="1">
      <alignment horizontal="center" vertical="center" wrapText="1"/>
    </xf>
    <xf numFmtId="0" fontId="23" fillId="2" borderId="17" xfId="0" applyFont="1" applyFill="1" applyBorder="1" applyAlignment="1">
      <alignment horizontal="center" vertical="center" wrapText="1"/>
    </xf>
    <xf numFmtId="0" fontId="23" fillId="2" borderId="15" xfId="0" applyFont="1" applyFill="1" applyBorder="1" applyAlignment="1">
      <alignment horizontal="center" vertical="center" wrapText="1"/>
    </xf>
    <xf numFmtId="0" fontId="22" fillId="2" borderId="17" xfId="0" applyFont="1" applyFill="1" applyBorder="1" applyAlignment="1">
      <alignment horizontal="center" vertical="center" wrapText="1"/>
    </xf>
    <xf numFmtId="0" fontId="23" fillId="2" borderId="16" xfId="0" applyFont="1" applyFill="1" applyBorder="1" applyAlignment="1">
      <alignment horizontal="center" vertical="center" wrapText="1"/>
    </xf>
    <xf numFmtId="49" fontId="22" fillId="2" borderId="18" xfId="0" applyNumberFormat="1" applyFont="1" applyFill="1" applyBorder="1" applyAlignment="1">
      <alignment horizontal="center" vertical="center" wrapText="1"/>
    </xf>
    <xf numFmtId="0" fontId="23" fillId="2" borderId="19" xfId="0" applyFont="1" applyFill="1" applyBorder="1" applyAlignment="1">
      <alignment horizontal="center" vertical="center" wrapText="1"/>
    </xf>
    <xf numFmtId="0" fontId="22" fillId="2" borderId="20" xfId="0" applyFont="1" applyFill="1" applyBorder="1" applyAlignment="1">
      <alignment horizontal="center" vertical="center" wrapText="1"/>
    </xf>
    <xf numFmtId="0" fontId="22" fillId="2" borderId="18" xfId="0" applyFont="1" applyFill="1" applyBorder="1" applyAlignment="1">
      <alignment horizontal="center" vertical="center" wrapText="1"/>
    </xf>
    <xf numFmtId="0" fontId="22" fillId="2" borderId="15" xfId="0" applyFont="1" applyFill="1" applyBorder="1" applyAlignment="1">
      <alignment horizontal="center" vertical="center" wrapText="1"/>
    </xf>
    <xf numFmtId="0" fontId="22" fillId="0" borderId="15" xfId="0" applyFont="1" applyBorder="1" applyAlignment="1">
      <alignment horizontal="center" vertical="center" wrapText="1"/>
    </xf>
    <xf numFmtId="0" fontId="22" fillId="0" borderId="17" xfId="0" applyFont="1" applyBorder="1" applyAlignment="1">
      <alignment horizontal="center" vertical="center" wrapText="1"/>
    </xf>
    <xf numFmtId="178" fontId="13" fillId="0" borderId="0" xfId="0" applyNumberFormat="1" applyFont="1" applyAlignment="1">
      <alignment horizontal="left" vertical="top" wrapText="1"/>
    </xf>
    <xf numFmtId="0" fontId="13" fillId="0" borderId="22" xfId="0" applyFont="1" applyBorder="1" applyAlignment="1">
      <alignment horizontal="center" vertical="center" wrapText="1"/>
    </xf>
    <xf numFmtId="178" fontId="13" fillId="0" borderId="21" xfId="0" applyNumberFormat="1" applyFont="1" applyBorder="1" applyAlignment="1">
      <alignment horizontal="center" vertical="center" wrapText="1"/>
    </xf>
    <xf numFmtId="0" fontId="13" fillId="4" borderId="21" xfId="0" applyFont="1" applyFill="1" applyBorder="1" applyAlignment="1">
      <alignment horizontal="left" vertical="top" wrapText="1"/>
    </xf>
    <xf numFmtId="22" fontId="13" fillId="4" borderId="23" xfId="0" applyNumberFormat="1" applyFont="1" applyFill="1" applyBorder="1" applyAlignment="1">
      <alignment horizontal="left" vertical="top" wrapText="1"/>
    </xf>
    <xf numFmtId="49" fontId="16" fillId="0" borderId="21" xfId="0" applyNumberFormat="1" applyFont="1" applyBorder="1" applyAlignment="1">
      <alignment horizontal="center" vertical="center" wrapText="1"/>
    </xf>
    <xf numFmtId="177" fontId="13" fillId="2" borderId="25" xfId="0" applyNumberFormat="1" applyFont="1" applyFill="1" applyBorder="1">
      <alignment vertical="center"/>
    </xf>
    <xf numFmtId="177" fontId="13" fillId="2" borderId="26" xfId="0" applyNumberFormat="1" applyFont="1" applyFill="1" applyBorder="1">
      <alignment vertical="center"/>
    </xf>
    <xf numFmtId="177" fontId="13" fillId="2" borderId="27" xfId="0" applyNumberFormat="1" applyFont="1" applyFill="1" applyBorder="1">
      <alignment vertical="center"/>
    </xf>
    <xf numFmtId="49" fontId="16" fillId="0" borderId="28" xfId="0" applyNumberFormat="1" applyFont="1" applyBorder="1" applyAlignment="1">
      <alignment horizontal="center" vertical="center" wrapText="1"/>
    </xf>
    <xf numFmtId="0" fontId="13" fillId="4" borderId="29" xfId="0" applyFont="1" applyFill="1" applyBorder="1">
      <alignment vertical="center"/>
    </xf>
    <xf numFmtId="0" fontId="13" fillId="4" borderId="30" xfId="0" applyFont="1" applyFill="1" applyBorder="1">
      <alignment vertical="center"/>
    </xf>
    <xf numFmtId="0" fontId="13" fillId="4" borderId="31" xfId="0" applyFont="1" applyFill="1" applyBorder="1">
      <alignment vertical="center"/>
    </xf>
    <xf numFmtId="0" fontId="13" fillId="4" borderId="32" xfId="0" applyFont="1" applyFill="1" applyBorder="1">
      <alignment vertical="center"/>
    </xf>
    <xf numFmtId="0" fontId="13" fillId="4" borderId="33" xfId="0" applyFont="1" applyFill="1" applyBorder="1">
      <alignment vertical="center"/>
    </xf>
    <xf numFmtId="0" fontId="13" fillId="4" borderId="34" xfId="0" applyFont="1" applyFill="1" applyBorder="1" applyAlignment="1">
      <alignment horizontal="center" vertical="center"/>
    </xf>
    <xf numFmtId="0" fontId="13" fillId="4" borderId="35" xfId="0" applyFont="1" applyFill="1" applyBorder="1" applyAlignment="1">
      <alignment horizontal="center" vertical="center"/>
    </xf>
    <xf numFmtId="0" fontId="0" fillId="5" borderId="0" xfId="0" applyFill="1">
      <alignment vertical="center"/>
    </xf>
    <xf numFmtId="0" fontId="0" fillId="5" borderId="0" xfId="0" applyFill="1" applyAlignment="1">
      <alignment horizontal="center" vertical="center"/>
    </xf>
    <xf numFmtId="0" fontId="13" fillId="5" borderId="0" xfId="0" applyFont="1" applyFill="1">
      <alignment vertical="center"/>
    </xf>
    <xf numFmtId="0" fontId="24" fillId="5" borderId="0" xfId="0" applyFont="1" applyFill="1">
      <alignment vertical="center"/>
    </xf>
    <xf numFmtId="178" fontId="0" fillId="5" borderId="34" xfId="0" applyNumberFormat="1" applyFill="1" applyBorder="1">
      <alignment vertical="center"/>
    </xf>
    <xf numFmtId="178" fontId="13" fillId="5" borderId="0" xfId="0" applyNumberFormat="1" applyFont="1" applyFill="1">
      <alignment vertical="center"/>
    </xf>
    <xf numFmtId="0" fontId="0" fillId="5" borderId="36" xfId="0" applyFill="1" applyBorder="1">
      <alignment vertical="center"/>
    </xf>
    <xf numFmtId="0" fontId="13" fillId="5" borderId="0" xfId="0" applyFont="1" applyFill="1" applyAlignment="1">
      <alignment horizontal="center" vertical="center"/>
    </xf>
    <xf numFmtId="0" fontId="0" fillId="5" borderId="34" xfId="0" applyFill="1" applyBorder="1">
      <alignment vertical="center"/>
    </xf>
    <xf numFmtId="14" fontId="0" fillId="0" borderId="0" xfId="0" applyNumberFormat="1">
      <alignment vertical="center"/>
    </xf>
    <xf numFmtId="178" fontId="22" fillId="2" borderId="17" xfId="0" applyNumberFormat="1" applyFont="1" applyFill="1" applyBorder="1" applyAlignment="1">
      <alignment horizontal="center" vertical="center" wrapText="1"/>
    </xf>
    <xf numFmtId="49" fontId="16" fillId="4" borderId="22" xfId="0" applyNumberFormat="1" applyFont="1" applyFill="1" applyBorder="1" applyAlignment="1">
      <alignment horizontal="center" vertical="center" wrapText="1"/>
    </xf>
    <xf numFmtId="0" fontId="13" fillId="4" borderId="2" xfId="0" applyFont="1" applyFill="1" applyBorder="1">
      <alignment vertical="center"/>
    </xf>
    <xf numFmtId="0" fontId="13" fillId="4" borderId="39" xfId="0" applyFont="1" applyFill="1" applyBorder="1">
      <alignment vertical="center"/>
    </xf>
    <xf numFmtId="0" fontId="13" fillId="4" borderId="3" xfId="0" applyFont="1" applyFill="1" applyBorder="1">
      <alignment vertical="center"/>
    </xf>
    <xf numFmtId="0" fontId="13" fillId="4" borderId="40" xfId="0" applyFont="1" applyFill="1" applyBorder="1">
      <alignment vertical="center"/>
    </xf>
    <xf numFmtId="0" fontId="13" fillId="4" borderId="41" xfId="0" applyFont="1" applyFill="1" applyBorder="1">
      <alignment vertical="center"/>
    </xf>
    <xf numFmtId="0" fontId="13" fillId="4" borderId="42" xfId="0" applyFont="1" applyFill="1" applyBorder="1">
      <alignment vertical="center"/>
    </xf>
    <xf numFmtId="0" fontId="13" fillId="4" borderId="43" xfId="0" applyFont="1" applyFill="1" applyBorder="1">
      <alignment vertical="center"/>
    </xf>
    <xf numFmtId="0" fontId="13" fillId="4" borderId="44" xfId="0" applyFont="1" applyFill="1" applyBorder="1">
      <alignment vertical="center"/>
    </xf>
    <xf numFmtId="0" fontId="13" fillId="4" borderId="37" xfId="0" applyFont="1" applyFill="1" applyBorder="1">
      <alignment vertical="center"/>
    </xf>
    <xf numFmtId="0" fontId="13" fillId="4" borderId="35" xfId="0" applyFont="1" applyFill="1" applyBorder="1">
      <alignment vertical="center"/>
    </xf>
    <xf numFmtId="0" fontId="13" fillId="4" borderId="38" xfId="0" applyFont="1" applyFill="1" applyBorder="1">
      <alignment vertical="center"/>
    </xf>
    <xf numFmtId="182" fontId="13" fillId="4" borderId="38" xfId="0" applyNumberFormat="1" applyFont="1" applyFill="1" applyBorder="1" applyAlignment="1">
      <alignment horizontal="center" vertical="center"/>
    </xf>
    <xf numFmtId="0" fontId="13" fillId="4" borderId="39" xfId="0" applyFont="1" applyFill="1" applyBorder="1" applyAlignment="1">
      <alignment horizontal="center" vertical="center"/>
    </xf>
    <xf numFmtId="0" fontId="13" fillId="4" borderId="41" xfId="0" applyFont="1" applyFill="1" applyBorder="1" applyAlignment="1">
      <alignment horizontal="center" vertical="center"/>
    </xf>
    <xf numFmtId="0" fontId="13" fillId="4" borderId="44" xfId="0" applyFont="1" applyFill="1" applyBorder="1" applyAlignment="1">
      <alignment horizontal="center" vertical="center"/>
    </xf>
    <xf numFmtId="0" fontId="13" fillId="4" borderId="46" xfId="0" applyFont="1" applyFill="1" applyBorder="1" applyAlignment="1">
      <alignment horizontal="center" vertical="center"/>
    </xf>
    <xf numFmtId="0" fontId="13" fillId="4" borderId="47" xfId="0" applyFont="1" applyFill="1" applyBorder="1">
      <alignment vertical="center"/>
    </xf>
    <xf numFmtId="0" fontId="25" fillId="0" borderId="0" xfId="0" applyFont="1">
      <alignment vertical="center"/>
    </xf>
    <xf numFmtId="0" fontId="13" fillId="0" borderId="39" xfId="0" applyFont="1" applyBorder="1" applyProtection="1">
      <alignment vertical="center"/>
      <protection locked="0"/>
    </xf>
    <xf numFmtId="0" fontId="13" fillId="0" borderId="3" xfId="0" applyFont="1" applyBorder="1" applyProtection="1">
      <alignment vertical="center"/>
      <protection locked="0"/>
    </xf>
    <xf numFmtId="0" fontId="13" fillId="0" borderId="37" xfId="0" applyFont="1" applyBorder="1" applyProtection="1">
      <alignment vertical="center"/>
      <protection locked="0"/>
    </xf>
    <xf numFmtId="0" fontId="13" fillId="0" borderId="35" xfId="0" applyFont="1" applyBorder="1" applyProtection="1">
      <alignment vertical="center"/>
      <protection locked="0"/>
    </xf>
    <xf numFmtId="0" fontId="13" fillId="0" borderId="38" xfId="0" applyFont="1" applyBorder="1" applyProtection="1">
      <alignment vertical="center"/>
      <protection locked="0"/>
    </xf>
    <xf numFmtId="0" fontId="13" fillId="0" borderId="44" xfId="0" applyFont="1" applyBorder="1" applyProtection="1">
      <alignment vertical="center"/>
      <protection locked="0"/>
    </xf>
    <xf numFmtId="0" fontId="13" fillId="0" borderId="45" xfId="0" applyFont="1" applyBorder="1" applyProtection="1">
      <alignment vertical="center"/>
      <protection locked="0"/>
    </xf>
    <xf numFmtId="0" fontId="13" fillId="0" borderId="46" xfId="0" applyFont="1" applyBorder="1" applyProtection="1">
      <alignment vertical="center"/>
      <protection locked="0"/>
    </xf>
    <xf numFmtId="0" fontId="13" fillId="0" borderId="49" xfId="0" applyFont="1" applyBorder="1" applyProtection="1">
      <alignment vertical="center"/>
      <protection locked="0"/>
    </xf>
    <xf numFmtId="0" fontId="13" fillId="0" borderId="50" xfId="0" applyFont="1" applyBorder="1" applyProtection="1">
      <alignment vertical="center"/>
      <protection locked="0"/>
    </xf>
    <xf numFmtId="0" fontId="13" fillId="0" borderId="34" xfId="0" applyFont="1" applyBorder="1" applyProtection="1">
      <alignment vertical="center"/>
      <protection locked="0"/>
    </xf>
    <xf numFmtId="0" fontId="13" fillId="0" borderId="51" xfId="0" applyFont="1" applyBorder="1" applyProtection="1">
      <alignment vertical="center"/>
      <protection locked="0"/>
    </xf>
    <xf numFmtId="178" fontId="0" fillId="0" borderId="37" xfId="0" applyNumberFormat="1" applyBorder="1" applyProtection="1">
      <alignment vertical="center"/>
      <protection locked="0"/>
    </xf>
    <xf numFmtId="178" fontId="0" fillId="0" borderId="38" xfId="0" applyNumberFormat="1" applyBorder="1" applyProtection="1">
      <alignment vertical="center"/>
      <protection locked="0"/>
    </xf>
    <xf numFmtId="182" fontId="13" fillId="0" borderId="37" xfId="0" applyNumberFormat="1" applyFont="1" applyBorder="1" applyAlignment="1" applyProtection="1">
      <alignment horizontal="center" vertical="center"/>
      <protection locked="0"/>
    </xf>
    <xf numFmtId="0" fontId="13" fillId="0" borderId="29" xfId="0" applyFont="1" applyBorder="1" applyProtection="1">
      <alignment vertical="center"/>
      <protection locked="0"/>
    </xf>
    <xf numFmtId="0" fontId="13" fillId="0" borderId="30" xfId="0" applyFont="1" applyBorder="1" applyProtection="1">
      <alignment vertical="center"/>
      <protection locked="0"/>
    </xf>
    <xf numFmtId="0" fontId="13" fillId="0" borderId="31" xfId="0" applyFont="1" applyBorder="1" applyProtection="1">
      <alignment vertical="center"/>
      <protection locked="0"/>
    </xf>
    <xf numFmtId="0" fontId="0" fillId="0" borderId="1" xfId="0" applyBorder="1" applyProtection="1">
      <alignment vertical="center"/>
      <protection locked="0"/>
    </xf>
    <xf numFmtId="0" fontId="0" fillId="0" borderId="1" xfId="0" applyBorder="1" applyAlignment="1" applyProtection="1">
      <alignment horizontal="center" vertical="center"/>
      <protection locked="0"/>
    </xf>
    <xf numFmtId="0" fontId="13" fillId="0" borderId="1" xfId="0" applyFont="1" applyBorder="1" applyAlignment="1" applyProtection="1">
      <alignment horizontal="center" vertical="center"/>
      <protection locked="0"/>
    </xf>
    <xf numFmtId="0" fontId="0" fillId="0" borderId="0" xfId="0" applyAlignment="1">
      <alignment horizontal="left" vertical="center"/>
    </xf>
    <xf numFmtId="0" fontId="0" fillId="4" borderId="1" xfId="0" applyFill="1" applyBorder="1" applyAlignment="1">
      <alignment horizontal="center" vertical="center"/>
    </xf>
    <xf numFmtId="9" fontId="10" fillId="4" borderId="1" xfId="1" applyFont="1" applyFill="1" applyBorder="1" applyAlignment="1">
      <alignment vertical="center"/>
    </xf>
    <xf numFmtId="0" fontId="0" fillId="0" borderId="0" xfId="0" applyAlignment="1">
      <alignment horizontal="center" vertical="center" wrapText="1"/>
    </xf>
    <xf numFmtId="2" fontId="0" fillId="0" borderId="0" xfId="0" applyNumberFormat="1">
      <alignment vertical="center"/>
    </xf>
    <xf numFmtId="0" fontId="17" fillId="3" borderId="1" xfId="5" applyFont="1" applyFill="1" applyBorder="1" applyAlignment="1">
      <alignment vertical="top" wrapText="1"/>
    </xf>
    <xf numFmtId="0" fontId="17" fillId="2" borderId="6" xfId="5" applyFont="1" applyFill="1" applyBorder="1" applyAlignment="1">
      <alignment vertical="top" wrapText="1"/>
    </xf>
    <xf numFmtId="0" fontId="17" fillId="2" borderId="4" xfId="5" applyFont="1" applyFill="1" applyBorder="1" applyAlignment="1">
      <alignment vertical="top" wrapText="1"/>
    </xf>
    <xf numFmtId="0" fontId="17" fillId="2" borderId="5" xfId="5" applyFont="1" applyFill="1" applyBorder="1" applyAlignment="1">
      <alignment vertical="top" wrapText="1"/>
    </xf>
    <xf numFmtId="0" fontId="0" fillId="0" borderId="57" xfId="0" applyBorder="1">
      <alignment vertical="center"/>
    </xf>
    <xf numFmtId="183" fontId="32" fillId="0" borderId="34" xfId="0" applyNumberFormat="1" applyFont="1" applyBorder="1">
      <alignment vertical="center"/>
    </xf>
    <xf numFmtId="0" fontId="33" fillId="0" borderId="0" xfId="0" applyFont="1">
      <alignment vertical="center"/>
    </xf>
    <xf numFmtId="0" fontId="5" fillId="0" borderId="0" xfId="0" applyFont="1" applyAlignment="1">
      <alignment horizontal="left" vertical="top"/>
    </xf>
    <xf numFmtId="0" fontId="13" fillId="0" borderId="58" xfId="0" applyFont="1" applyBorder="1" applyAlignment="1">
      <alignment horizontal="left" vertical="top" wrapText="1"/>
    </xf>
    <xf numFmtId="0" fontId="13" fillId="0" borderId="53" xfId="0" applyFont="1" applyBorder="1" applyAlignment="1">
      <alignment horizontal="left" vertical="top" wrapText="1"/>
    </xf>
    <xf numFmtId="0" fontId="13" fillId="0" borderId="59" xfId="0" applyFont="1" applyBorder="1" applyAlignment="1">
      <alignment horizontal="left" vertical="top" wrapText="1"/>
    </xf>
    <xf numFmtId="0" fontId="22" fillId="0" borderId="16" xfId="0" applyFont="1" applyBorder="1" applyAlignment="1">
      <alignment horizontal="center" vertical="center" wrapText="1"/>
    </xf>
    <xf numFmtId="49" fontId="22" fillId="0" borderId="16" xfId="0" applyNumberFormat="1" applyFont="1" applyBorder="1" applyAlignment="1">
      <alignment horizontal="center" vertical="center" wrapText="1"/>
    </xf>
    <xf numFmtId="0" fontId="34" fillId="0" borderId="0" xfId="0" applyFont="1">
      <alignment vertical="center"/>
    </xf>
    <xf numFmtId="0" fontId="5" fillId="5" borderId="0" xfId="0" applyFont="1" applyFill="1">
      <alignment vertical="center"/>
    </xf>
    <xf numFmtId="0" fontId="0" fillId="5" borderId="0" xfId="0" applyFill="1" applyAlignment="1">
      <alignment horizontal="left" vertical="center" indent="1"/>
    </xf>
    <xf numFmtId="0" fontId="0" fillId="0" borderId="0" xfId="0" pivotButton="1">
      <alignment vertical="center"/>
    </xf>
    <xf numFmtId="0" fontId="13" fillId="4" borderId="82" xfId="0" applyFont="1" applyFill="1" applyBorder="1">
      <alignment vertical="center"/>
    </xf>
    <xf numFmtId="0" fontId="0" fillId="0" borderId="0" xfId="0" applyAlignment="1">
      <alignment vertical="top"/>
    </xf>
    <xf numFmtId="0" fontId="0" fillId="0" borderId="0" xfId="0" applyAlignment="1">
      <alignment horizontal="left" vertical="top"/>
    </xf>
    <xf numFmtId="0" fontId="38" fillId="0" borderId="0" xfId="0" applyFont="1" applyAlignment="1">
      <alignment vertical="top"/>
    </xf>
    <xf numFmtId="1" fontId="0" fillId="4" borderId="1" xfId="0" applyNumberFormat="1" applyFill="1" applyBorder="1" applyAlignment="1">
      <alignment horizontal="right" vertical="center"/>
    </xf>
    <xf numFmtId="181" fontId="0" fillId="4" borderId="1" xfId="0" applyNumberFormat="1" applyFill="1" applyBorder="1" applyAlignment="1">
      <alignment horizontal="right" vertical="center"/>
    </xf>
    <xf numFmtId="2" fontId="0" fillId="4" borderId="1" xfId="0" applyNumberFormat="1" applyFill="1" applyBorder="1" applyAlignment="1">
      <alignment horizontal="right" vertical="center"/>
    </xf>
    <xf numFmtId="181" fontId="10" fillId="4" borderId="1" xfId="1" applyNumberFormat="1" applyFont="1" applyFill="1" applyBorder="1" applyAlignment="1">
      <alignment horizontal="right" vertical="center"/>
    </xf>
    <xf numFmtId="0" fontId="0" fillId="4" borderId="1" xfId="0" applyFill="1" applyBorder="1" applyAlignment="1">
      <alignment horizontal="right" vertical="center"/>
    </xf>
    <xf numFmtId="1" fontId="32" fillId="4" borderId="1" xfId="0" applyNumberFormat="1" applyFont="1" applyFill="1" applyBorder="1" applyAlignment="1">
      <alignment horizontal="right" vertical="center"/>
    </xf>
    <xf numFmtId="181" fontId="11" fillId="4" borderId="1" xfId="1" applyNumberFormat="1" applyFont="1" applyFill="1" applyBorder="1" applyAlignment="1">
      <alignment horizontal="right" vertical="center"/>
    </xf>
    <xf numFmtId="2" fontId="32" fillId="4" borderId="1" xfId="0" applyNumberFormat="1" applyFont="1" applyFill="1" applyBorder="1" applyAlignment="1">
      <alignment horizontal="right" vertical="center"/>
    </xf>
    <xf numFmtId="184" fontId="0" fillId="0" borderId="1" xfId="0" applyNumberFormat="1" applyBorder="1" applyAlignment="1">
      <alignment horizontal="center" vertical="center"/>
    </xf>
    <xf numFmtId="185" fontId="11" fillId="4" borderId="1" xfId="1" applyNumberFormat="1" applyFont="1" applyFill="1" applyBorder="1" applyAlignment="1">
      <alignment horizontal="right" vertical="center"/>
    </xf>
    <xf numFmtId="0" fontId="0" fillId="0" borderId="30" xfId="0" applyBorder="1" applyAlignment="1">
      <alignment horizontal="left" vertical="center"/>
    </xf>
    <xf numFmtId="0" fontId="0" fillId="0" borderId="9" xfId="0" applyBorder="1" applyAlignment="1">
      <alignment horizontal="left" vertical="center"/>
    </xf>
    <xf numFmtId="0" fontId="0" fillId="0" borderId="36" xfId="0" applyBorder="1" applyAlignment="1">
      <alignment horizontal="left" vertical="center"/>
    </xf>
    <xf numFmtId="0" fontId="0" fillId="6" borderId="1" xfId="0" applyFill="1" applyBorder="1">
      <alignment vertical="center"/>
    </xf>
    <xf numFmtId="178" fontId="0" fillId="12" borderId="34" xfId="0" applyNumberFormat="1" applyFill="1" applyBorder="1">
      <alignment vertical="center"/>
    </xf>
    <xf numFmtId="0" fontId="40" fillId="0" borderId="0" xfId="0" applyFont="1">
      <alignment vertical="center"/>
    </xf>
    <xf numFmtId="0" fontId="16" fillId="0" borderId="0" xfId="6" applyAlignment="1">
      <alignment horizontal="right" vertical="top"/>
    </xf>
    <xf numFmtId="0" fontId="16" fillId="0" borderId="0" xfId="6"/>
    <xf numFmtId="0" fontId="41" fillId="13" borderId="52" xfId="6" applyFont="1" applyFill="1" applyBorder="1" applyAlignment="1">
      <alignment horizontal="centerContinuous" vertical="center"/>
    </xf>
    <xf numFmtId="0" fontId="5" fillId="13" borderId="53" xfId="6" applyFont="1" applyFill="1" applyBorder="1" applyAlignment="1">
      <alignment horizontal="centerContinuous" vertical="center"/>
    </xf>
    <xf numFmtId="0" fontId="5" fillId="13" borderId="54" xfId="6" applyFont="1" applyFill="1" applyBorder="1" applyAlignment="1">
      <alignment horizontal="centerContinuous" vertical="center"/>
    </xf>
    <xf numFmtId="0" fontId="41" fillId="10" borderId="0" xfId="6" applyFont="1" applyFill="1" applyAlignment="1">
      <alignment horizontal="centerContinuous" vertical="center"/>
    </xf>
    <xf numFmtId="0" fontId="5" fillId="10" borderId="0" xfId="6" applyFont="1" applyFill="1" applyAlignment="1">
      <alignment horizontal="centerContinuous" vertical="center"/>
    </xf>
    <xf numFmtId="0" fontId="41" fillId="15" borderId="1" xfId="6" applyFont="1" applyFill="1" applyBorder="1" applyAlignment="1">
      <alignment horizontal="center" vertical="center"/>
    </xf>
    <xf numFmtId="0" fontId="5" fillId="16" borderId="6" xfId="6" applyFont="1" applyFill="1" applyBorder="1" applyAlignment="1">
      <alignment horizontal="center" vertical="center"/>
    </xf>
    <xf numFmtId="0" fontId="41" fillId="10" borderId="0" xfId="6" applyFont="1" applyFill="1" applyAlignment="1">
      <alignment horizontal="center" vertical="center"/>
    </xf>
    <xf numFmtId="0" fontId="5" fillId="10" borderId="0" xfId="6" applyFont="1" applyFill="1" applyAlignment="1">
      <alignment horizontal="center" vertical="center"/>
    </xf>
    <xf numFmtId="0" fontId="41" fillId="16" borderId="55" xfId="6" applyFont="1" applyFill="1" applyBorder="1" applyAlignment="1">
      <alignment horizontal="centerContinuous" vertical="center" wrapText="1"/>
    </xf>
    <xf numFmtId="0" fontId="5" fillId="16" borderId="56" xfId="6" applyFont="1" applyFill="1" applyBorder="1" applyAlignment="1">
      <alignment horizontal="centerContinuous" vertical="center"/>
    </xf>
    <xf numFmtId="0" fontId="41" fillId="10" borderId="0" xfId="6" applyFont="1" applyFill="1" applyAlignment="1">
      <alignment horizontal="centerContinuous" vertical="center" wrapText="1"/>
    </xf>
    <xf numFmtId="0" fontId="42" fillId="0" borderId="0" xfId="6" applyFont="1" applyAlignment="1">
      <alignment vertical="center"/>
    </xf>
    <xf numFmtId="2" fontId="13" fillId="0" borderId="0" xfId="0" applyNumberFormat="1" applyFont="1">
      <alignment vertical="center"/>
    </xf>
    <xf numFmtId="0" fontId="5" fillId="0" borderId="1" xfId="0" applyFont="1" applyBorder="1">
      <alignment vertical="center"/>
    </xf>
    <xf numFmtId="2" fontId="13" fillId="0" borderId="1" xfId="0" applyNumberFormat="1" applyFont="1" applyBorder="1">
      <alignment vertical="center"/>
    </xf>
    <xf numFmtId="0" fontId="52" fillId="0" borderId="17" xfId="0" applyFont="1" applyBorder="1" applyAlignment="1">
      <alignment horizontal="center" vertical="center" wrapText="1" shrinkToFit="1"/>
    </xf>
    <xf numFmtId="0" fontId="5" fillId="0" borderId="1" xfId="5" applyFont="1" applyBorder="1" applyAlignment="1">
      <alignment horizontal="center" vertical="center" shrinkToFit="1"/>
    </xf>
    <xf numFmtId="0" fontId="5" fillId="0" borderId="79" xfId="5" applyFont="1" applyBorder="1" applyAlignment="1">
      <alignment vertical="center"/>
    </xf>
    <xf numFmtId="0" fontId="5" fillId="0" borderId="80" xfId="5" applyFont="1" applyBorder="1" applyAlignment="1">
      <alignment vertical="center"/>
    </xf>
    <xf numFmtId="0" fontId="5" fillId="0" borderId="0" xfId="5" applyFont="1" applyAlignment="1">
      <alignment vertical="center" shrinkToFit="1"/>
    </xf>
    <xf numFmtId="0" fontId="5" fillId="0" borderId="0" xfId="5" applyFont="1" applyAlignment="1">
      <alignment vertical="center"/>
    </xf>
    <xf numFmtId="0" fontId="27" fillId="0" borderId="0" xfId="5" applyAlignment="1">
      <alignment vertical="center" shrinkToFit="1"/>
    </xf>
    <xf numFmtId="0" fontId="5" fillId="0" borderId="1" xfId="5" applyFont="1" applyBorder="1" applyAlignment="1">
      <alignment vertical="center" wrapText="1"/>
    </xf>
    <xf numFmtId="0" fontId="5" fillId="0" borderId="1" xfId="5" applyFont="1" applyBorder="1" applyAlignment="1">
      <alignment vertical="center"/>
    </xf>
    <xf numFmtId="0" fontId="5" fillId="0" borderId="90" xfId="5" applyFont="1" applyBorder="1" applyAlignment="1">
      <alignment vertical="center" shrinkToFit="1"/>
    </xf>
    <xf numFmtId="0" fontId="5" fillId="0" borderId="26" xfId="5" applyFont="1" applyBorder="1" applyAlignment="1">
      <alignment vertical="center" shrinkToFit="1"/>
    </xf>
    <xf numFmtId="0" fontId="0" fillId="0" borderId="26" xfId="0" applyBorder="1">
      <alignment vertical="center"/>
    </xf>
    <xf numFmtId="0" fontId="0" fillId="0" borderId="27" xfId="0" applyBorder="1">
      <alignment vertical="center"/>
    </xf>
    <xf numFmtId="0" fontId="5" fillId="0" borderId="81" xfId="5" applyFont="1" applyBorder="1" applyAlignment="1">
      <alignment vertical="center"/>
    </xf>
    <xf numFmtId="0" fontId="13" fillId="2" borderId="5" xfId="0" applyFont="1" applyFill="1" applyBorder="1" applyAlignment="1">
      <alignment horizontal="center" vertical="center"/>
    </xf>
    <xf numFmtId="0" fontId="5" fillId="2" borderId="5" xfId="0" applyFont="1" applyFill="1" applyBorder="1" applyAlignment="1">
      <alignment horizontal="center" vertical="center"/>
    </xf>
    <xf numFmtId="0" fontId="0" fillId="0" borderId="0" xfId="0" applyAlignment="1">
      <alignment horizontal="center" vertical="center"/>
    </xf>
    <xf numFmtId="178" fontId="13" fillId="0" borderId="22" xfId="0" applyNumberFormat="1" applyFont="1" applyBorder="1" applyAlignment="1">
      <alignment horizontal="center" vertical="center" shrinkToFit="1"/>
    </xf>
    <xf numFmtId="178" fontId="13" fillId="4" borderId="23" xfId="0" applyNumberFormat="1" applyFont="1" applyFill="1" applyBorder="1" applyAlignment="1">
      <alignment horizontal="center" vertical="center" shrinkToFit="1"/>
    </xf>
    <xf numFmtId="178" fontId="16" fillId="0" borderId="22" xfId="0" applyNumberFormat="1" applyFont="1" applyBorder="1" applyAlignment="1">
      <alignment horizontal="center" vertical="center" shrinkToFit="1"/>
    </xf>
    <xf numFmtId="178" fontId="13" fillId="0" borderId="24" xfId="0" applyNumberFormat="1" applyFont="1" applyBorder="1" applyAlignment="1">
      <alignment horizontal="center" vertical="center" shrinkToFit="1"/>
    </xf>
    <xf numFmtId="179" fontId="13" fillId="2" borderId="35" xfId="0" applyNumberFormat="1" applyFont="1" applyFill="1" applyBorder="1" applyAlignment="1">
      <alignment vertical="center" shrinkToFit="1"/>
    </xf>
    <xf numFmtId="179" fontId="13" fillId="2" borderId="38" xfId="0" applyNumberFormat="1" applyFont="1" applyFill="1" applyBorder="1" applyAlignment="1">
      <alignment vertical="center" shrinkToFit="1"/>
    </xf>
    <xf numFmtId="0" fontId="0" fillId="18" borderId="50" xfId="0" applyFill="1" applyBorder="1" applyAlignment="1">
      <alignment vertical="center" wrapText="1"/>
    </xf>
    <xf numFmtId="0" fontId="0" fillId="18" borderId="30" xfId="0" applyFill="1" applyBorder="1" applyAlignment="1">
      <alignment vertical="center" wrapText="1"/>
    </xf>
    <xf numFmtId="0" fontId="0" fillId="18" borderId="2" xfId="0" applyFill="1" applyBorder="1" applyAlignment="1">
      <alignment vertical="center" wrapText="1"/>
    </xf>
    <xf numFmtId="0" fontId="0" fillId="18" borderId="32" xfId="0" applyFill="1" applyBorder="1" applyAlignment="1">
      <alignment vertical="center" wrapText="1"/>
    </xf>
    <xf numFmtId="0" fontId="11" fillId="0" borderId="75" xfId="0" applyFont="1" applyBorder="1" applyAlignment="1">
      <alignment horizontal="center" vertical="center" wrapText="1"/>
    </xf>
    <xf numFmtId="0" fontId="20" fillId="0" borderId="57" xfId="0" applyFont="1" applyBorder="1" applyAlignment="1">
      <alignment horizontal="center" vertical="center" wrapText="1"/>
    </xf>
    <xf numFmtId="0" fontId="20" fillId="0" borderId="65" xfId="0" applyFont="1" applyBorder="1" applyAlignment="1">
      <alignment horizontal="center" vertical="center" wrapText="1"/>
    </xf>
    <xf numFmtId="0" fontId="20" fillId="0" borderId="75" xfId="0" applyFont="1" applyBorder="1" applyAlignment="1">
      <alignment horizontal="center" vertical="center" wrapText="1"/>
    </xf>
    <xf numFmtId="0" fontId="11" fillId="0" borderId="32" xfId="0" applyFont="1" applyBorder="1" applyAlignment="1">
      <alignment horizontal="center" vertical="center" wrapText="1"/>
    </xf>
    <xf numFmtId="0" fontId="11" fillId="0" borderId="30" xfId="0" applyFont="1" applyBorder="1" applyAlignment="1">
      <alignment horizontal="center" vertical="center" wrapText="1"/>
    </xf>
    <xf numFmtId="0" fontId="20" fillId="0" borderId="76" xfId="0" applyFont="1" applyBorder="1" applyAlignment="1">
      <alignment horizontal="center" vertical="center" wrapText="1"/>
    </xf>
    <xf numFmtId="0" fontId="39" fillId="6" borderId="66" xfId="0" applyFont="1" applyFill="1" applyBorder="1" applyAlignment="1">
      <alignment shrinkToFit="1"/>
    </xf>
    <xf numFmtId="0" fontId="0" fillId="8" borderId="24" xfId="0" applyFill="1" applyBorder="1" applyAlignment="1">
      <alignment horizontal="left" vertical="center" shrinkToFit="1"/>
    </xf>
    <xf numFmtId="0" fontId="0" fillId="11" borderId="7" xfId="0" applyFill="1" applyBorder="1" applyAlignment="1">
      <alignment vertical="center" shrinkToFit="1"/>
    </xf>
    <xf numFmtId="0" fontId="0" fillId="9" borderId="85" xfId="0" applyFill="1" applyBorder="1" applyAlignment="1">
      <alignment horizontal="center" shrinkToFit="1"/>
    </xf>
    <xf numFmtId="0" fontId="0" fillId="8" borderId="8" xfId="0" applyFill="1" applyBorder="1" applyAlignment="1">
      <alignment shrinkToFit="1"/>
    </xf>
    <xf numFmtId="0" fontId="39" fillId="6" borderId="60" xfId="0" applyFont="1" applyFill="1" applyBorder="1" applyAlignment="1">
      <alignment shrinkToFit="1"/>
    </xf>
    <xf numFmtId="0" fontId="0" fillId="8" borderId="74" xfId="0" applyFill="1" applyBorder="1" applyAlignment="1">
      <alignment horizontal="left" vertical="center" shrinkToFit="1"/>
    </xf>
    <xf numFmtId="0" fontId="0" fillId="11" borderId="83" xfId="0" applyFill="1" applyBorder="1" applyAlignment="1">
      <alignment vertical="center" shrinkToFit="1"/>
    </xf>
    <xf numFmtId="0" fontId="0" fillId="9" borderId="86" xfId="0" applyFill="1" applyBorder="1" applyAlignment="1">
      <alignment horizontal="center" shrinkToFit="1"/>
    </xf>
    <xf numFmtId="0" fontId="0" fillId="8" borderId="84" xfId="0" applyFill="1" applyBorder="1" applyAlignment="1">
      <alignment shrinkToFit="1"/>
    </xf>
    <xf numFmtId="181" fontId="0" fillId="9" borderId="86" xfId="0" applyNumberFormat="1" applyFill="1" applyBorder="1" applyAlignment="1">
      <alignment horizontal="center" shrinkToFit="1"/>
    </xf>
    <xf numFmtId="2" fontId="0" fillId="9" borderId="86" xfId="0" applyNumberFormat="1" applyFill="1" applyBorder="1" applyAlignment="1">
      <alignment horizontal="center" shrinkToFit="1"/>
    </xf>
    <xf numFmtId="0" fontId="0" fillId="8" borderId="46" xfId="0" applyFill="1" applyBorder="1" applyAlignment="1">
      <alignment shrinkToFit="1"/>
    </xf>
    <xf numFmtId="0" fontId="0" fillId="10" borderId="9" xfId="0" applyFill="1" applyBorder="1" applyAlignment="1">
      <alignment shrinkToFit="1"/>
    </xf>
    <xf numFmtId="38" fontId="0" fillId="9" borderId="87" xfId="4" applyFont="1" applyFill="1" applyBorder="1" applyAlignment="1">
      <alignment horizontal="center" shrinkToFit="1"/>
    </xf>
    <xf numFmtId="0" fontId="0" fillId="8" borderId="10" xfId="0" applyFill="1" applyBorder="1" applyAlignment="1">
      <alignment shrinkToFit="1"/>
    </xf>
    <xf numFmtId="0" fontId="39" fillId="6" borderId="61" xfId="0" applyFont="1" applyFill="1" applyBorder="1" applyAlignment="1">
      <alignment shrinkToFit="1"/>
    </xf>
    <xf numFmtId="0" fontId="0" fillId="8" borderId="72" xfId="0" applyFill="1" applyBorder="1" applyAlignment="1">
      <alignment shrinkToFit="1"/>
    </xf>
    <xf numFmtId="0" fontId="0" fillId="10" borderId="11" xfId="0" applyFill="1" applyBorder="1" applyAlignment="1">
      <alignment shrinkToFit="1"/>
    </xf>
    <xf numFmtId="38" fontId="0" fillId="9" borderId="88" xfId="4" applyFont="1" applyFill="1" applyBorder="1" applyAlignment="1">
      <alignment horizontal="center" shrinkToFit="1"/>
    </xf>
    <xf numFmtId="0" fontId="0" fillId="8" borderId="12" xfId="0" applyFill="1" applyBorder="1" applyAlignment="1">
      <alignment shrinkToFit="1"/>
    </xf>
    <xf numFmtId="0" fontId="0" fillId="6" borderId="1" xfId="0" applyFill="1" applyBorder="1" applyAlignment="1">
      <alignment vertical="center" shrinkToFit="1"/>
    </xf>
    <xf numFmtId="0" fontId="0" fillId="6" borderId="1" xfId="0" applyFill="1" applyBorder="1" applyAlignment="1">
      <alignment horizontal="center" vertical="center" wrapText="1"/>
    </xf>
    <xf numFmtId="0" fontId="0" fillId="2" borderId="1" xfId="0" applyFill="1" applyBorder="1" applyAlignment="1">
      <alignment horizontal="center" vertical="center" shrinkToFit="1"/>
    </xf>
    <xf numFmtId="0" fontId="5" fillId="0" borderId="1" xfId="0" applyFont="1" applyBorder="1" applyAlignment="1">
      <alignment vertical="center" shrinkToFit="1"/>
    </xf>
    <xf numFmtId="178" fontId="0" fillId="5" borderId="36" xfId="0" applyNumberFormat="1" applyFill="1" applyBorder="1" applyAlignment="1">
      <alignment horizontal="left" vertical="center" indent="1"/>
    </xf>
    <xf numFmtId="0" fontId="0" fillId="5" borderId="36" xfId="0" applyFill="1" applyBorder="1" applyAlignment="1">
      <alignment horizontal="left" vertical="center" indent="1"/>
    </xf>
    <xf numFmtId="178" fontId="0" fillId="5" borderId="46" xfId="0" applyNumberFormat="1" applyFill="1" applyBorder="1">
      <alignment vertical="center"/>
    </xf>
    <xf numFmtId="0" fontId="0" fillId="5" borderId="71" xfId="0" applyFill="1" applyBorder="1">
      <alignment vertical="center"/>
    </xf>
    <xf numFmtId="178" fontId="0" fillId="5" borderId="71" xfId="0" applyNumberFormat="1" applyFill="1" applyBorder="1">
      <alignment vertical="center"/>
    </xf>
    <xf numFmtId="0" fontId="13" fillId="5" borderId="71" xfId="0" applyFont="1" applyFill="1" applyBorder="1">
      <alignment vertical="center"/>
    </xf>
    <xf numFmtId="0" fontId="5" fillId="5" borderId="71" xfId="0" applyFont="1" applyFill="1" applyBorder="1">
      <alignment vertical="center"/>
    </xf>
    <xf numFmtId="0" fontId="5" fillId="5" borderId="44" xfId="0" applyFont="1" applyFill="1" applyBorder="1">
      <alignment vertical="center"/>
    </xf>
    <xf numFmtId="0" fontId="38" fillId="6" borderId="1" xfId="0" applyFont="1" applyFill="1" applyBorder="1" applyAlignment="1">
      <alignment horizontal="center" vertical="center" shrinkToFit="1"/>
    </xf>
    <xf numFmtId="0" fontId="43" fillId="0" borderId="0" xfId="0" applyFont="1">
      <alignment vertical="center"/>
    </xf>
    <xf numFmtId="0" fontId="38" fillId="0" borderId="90" xfId="0" applyFont="1" applyBorder="1">
      <alignment vertical="center"/>
    </xf>
    <xf numFmtId="0" fontId="38" fillId="0" borderId="26" xfId="0" applyFont="1" applyBorder="1">
      <alignment vertical="center"/>
    </xf>
    <xf numFmtId="0" fontId="38" fillId="0" borderId="27" xfId="0" applyFont="1" applyBorder="1">
      <alignment vertical="center"/>
    </xf>
    <xf numFmtId="0" fontId="5" fillId="0" borderId="0" xfId="0" applyFont="1">
      <alignment vertical="center"/>
    </xf>
    <xf numFmtId="0" fontId="5" fillId="0" borderId="1" xfId="0" applyFont="1" applyBorder="1" applyAlignment="1" applyProtection="1">
      <alignment horizontal="center" vertical="center"/>
      <protection locked="0"/>
    </xf>
    <xf numFmtId="177" fontId="38" fillId="6" borderId="25" xfId="0" applyNumberFormat="1" applyFont="1" applyFill="1" applyBorder="1" applyAlignment="1">
      <alignment vertical="center" shrinkToFit="1"/>
    </xf>
    <xf numFmtId="0" fontId="38" fillId="0" borderId="29" xfId="0" applyFont="1" applyBorder="1" applyAlignment="1">
      <alignment vertical="center" shrinkToFit="1"/>
    </xf>
    <xf numFmtId="0" fontId="38" fillId="0" borderId="39" xfId="0" applyFont="1" applyBorder="1" applyAlignment="1">
      <alignment vertical="center" shrinkToFit="1"/>
    </xf>
    <xf numFmtId="0" fontId="38" fillId="0" borderId="3" xfId="0" applyFont="1" applyBorder="1" applyAlignment="1">
      <alignment vertical="center" shrinkToFit="1"/>
    </xf>
    <xf numFmtId="177" fontId="38" fillId="6" borderId="26" xfId="0" applyNumberFormat="1" applyFont="1" applyFill="1" applyBorder="1" applyAlignment="1">
      <alignment vertical="center" shrinkToFit="1"/>
    </xf>
    <xf numFmtId="0" fontId="38" fillId="0" borderId="30" xfId="0" applyFont="1" applyBorder="1" applyAlignment="1">
      <alignment vertical="center" shrinkToFit="1"/>
    </xf>
    <xf numFmtId="0" fontId="38" fillId="0" borderId="34" xfId="0" applyFont="1" applyBorder="1" applyAlignment="1">
      <alignment vertical="center" shrinkToFit="1"/>
    </xf>
    <xf numFmtId="0" fontId="38" fillId="0" borderId="51" xfId="0" applyFont="1" applyBorder="1" applyAlignment="1">
      <alignment vertical="center" shrinkToFit="1"/>
    </xf>
    <xf numFmtId="177" fontId="38" fillId="6" borderId="27" xfId="0" applyNumberFormat="1" applyFont="1" applyFill="1" applyBorder="1" applyAlignment="1">
      <alignment vertical="center" shrinkToFit="1"/>
    </xf>
    <xf numFmtId="0" fontId="38" fillId="0" borderId="31" xfId="0" applyFont="1" applyBorder="1" applyAlignment="1">
      <alignment vertical="center" shrinkToFit="1"/>
    </xf>
    <xf numFmtId="0" fontId="38" fillId="0" borderId="35" xfId="0" applyFont="1" applyBorder="1" applyAlignment="1">
      <alignment vertical="center" shrinkToFit="1"/>
    </xf>
    <xf numFmtId="0" fontId="38" fillId="0" borderId="38" xfId="0" applyFont="1" applyBorder="1" applyAlignment="1">
      <alignment vertical="center" shrinkToFit="1"/>
    </xf>
    <xf numFmtId="0" fontId="38" fillId="0" borderId="0" xfId="0" applyFont="1">
      <alignment vertical="center"/>
    </xf>
    <xf numFmtId="0" fontId="38" fillId="0" borderId="93" xfId="0" applyFont="1" applyBorder="1" applyAlignment="1">
      <alignment vertical="center" shrinkToFit="1"/>
    </xf>
    <xf numFmtId="0" fontId="38" fillId="0" borderId="45" xfId="0" applyFont="1" applyBorder="1" applyAlignment="1">
      <alignment vertical="center" shrinkToFit="1"/>
    </xf>
    <xf numFmtId="0" fontId="38" fillId="0" borderId="36" xfId="0" applyFont="1" applyBorder="1" applyAlignment="1">
      <alignment vertical="center" shrinkToFit="1"/>
    </xf>
    <xf numFmtId="0" fontId="38" fillId="0" borderId="94" xfId="0" applyFont="1" applyBorder="1" applyAlignment="1">
      <alignment vertical="center" shrinkToFit="1"/>
    </xf>
    <xf numFmtId="0" fontId="38" fillId="6" borderId="79" xfId="0" applyFont="1" applyFill="1" applyBorder="1" applyAlignment="1">
      <alignment horizontal="center" vertical="center" shrinkToFit="1"/>
    </xf>
    <xf numFmtId="0" fontId="38" fillId="0" borderId="52" xfId="0" applyFont="1" applyBorder="1">
      <alignment vertical="center"/>
    </xf>
    <xf numFmtId="0" fontId="38" fillId="0" borderId="54" xfId="0" applyFont="1" applyBorder="1">
      <alignment vertical="center"/>
    </xf>
    <xf numFmtId="0" fontId="38" fillId="0" borderId="13" xfId="0" applyFont="1" applyBorder="1">
      <alignment vertical="center"/>
    </xf>
    <xf numFmtId="0" fontId="38" fillId="0" borderId="43" xfId="0" applyFont="1" applyBorder="1">
      <alignment vertical="center"/>
    </xf>
    <xf numFmtId="0" fontId="38" fillId="0" borderId="45" xfId="0" applyFont="1" applyBorder="1">
      <alignment vertical="center"/>
    </xf>
    <xf numFmtId="0" fontId="38" fillId="0" borderId="95" xfId="0" applyFont="1" applyBorder="1">
      <alignment vertical="center"/>
    </xf>
    <xf numFmtId="0" fontId="38" fillId="0" borderId="50" xfId="0" applyFont="1" applyBorder="1">
      <alignment vertical="center"/>
    </xf>
    <xf numFmtId="0" fontId="38" fillId="0" borderId="51" xfId="0" applyFont="1" applyBorder="1">
      <alignment vertical="center"/>
    </xf>
    <xf numFmtId="0" fontId="38" fillId="0" borderId="14" xfId="0" applyFont="1" applyBorder="1">
      <alignment vertical="center"/>
    </xf>
    <xf numFmtId="0" fontId="38" fillId="0" borderId="37" xfId="0" applyFont="1" applyBorder="1">
      <alignment vertical="center"/>
    </xf>
    <xf numFmtId="0" fontId="38" fillId="0" borderId="38" xfId="0" applyFont="1" applyBorder="1">
      <alignment vertical="center"/>
    </xf>
    <xf numFmtId="0" fontId="13" fillId="0" borderId="23" xfId="0" applyFont="1" applyBorder="1" applyAlignment="1">
      <alignment horizontal="center" vertical="center" wrapText="1"/>
    </xf>
    <xf numFmtId="0" fontId="13" fillId="0" borderId="24" xfId="0" applyFont="1" applyBorder="1" applyAlignment="1">
      <alignment horizontal="center" vertical="center" wrapText="1"/>
    </xf>
    <xf numFmtId="178" fontId="13" fillId="0" borderId="24" xfId="0" applyNumberFormat="1" applyFont="1" applyBorder="1" applyAlignment="1">
      <alignment horizontal="center" vertical="center" wrapText="1"/>
    </xf>
    <xf numFmtId="0" fontId="13" fillId="0" borderId="22" xfId="0" applyFont="1" applyBorder="1" applyAlignment="1">
      <alignment horizontal="left" vertical="center" wrapText="1"/>
    </xf>
    <xf numFmtId="0" fontId="13" fillId="0" borderId="24" xfId="0" applyFont="1" applyBorder="1" applyAlignment="1">
      <alignment horizontal="left" vertical="center" wrapText="1"/>
    </xf>
    <xf numFmtId="49" fontId="16" fillId="0" borderId="23" xfId="0" applyNumberFormat="1" applyFont="1" applyBorder="1" applyAlignment="1">
      <alignment horizontal="left" vertical="top" wrapText="1"/>
    </xf>
    <xf numFmtId="0" fontId="53" fillId="0" borderId="0" xfId="0" applyFont="1" applyAlignment="1">
      <alignment horizontal="left" vertical="top" wrapText="1"/>
    </xf>
    <xf numFmtId="191" fontId="31" fillId="0" borderId="21" xfId="3" applyNumberFormat="1" applyFill="1" applyBorder="1" applyAlignment="1">
      <alignment horizontal="center" vertical="center" wrapText="1"/>
    </xf>
    <xf numFmtId="0" fontId="5" fillId="0" borderId="0" xfId="0" applyFont="1" applyAlignment="1">
      <alignment horizontal="left" vertical="top" wrapText="1" shrinkToFit="1"/>
    </xf>
    <xf numFmtId="0" fontId="13" fillId="0" borderId="23" xfId="0" applyFont="1" applyBorder="1" applyAlignment="1">
      <alignment horizontal="left" vertical="top" wrapText="1"/>
    </xf>
    <xf numFmtId="178" fontId="13" fillId="0" borderId="23" xfId="0" applyNumberFormat="1" applyFont="1" applyBorder="1" applyAlignment="1">
      <alignment horizontal="left" vertical="top" wrapText="1" shrinkToFit="1"/>
    </xf>
    <xf numFmtId="178" fontId="13" fillId="0" borderId="22" xfId="0" applyNumberFormat="1" applyFont="1" applyBorder="1" applyAlignment="1">
      <alignment horizontal="left" vertical="top" wrapText="1" shrinkToFit="1"/>
    </xf>
    <xf numFmtId="0" fontId="38" fillId="2" borderId="1" xfId="0" applyFont="1" applyFill="1" applyBorder="1" applyAlignment="1">
      <alignment horizontal="center" vertical="center" shrinkToFit="1"/>
    </xf>
    <xf numFmtId="0" fontId="38" fillId="2" borderId="1" xfId="0" applyFont="1" applyFill="1" applyBorder="1" applyAlignment="1">
      <alignment horizontal="center" vertical="center" wrapText="1"/>
    </xf>
    <xf numFmtId="0" fontId="16" fillId="0" borderId="22" xfId="0" applyFont="1" applyBorder="1" applyAlignment="1">
      <alignment horizontal="left" vertical="center" wrapText="1"/>
    </xf>
    <xf numFmtId="0" fontId="16" fillId="0" borderId="24" xfId="0" applyFont="1" applyBorder="1" applyAlignment="1">
      <alignment horizontal="left" vertical="center" wrapText="1"/>
    </xf>
    <xf numFmtId="0" fontId="16" fillId="0" borderId="22" xfId="0" applyFont="1" applyBorder="1" applyAlignment="1">
      <alignment horizontal="center" vertical="center" wrapText="1"/>
    </xf>
    <xf numFmtId="178" fontId="16" fillId="0" borderId="24" xfId="0" applyNumberFormat="1" applyFont="1" applyBorder="1" applyAlignment="1">
      <alignment horizontal="center" vertical="center" wrapText="1"/>
    </xf>
    <xf numFmtId="0" fontId="16" fillId="0" borderId="23" xfId="0" applyFont="1" applyBorder="1" applyAlignment="1">
      <alignment horizontal="left" vertical="top" wrapText="1"/>
    </xf>
    <xf numFmtId="0" fontId="16" fillId="0" borderId="24" xfId="0" applyFont="1" applyBorder="1" applyAlignment="1">
      <alignment horizontal="center" vertical="center" wrapText="1"/>
    </xf>
    <xf numFmtId="178" fontId="16" fillId="0" borderId="22" xfId="0" applyNumberFormat="1" applyFont="1" applyBorder="1" applyAlignment="1">
      <alignment horizontal="left" vertical="top" wrapText="1" shrinkToFit="1"/>
    </xf>
    <xf numFmtId="178" fontId="16" fillId="0" borderId="23" xfId="0" applyNumberFormat="1" applyFont="1" applyBorder="1" applyAlignment="1">
      <alignment horizontal="left" vertical="top" wrapText="1" shrinkToFit="1"/>
    </xf>
    <xf numFmtId="178" fontId="16" fillId="0" borderId="21" xfId="0" applyNumberFormat="1" applyFont="1" applyBorder="1" applyAlignment="1">
      <alignment horizontal="center" vertical="center" wrapText="1"/>
    </xf>
    <xf numFmtId="178" fontId="16" fillId="0" borderId="24" xfId="0" applyNumberFormat="1" applyFont="1" applyBorder="1" applyAlignment="1">
      <alignment horizontal="center" vertical="center" shrinkToFit="1"/>
    </xf>
    <xf numFmtId="0" fontId="16" fillId="0" borderId="23" xfId="0" applyFont="1" applyBorder="1" applyAlignment="1">
      <alignment horizontal="center" vertical="center" wrapText="1"/>
    </xf>
    <xf numFmtId="0" fontId="13" fillId="0" borderId="2" xfId="0" applyFont="1" applyBorder="1" applyProtection="1">
      <alignment vertical="center"/>
      <protection locked="0"/>
    </xf>
    <xf numFmtId="0" fontId="13" fillId="0" borderId="43" xfId="0" applyFont="1" applyBorder="1" applyProtection="1">
      <alignment vertical="center"/>
      <protection locked="0"/>
    </xf>
    <xf numFmtId="0" fontId="13" fillId="0" borderId="48" xfId="0" applyFont="1" applyBorder="1" applyProtection="1">
      <alignment vertical="center"/>
      <protection locked="0"/>
    </xf>
    <xf numFmtId="0" fontId="16" fillId="0" borderId="22" xfId="0" quotePrefix="1" applyFont="1" applyBorder="1" applyAlignment="1">
      <alignment horizontal="left" vertical="center" wrapText="1"/>
    </xf>
    <xf numFmtId="0" fontId="2" fillId="0" borderId="0" xfId="23">
      <alignment vertical="center"/>
    </xf>
    <xf numFmtId="0" fontId="0" fillId="19" borderId="6" xfId="0" applyFill="1" applyBorder="1" applyAlignment="1">
      <alignment horizontal="center" vertical="center"/>
    </xf>
    <xf numFmtId="0" fontId="0" fillId="19" borderId="79" xfId="0" applyFill="1" applyBorder="1" applyAlignment="1">
      <alignment horizontal="center" vertical="center"/>
    </xf>
    <xf numFmtId="0" fontId="0" fillId="19" borderId="80" xfId="0" applyFill="1" applyBorder="1" applyAlignment="1">
      <alignment horizontal="center" vertical="center"/>
    </xf>
    <xf numFmtId="0" fontId="0" fillId="19" borderId="81" xfId="0" applyFill="1" applyBorder="1" applyAlignment="1">
      <alignment horizontal="center" vertical="center"/>
    </xf>
    <xf numFmtId="0" fontId="0" fillId="19" borderId="5" xfId="0" applyFill="1" applyBorder="1" applyAlignment="1">
      <alignment horizontal="center" vertical="center"/>
    </xf>
    <xf numFmtId="0" fontId="0" fillId="19" borderId="1" xfId="0" applyFill="1" applyBorder="1" applyAlignment="1">
      <alignment horizontal="center" vertical="center"/>
    </xf>
    <xf numFmtId="0" fontId="0" fillId="0" borderId="1" xfId="0" applyBorder="1" applyAlignment="1">
      <alignment vertical="top"/>
    </xf>
    <xf numFmtId="0" fontId="0" fillId="0" borderId="1" xfId="0" applyBorder="1" applyAlignment="1">
      <alignment horizontal="center" vertical="top"/>
    </xf>
    <xf numFmtId="0" fontId="0" fillId="0" borderId="1" xfId="0" applyBorder="1" applyAlignment="1">
      <alignment vertical="top" wrapText="1"/>
    </xf>
    <xf numFmtId="0" fontId="0" fillId="20" borderId="1" xfId="0" applyFill="1" applyBorder="1" applyAlignment="1">
      <alignment vertical="top"/>
    </xf>
    <xf numFmtId="0" fontId="0" fillId="20" borderId="1" xfId="0" applyFill="1" applyBorder="1" applyAlignment="1">
      <alignment horizontal="center" vertical="top"/>
    </xf>
    <xf numFmtId="0" fontId="0" fillId="20" borderId="1" xfId="0" applyFill="1" applyBorder="1" applyAlignment="1">
      <alignment vertical="top" wrapText="1"/>
    </xf>
    <xf numFmtId="0" fontId="5" fillId="4" borderId="21" xfId="0" applyFont="1" applyFill="1" applyBorder="1" applyAlignment="1">
      <alignment horizontal="left" vertical="top" wrapText="1"/>
    </xf>
    <xf numFmtId="14" fontId="16" fillId="0" borderId="22" xfId="0" applyNumberFormat="1" applyFont="1" applyBorder="1" applyAlignment="1">
      <alignment horizontal="center" vertical="center" wrapText="1"/>
    </xf>
    <xf numFmtId="0" fontId="5" fillId="0" borderId="0" xfId="0" applyFont="1" applyAlignment="1">
      <alignment horizontal="left" vertical="top" wrapText="1"/>
    </xf>
    <xf numFmtId="0" fontId="3" fillId="0" borderId="0" xfId="0" applyFont="1" applyAlignment="1">
      <alignment horizontal="right" vertical="center" wrapText="1"/>
    </xf>
    <xf numFmtId="0" fontId="27" fillId="0" borderId="0" xfId="0" applyFont="1" applyAlignment="1">
      <alignment horizontal="right" vertical="center" wrapText="1"/>
    </xf>
    <xf numFmtId="193" fontId="13" fillId="0" borderId="0" xfId="0" applyNumberFormat="1" applyFont="1" applyAlignment="1">
      <alignment vertical="top" wrapText="1"/>
    </xf>
    <xf numFmtId="0" fontId="13" fillId="0" borderId="0" xfId="0" applyFont="1" applyAlignment="1">
      <alignment horizontal="left" wrapText="1"/>
    </xf>
    <xf numFmtId="178" fontId="54" fillId="0" borderId="22" xfId="0" applyNumberFormat="1" applyFont="1" applyBorder="1" applyAlignment="1">
      <alignment horizontal="left" vertical="top" wrapText="1" shrinkToFit="1"/>
    </xf>
    <xf numFmtId="56" fontId="16" fillId="0" borderId="22" xfId="0" applyNumberFormat="1" applyFont="1" applyBorder="1" applyAlignment="1">
      <alignment horizontal="center" vertical="center" wrapText="1"/>
    </xf>
    <xf numFmtId="0" fontId="5" fillId="0" borderId="0" xfId="0" applyFont="1" applyAlignment="1">
      <alignment horizontal="left" wrapText="1"/>
    </xf>
    <xf numFmtId="0" fontId="13" fillId="0" borderId="97" xfId="0" applyFont="1" applyBorder="1" applyAlignment="1">
      <alignment horizontal="left" vertical="top" wrapText="1"/>
    </xf>
    <xf numFmtId="0" fontId="13" fillId="0" borderId="34" xfId="0" applyFont="1" applyBorder="1" applyAlignment="1">
      <alignment horizontal="left" vertical="top" wrapText="1"/>
    </xf>
    <xf numFmtId="0" fontId="13" fillId="0" borderId="98" xfId="0" applyFont="1" applyBorder="1" applyAlignment="1">
      <alignment horizontal="left" vertical="top" wrapText="1"/>
    </xf>
    <xf numFmtId="0" fontId="13" fillId="0" borderId="100" xfId="0" applyFont="1" applyBorder="1" applyAlignment="1">
      <alignment horizontal="left" vertical="top" wrapText="1"/>
    </xf>
    <xf numFmtId="0" fontId="13" fillId="0" borderId="44" xfId="0" applyFont="1" applyBorder="1" applyAlignment="1">
      <alignment horizontal="left" vertical="top" wrapText="1"/>
    </xf>
    <xf numFmtId="0" fontId="13" fillId="0" borderId="99" xfId="0" applyFont="1" applyBorder="1" applyAlignment="1">
      <alignment horizontal="left" vertical="top" wrapText="1"/>
    </xf>
    <xf numFmtId="0" fontId="0" fillId="21" borderId="1" xfId="0" applyFill="1" applyBorder="1">
      <alignment vertical="center"/>
    </xf>
    <xf numFmtId="0" fontId="13" fillId="0" borderId="26" xfId="0" applyFont="1" applyBorder="1">
      <alignment vertical="center"/>
    </xf>
    <xf numFmtId="0" fontId="13" fillId="0" borderId="27" xfId="0" applyFont="1" applyBorder="1">
      <alignment vertical="center"/>
    </xf>
    <xf numFmtId="0" fontId="5" fillId="0" borderId="101" xfId="0" applyFont="1" applyBorder="1" applyAlignment="1">
      <alignment horizontal="left" vertical="top" wrapText="1"/>
    </xf>
    <xf numFmtId="0" fontId="13" fillId="0" borderId="90" xfId="0" applyFont="1" applyBorder="1">
      <alignment vertical="center"/>
    </xf>
    <xf numFmtId="0" fontId="0" fillId="0" borderId="90" xfId="0" applyBorder="1" applyAlignment="1">
      <alignment vertical="center" shrinkToFit="1"/>
    </xf>
    <xf numFmtId="0" fontId="0" fillId="0" borderId="26" xfId="0" applyBorder="1" applyAlignment="1">
      <alignment vertical="center" shrinkToFit="1"/>
    </xf>
    <xf numFmtId="0" fontId="0" fillId="22" borderId="1" xfId="0" applyFill="1" applyBorder="1" applyAlignment="1">
      <alignment vertical="top"/>
    </xf>
    <xf numFmtId="0" fontId="56" fillId="22" borderId="1" xfId="0" applyFont="1" applyFill="1" applyBorder="1" applyAlignment="1">
      <alignment vertical="top"/>
    </xf>
    <xf numFmtId="0" fontId="0" fillId="22" borderId="1" xfId="0" applyFill="1" applyBorder="1" applyAlignment="1">
      <alignment vertical="top" wrapText="1"/>
    </xf>
    <xf numFmtId="0" fontId="0" fillId="22" borderId="1" xfId="0" applyFill="1" applyBorder="1" applyAlignment="1">
      <alignment horizontal="center" vertical="top"/>
    </xf>
    <xf numFmtId="0" fontId="5" fillId="2" borderId="0" xfId="0" applyFont="1" applyFill="1" applyAlignment="1">
      <alignment horizontal="center" vertical="center"/>
    </xf>
    <xf numFmtId="176" fontId="0" fillId="0" borderId="102" xfId="0" applyNumberFormat="1" applyBorder="1" applyAlignment="1">
      <alignment vertical="center" shrinkToFit="1"/>
    </xf>
    <xf numFmtId="176" fontId="0" fillId="0" borderId="103" xfId="0" applyNumberFormat="1" applyBorder="1" applyAlignment="1">
      <alignment vertical="center" shrinkToFit="1"/>
    </xf>
    <xf numFmtId="176" fontId="0" fillId="0" borderId="104" xfId="0" applyNumberFormat="1" applyBorder="1" applyAlignment="1">
      <alignment vertical="center" shrinkToFit="1"/>
    </xf>
    <xf numFmtId="0" fontId="38" fillId="0" borderId="1" xfId="0" applyFont="1" applyBorder="1" applyAlignment="1">
      <alignment vertical="center" shrinkToFit="1"/>
    </xf>
    <xf numFmtId="176" fontId="0" fillId="0" borderId="0" xfId="0" applyNumberFormat="1" applyAlignment="1">
      <alignment horizontal="right" vertical="center"/>
    </xf>
    <xf numFmtId="0" fontId="13" fillId="7" borderId="39" xfId="0" applyFont="1" applyFill="1" applyBorder="1" applyAlignment="1">
      <alignment horizontal="center" vertical="center"/>
    </xf>
    <xf numFmtId="0" fontId="13" fillId="7" borderId="35" xfId="0" applyFont="1" applyFill="1" applyBorder="1" applyAlignment="1">
      <alignment horizontal="center" vertical="center"/>
    </xf>
    <xf numFmtId="0" fontId="13" fillId="7" borderId="44" xfId="0" applyFont="1" applyFill="1" applyBorder="1" applyAlignment="1">
      <alignment horizontal="center" vertical="center"/>
    </xf>
    <xf numFmtId="0" fontId="13" fillId="7" borderId="29" xfId="0" applyFont="1" applyFill="1" applyBorder="1">
      <alignment vertical="center"/>
    </xf>
    <xf numFmtId="0" fontId="13" fillId="7" borderId="46" xfId="0" applyFont="1" applyFill="1" applyBorder="1" applyAlignment="1">
      <alignment horizontal="center" vertical="center"/>
    </xf>
    <xf numFmtId="0" fontId="13" fillId="7" borderId="47" xfId="0" applyFont="1" applyFill="1" applyBorder="1">
      <alignment vertical="center"/>
    </xf>
    <xf numFmtId="0" fontId="13" fillId="7" borderId="32" xfId="0" applyFont="1" applyFill="1" applyBorder="1">
      <alignment vertical="center"/>
    </xf>
    <xf numFmtId="0" fontId="13" fillId="7" borderId="31" xfId="0" applyFont="1" applyFill="1" applyBorder="1">
      <alignment vertical="center"/>
    </xf>
    <xf numFmtId="0" fontId="13" fillId="7" borderId="34" xfId="0" applyFont="1" applyFill="1" applyBorder="1" applyAlignment="1">
      <alignment horizontal="center" vertical="center"/>
    </xf>
    <xf numFmtId="0" fontId="13" fillId="7" borderId="30" xfId="0" applyFont="1" applyFill="1" applyBorder="1">
      <alignment vertical="center"/>
    </xf>
    <xf numFmtId="14" fontId="16" fillId="0" borderId="24" xfId="0" applyNumberFormat="1" applyFont="1" applyBorder="1" applyAlignment="1">
      <alignment horizontal="center" vertical="center" wrapText="1"/>
    </xf>
    <xf numFmtId="22" fontId="5" fillId="4" borderId="21" xfId="0" applyNumberFormat="1" applyFont="1" applyFill="1" applyBorder="1" applyAlignment="1">
      <alignment horizontal="left" vertical="top" wrapText="1"/>
    </xf>
    <xf numFmtId="0" fontId="57" fillId="0" borderId="0" xfId="0" applyFont="1" applyAlignment="1">
      <alignment horizontal="left" vertical="top" wrapText="1" shrinkToFit="1"/>
    </xf>
    <xf numFmtId="49" fontId="58" fillId="2" borderId="16" xfId="0" applyNumberFormat="1" applyFont="1" applyFill="1" applyBorder="1" applyAlignment="1">
      <alignment horizontal="center" vertical="center" wrapText="1"/>
    </xf>
    <xf numFmtId="179" fontId="13" fillId="2" borderId="37" xfId="0" applyNumberFormat="1" applyFont="1" applyFill="1" applyBorder="1" applyAlignment="1">
      <alignment horizontal="left" vertical="center" shrinkToFit="1"/>
    </xf>
    <xf numFmtId="179" fontId="13" fillId="2" borderId="35" xfId="0" applyNumberFormat="1" applyFont="1" applyFill="1" applyBorder="1" applyAlignment="1">
      <alignment horizontal="left" vertical="center" shrinkToFit="1"/>
    </xf>
    <xf numFmtId="0" fontId="13" fillId="0" borderId="94" xfId="0" applyFont="1" applyBorder="1" applyProtection="1">
      <alignment vertical="center"/>
      <protection locked="0"/>
    </xf>
    <xf numFmtId="49" fontId="0" fillId="0" borderId="0" xfId="0" applyNumberFormat="1">
      <alignment vertical="center"/>
    </xf>
    <xf numFmtId="0" fontId="61" fillId="5" borderId="0" xfId="0" applyFont="1" applyFill="1">
      <alignment vertical="center"/>
    </xf>
    <xf numFmtId="178" fontId="11" fillId="0" borderId="0" xfId="0" applyNumberFormat="1" applyFont="1" applyAlignment="1">
      <alignment horizontal="center" vertical="center" wrapText="1"/>
    </xf>
    <xf numFmtId="191" fontId="31" fillId="0" borderId="105" xfId="3" applyNumberFormat="1" applyFill="1" applyBorder="1" applyAlignment="1">
      <alignment horizontal="center" vertical="center" wrapText="1"/>
    </xf>
    <xf numFmtId="178" fontId="13" fillId="0" borderId="106" xfId="0" applyNumberFormat="1" applyFont="1" applyBorder="1" applyAlignment="1">
      <alignment horizontal="center" vertical="center" shrinkToFit="1"/>
    </xf>
    <xf numFmtId="0" fontId="13" fillId="0" borderId="106" xfId="0" applyFont="1" applyBorder="1" applyAlignment="1">
      <alignment horizontal="left" vertical="center" wrapText="1"/>
    </xf>
    <xf numFmtId="0" fontId="13" fillId="0" borderId="107" xfId="0" applyFont="1" applyBorder="1" applyAlignment="1">
      <alignment horizontal="left" vertical="center" wrapText="1"/>
    </xf>
    <xf numFmtId="49" fontId="16" fillId="0" borderId="108" xfId="0" applyNumberFormat="1" applyFont="1" applyBorder="1" applyAlignment="1">
      <alignment horizontal="left" vertical="top" wrapText="1"/>
    </xf>
    <xf numFmtId="49" fontId="16" fillId="0" borderId="109" xfId="0" applyNumberFormat="1" applyFont="1" applyBorder="1" applyAlignment="1">
      <alignment horizontal="center" vertical="center" wrapText="1"/>
    </xf>
    <xf numFmtId="0" fontId="13" fillId="0" borderId="106" xfId="0" applyFont="1" applyBorder="1" applyAlignment="1">
      <alignment horizontal="center" vertical="center" wrapText="1"/>
    </xf>
    <xf numFmtId="0" fontId="16" fillId="0" borderId="71" xfId="0" applyFont="1" applyBorder="1" applyAlignment="1">
      <alignment horizontal="center" vertical="center" wrapText="1"/>
    </xf>
    <xf numFmtId="49" fontId="16" fillId="4" borderId="106" xfId="0" applyNumberFormat="1" applyFont="1" applyFill="1" applyBorder="1" applyAlignment="1">
      <alignment horizontal="center" vertical="center" wrapText="1"/>
    </xf>
    <xf numFmtId="178" fontId="13" fillId="4" borderId="108" xfId="0" applyNumberFormat="1" applyFont="1" applyFill="1" applyBorder="1" applyAlignment="1">
      <alignment horizontal="center" vertical="center" shrinkToFit="1"/>
    </xf>
    <xf numFmtId="49" fontId="16" fillId="0" borderId="110" xfId="0" applyNumberFormat="1" applyFont="1" applyBorder="1" applyAlignment="1">
      <alignment horizontal="center" vertical="center" wrapText="1"/>
    </xf>
    <xf numFmtId="178" fontId="16" fillId="0" borderId="106" xfId="0" applyNumberFormat="1" applyFont="1" applyBorder="1" applyAlignment="1">
      <alignment horizontal="center" vertical="center" shrinkToFit="1"/>
    </xf>
    <xf numFmtId="178" fontId="13" fillId="0" borderId="107" xfId="0" applyNumberFormat="1" applyFont="1" applyBorder="1" applyAlignment="1">
      <alignment horizontal="center" vertical="center" wrapText="1"/>
    </xf>
    <xf numFmtId="0" fontId="13" fillId="0" borderId="108" xfId="0" applyFont="1" applyBorder="1" applyAlignment="1">
      <alignment horizontal="center" vertical="center" wrapText="1"/>
    </xf>
    <xf numFmtId="178" fontId="13" fillId="0" borderId="111" xfId="0" applyNumberFormat="1" applyFont="1" applyBorder="1" applyAlignment="1">
      <alignment horizontal="center" vertical="center" wrapText="1"/>
    </xf>
    <xf numFmtId="178" fontId="13" fillId="0" borderId="107" xfId="0" applyNumberFormat="1" applyFont="1" applyBorder="1" applyAlignment="1">
      <alignment horizontal="center" vertical="center" shrinkToFit="1"/>
    </xf>
    <xf numFmtId="0" fontId="13" fillId="0" borderId="107" xfId="0" applyFont="1" applyBorder="1" applyAlignment="1">
      <alignment horizontal="center" vertical="center" wrapText="1"/>
    </xf>
    <xf numFmtId="178" fontId="13" fillId="0" borderId="108" xfId="0" applyNumberFormat="1" applyFont="1" applyBorder="1" applyAlignment="1">
      <alignment horizontal="center" vertical="center" shrinkToFit="1"/>
    </xf>
    <xf numFmtId="178" fontId="13" fillId="0" borderId="109" xfId="0" applyNumberFormat="1" applyFont="1" applyBorder="1" applyAlignment="1">
      <alignment horizontal="center" vertical="center" wrapText="1"/>
    </xf>
    <xf numFmtId="0" fontId="13" fillId="4" borderId="109" xfId="0" applyFont="1" applyFill="1" applyBorder="1" applyAlignment="1">
      <alignment horizontal="left" vertical="top" wrapText="1"/>
    </xf>
    <xf numFmtId="22" fontId="13" fillId="4" borderId="108" xfId="0" applyNumberFormat="1" applyFont="1" applyFill="1" applyBorder="1" applyAlignment="1">
      <alignment horizontal="left" vertical="top" wrapText="1"/>
    </xf>
    <xf numFmtId="191" fontId="31" fillId="0" borderId="58" xfId="3" applyNumberFormat="1" applyFill="1" applyBorder="1" applyAlignment="1">
      <alignment horizontal="center" vertical="center" wrapText="1"/>
    </xf>
    <xf numFmtId="178" fontId="13" fillId="0" borderId="53" xfId="0" applyNumberFormat="1" applyFont="1" applyBorder="1" applyAlignment="1">
      <alignment horizontal="center" vertical="center" shrinkToFit="1"/>
    </xf>
    <xf numFmtId="0" fontId="13" fillId="0" borderId="53" xfId="0" applyFont="1" applyBorder="1" applyAlignment="1">
      <alignment horizontal="left" vertical="center" wrapText="1"/>
    </xf>
    <xf numFmtId="0" fontId="13" fillId="0" borderId="112" xfId="0" applyFont="1" applyBorder="1" applyAlignment="1">
      <alignment horizontal="left" vertical="center" wrapText="1"/>
    </xf>
    <xf numFmtId="49" fontId="16" fillId="0" borderId="59" xfId="0" applyNumberFormat="1" applyFont="1" applyBorder="1" applyAlignment="1">
      <alignment horizontal="left" vertical="top" wrapText="1"/>
    </xf>
    <xf numFmtId="49" fontId="16" fillId="0" borderId="58" xfId="0" applyNumberFormat="1" applyFont="1" applyBorder="1" applyAlignment="1">
      <alignment horizontal="center" vertical="center" wrapText="1"/>
    </xf>
    <xf numFmtId="0" fontId="13" fillId="0" borderId="53" xfId="0" applyFont="1" applyBorder="1" applyAlignment="1">
      <alignment horizontal="center" vertical="center" wrapText="1"/>
    </xf>
    <xf numFmtId="0" fontId="16" fillId="0" borderId="53" xfId="0" applyFont="1" applyBorder="1" applyAlignment="1">
      <alignment horizontal="center" vertical="center" wrapText="1"/>
    </xf>
    <xf numFmtId="49" fontId="16" fillId="4" borderId="53" xfId="0" applyNumberFormat="1" applyFont="1" applyFill="1" applyBorder="1" applyAlignment="1">
      <alignment horizontal="center" vertical="center" wrapText="1"/>
    </xf>
    <xf numFmtId="178" fontId="13" fillId="4" borderId="59" xfId="0" applyNumberFormat="1" applyFont="1" applyFill="1" applyBorder="1" applyAlignment="1">
      <alignment horizontal="center" vertical="center" shrinkToFit="1"/>
    </xf>
    <xf numFmtId="49" fontId="16" fillId="0" borderId="113" xfId="0" applyNumberFormat="1" applyFont="1" applyBorder="1" applyAlignment="1">
      <alignment horizontal="center" vertical="center" wrapText="1"/>
    </xf>
    <xf numFmtId="178" fontId="16" fillId="0" borderId="53" xfId="0" applyNumberFormat="1" applyFont="1" applyBorder="1" applyAlignment="1">
      <alignment horizontal="center" vertical="center" shrinkToFit="1"/>
    </xf>
    <xf numFmtId="178" fontId="13" fillId="0" borderId="112" xfId="0" applyNumberFormat="1" applyFont="1" applyBorder="1" applyAlignment="1">
      <alignment horizontal="center" vertical="center" wrapText="1"/>
    </xf>
    <xf numFmtId="0" fontId="13" fillId="0" borderId="59" xfId="0" applyFont="1" applyBorder="1" applyAlignment="1">
      <alignment horizontal="center" vertical="center" wrapText="1"/>
    </xf>
    <xf numFmtId="178" fontId="13" fillId="0" borderId="114" xfId="0" applyNumberFormat="1" applyFont="1" applyBorder="1" applyAlignment="1">
      <alignment horizontal="center" vertical="center" wrapText="1"/>
    </xf>
    <xf numFmtId="178" fontId="13" fillId="0" borderId="112" xfId="0" applyNumberFormat="1" applyFont="1" applyBorder="1" applyAlignment="1">
      <alignment horizontal="center" vertical="center" shrinkToFit="1"/>
    </xf>
    <xf numFmtId="0" fontId="13" fillId="0" borderId="112" xfId="0" applyFont="1" applyBorder="1" applyAlignment="1">
      <alignment horizontal="center" vertical="center" wrapText="1"/>
    </xf>
    <xf numFmtId="178" fontId="13" fillId="0" borderId="59" xfId="0" applyNumberFormat="1" applyFont="1" applyBorder="1" applyAlignment="1">
      <alignment horizontal="center" vertical="center" shrinkToFit="1"/>
    </xf>
    <xf numFmtId="178" fontId="13" fillId="0" borderId="58" xfId="0" applyNumberFormat="1" applyFont="1" applyBorder="1" applyAlignment="1">
      <alignment horizontal="center" vertical="center" wrapText="1"/>
    </xf>
    <xf numFmtId="0" fontId="13" fillId="4" borderId="58" xfId="0" applyFont="1" applyFill="1" applyBorder="1" applyAlignment="1">
      <alignment horizontal="left" vertical="top" wrapText="1"/>
    </xf>
    <xf numFmtId="22" fontId="13" fillId="4" borderId="59" xfId="0" applyNumberFormat="1" applyFont="1" applyFill="1" applyBorder="1" applyAlignment="1">
      <alignment horizontal="left" vertical="top" wrapText="1"/>
    </xf>
    <xf numFmtId="0" fontId="13" fillId="0" borderId="109" xfId="0" applyFont="1" applyBorder="1" applyAlignment="1">
      <alignment horizontal="left" vertical="top" wrapText="1"/>
    </xf>
    <xf numFmtId="0" fontId="13" fillId="0" borderId="106" xfId="0" applyFont="1" applyBorder="1" applyAlignment="1">
      <alignment horizontal="left" vertical="top" wrapText="1"/>
    </xf>
    <xf numFmtId="0" fontId="13" fillId="0" borderId="108" xfId="0" applyFont="1" applyBorder="1" applyAlignment="1">
      <alignment horizontal="left" vertical="top" wrapText="1"/>
    </xf>
    <xf numFmtId="0" fontId="5" fillId="0" borderId="23" xfId="0" applyFont="1" applyBorder="1" applyAlignment="1">
      <alignment horizontal="left" vertical="top" wrapText="1"/>
    </xf>
    <xf numFmtId="194" fontId="13" fillId="0" borderId="0" xfId="0" applyNumberFormat="1" applyFont="1" applyAlignment="1">
      <alignment horizontal="center" vertical="center" wrapText="1"/>
    </xf>
    <xf numFmtId="194" fontId="5" fillId="0" borderId="0" xfId="0" applyNumberFormat="1" applyFont="1" applyAlignment="1">
      <alignment horizontal="center" vertical="center" wrapText="1"/>
    </xf>
    <xf numFmtId="0" fontId="5" fillId="0" borderId="53" xfId="0" applyFont="1" applyBorder="1" applyAlignment="1">
      <alignment horizontal="left" vertical="center" wrapText="1"/>
    </xf>
    <xf numFmtId="49" fontId="27" fillId="24" borderId="1" xfId="5" applyNumberFormat="1" applyFill="1" applyBorder="1" applyAlignment="1">
      <alignment horizontal="center" vertical="center" wrapText="1"/>
    </xf>
    <xf numFmtId="177" fontId="38" fillId="6" borderId="115" xfId="0" applyNumberFormat="1" applyFont="1" applyFill="1" applyBorder="1" applyAlignment="1">
      <alignment vertical="center" shrinkToFit="1"/>
    </xf>
    <xf numFmtId="0" fontId="27" fillId="0" borderId="115" xfId="5" applyBorder="1" applyAlignment="1">
      <alignment vertical="center"/>
    </xf>
    <xf numFmtId="0" fontId="27" fillId="0" borderId="115" xfId="5" applyBorder="1" applyAlignment="1">
      <alignment vertical="center" shrinkToFit="1"/>
    </xf>
    <xf numFmtId="177" fontId="38" fillId="6" borderId="103" xfId="0" applyNumberFormat="1" applyFont="1" applyFill="1" applyBorder="1" applyAlignment="1">
      <alignment vertical="center" shrinkToFit="1"/>
    </xf>
    <xf numFmtId="0" fontId="27" fillId="0" borderId="103" xfId="5" applyBorder="1" applyAlignment="1">
      <alignment vertical="center"/>
    </xf>
    <xf numFmtId="0" fontId="27" fillId="0" borderId="103" xfId="5" applyBorder="1" applyAlignment="1">
      <alignment vertical="center" shrinkToFit="1"/>
    </xf>
    <xf numFmtId="0" fontId="5" fillId="0" borderId="5" xfId="0" applyFont="1" applyBorder="1">
      <alignment vertical="center"/>
    </xf>
    <xf numFmtId="176" fontId="0" fillId="0" borderId="0" xfId="0" applyNumberFormat="1" applyAlignment="1">
      <alignment vertical="center" shrinkToFit="1"/>
    </xf>
    <xf numFmtId="0" fontId="13" fillId="0" borderId="0" xfId="0" applyFont="1" applyAlignment="1">
      <alignment vertical="center" shrinkToFit="1"/>
    </xf>
    <xf numFmtId="176" fontId="32" fillId="0" borderId="1" xfId="0" applyNumberFormat="1" applyFont="1" applyBorder="1" applyAlignment="1">
      <alignment vertical="center" shrinkToFit="1"/>
    </xf>
    <xf numFmtId="0" fontId="62" fillId="0" borderId="1" xfId="0" applyFont="1" applyBorder="1" applyAlignment="1">
      <alignment vertical="center" shrinkToFit="1"/>
    </xf>
    <xf numFmtId="0" fontId="60" fillId="0" borderId="102" xfId="24" applyFont="1" applyBorder="1" applyAlignment="1">
      <alignment vertical="center" shrinkToFit="1"/>
    </xf>
    <xf numFmtId="0" fontId="60" fillId="0" borderId="103" xfId="24" applyFont="1" applyBorder="1" applyAlignment="1">
      <alignment vertical="center" shrinkToFit="1"/>
    </xf>
    <xf numFmtId="0" fontId="5" fillId="0" borderId="2" xfId="0" quotePrefix="1" applyFont="1" applyBorder="1" applyProtection="1">
      <alignment vertical="center"/>
      <protection locked="0"/>
    </xf>
    <xf numFmtId="0" fontId="0" fillId="0" borderId="103" xfId="24" applyFont="1" applyBorder="1" applyAlignment="1">
      <alignment vertical="center" shrinkToFit="1"/>
    </xf>
    <xf numFmtId="195" fontId="31" fillId="0" borderId="21" xfId="3" applyNumberFormat="1" applyFill="1" applyBorder="1" applyAlignment="1">
      <alignment horizontal="center" vertical="center" wrapText="1"/>
    </xf>
    <xf numFmtId="0" fontId="0" fillId="2" borderId="0" xfId="0" applyFill="1" applyAlignment="1">
      <alignment horizontal="center" vertical="center" wrapText="1"/>
    </xf>
    <xf numFmtId="178" fontId="11" fillId="7" borderId="0" xfId="0" applyNumberFormat="1" applyFont="1" applyFill="1" applyAlignment="1">
      <alignment horizontal="center" vertical="center" shrinkToFit="1"/>
    </xf>
    <xf numFmtId="0" fontId="22" fillId="2" borderId="116" xfId="0" applyFont="1" applyFill="1" applyBorder="1" applyAlignment="1">
      <alignment horizontal="center" vertical="center" wrapText="1"/>
    </xf>
    <xf numFmtId="0" fontId="16" fillId="0" borderId="67" xfId="0" applyFont="1" applyBorder="1" applyAlignment="1">
      <alignment horizontal="center" vertical="center" wrapText="1"/>
    </xf>
    <xf numFmtId="0" fontId="13" fillId="0" borderId="67" xfId="0" applyFont="1" applyBorder="1" applyAlignment="1">
      <alignment horizontal="center" vertical="center" wrapText="1"/>
    </xf>
    <xf numFmtId="0" fontId="13" fillId="0" borderId="80" xfId="0" applyFont="1" applyBorder="1" applyAlignment="1">
      <alignment horizontal="center" vertical="center" wrapText="1"/>
    </xf>
    <xf numFmtId="0" fontId="13" fillId="0" borderId="99" xfId="0" applyFont="1" applyBorder="1" applyAlignment="1">
      <alignment horizontal="center" vertical="center" wrapText="1"/>
    </xf>
    <xf numFmtId="0" fontId="0" fillId="2" borderId="13" xfId="0" applyFill="1" applyBorder="1" applyAlignment="1">
      <alignment horizontal="center" vertical="center" wrapText="1"/>
    </xf>
    <xf numFmtId="0" fontId="0" fillId="2" borderId="8" xfId="0" applyFill="1" applyBorder="1" applyAlignment="1">
      <alignment horizontal="center" vertical="center" wrapText="1"/>
    </xf>
    <xf numFmtId="178" fontId="11" fillId="7" borderId="91" xfId="0" applyNumberFormat="1" applyFont="1" applyFill="1" applyBorder="1" applyAlignment="1">
      <alignment horizontal="center" vertical="center" shrinkToFit="1"/>
    </xf>
    <xf numFmtId="178" fontId="11" fillId="7" borderId="92" xfId="0" applyNumberFormat="1" applyFont="1" applyFill="1" applyBorder="1" applyAlignment="1">
      <alignment horizontal="center" vertical="center" shrinkToFit="1"/>
    </xf>
    <xf numFmtId="178" fontId="11" fillId="7" borderId="60" xfId="0" applyNumberFormat="1" applyFont="1" applyFill="1" applyBorder="1" applyAlignment="1">
      <alignment horizontal="center" vertical="center" shrinkToFit="1"/>
    </xf>
    <xf numFmtId="178" fontId="11" fillId="7" borderId="75" xfId="0" applyNumberFormat="1" applyFont="1" applyFill="1" applyBorder="1" applyAlignment="1">
      <alignment horizontal="center" vertical="center" shrinkToFit="1"/>
    </xf>
    <xf numFmtId="178" fontId="11" fillId="7" borderId="61" xfId="0" applyNumberFormat="1" applyFont="1" applyFill="1" applyBorder="1" applyAlignment="1">
      <alignment horizontal="center" vertical="center" shrinkToFit="1"/>
    </xf>
    <xf numFmtId="178" fontId="11" fillId="7" borderId="65" xfId="0" applyNumberFormat="1" applyFont="1" applyFill="1" applyBorder="1" applyAlignment="1">
      <alignment horizontal="center" vertical="center" shrinkToFit="1"/>
    </xf>
    <xf numFmtId="0" fontId="5" fillId="0" borderId="0" xfId="0" applyFont="1" applyAlignment="1">
      <alignment horizontal="center" vertical="top" wrapText="1"/>
    </xf>
    <xf numFmtId="192" fontId="5" fillId="23" borderId="52" xfId="0" quotePrefix="1" applyNumberFormat="1" applyFont="1" applyFill="1" applyBorder="1" applyAlignment="1" applyProtection="1">
      <alignment horizontal="center" vertical="center"/>
      <protection locked="0"/>
    </xf>
    <xf numFmtId="0" fontId="5" fillId="23" borderId="53" xfId="0" applyFont="1" applyFill="1" applyBorder="1" applyAlignment="1" applyProtection="1">
      <alignment horizontal="center" vertical="center"/>
      <protection locked="0"/>
    </xf>
    <xf numFmtId="0" fontId="5" fillId="23" borderId="52" xfId="0" applyFont="1" applyFill="1" applyBorder="1" applyAlignment="1" applyProtection="1">
      <alignment horizontal="center" vertical="center"/>
      <protection locked="0"/>
    </xf>
    <xf numFmtId="0" fontId="59" fillId="0" borderId="34" xfId="0" applyFont="1" applyBorder="1" applyAlignment="1" applyProtection="1">
      <alignment horizontal="left" vertical="center"/>
      <protection locked="0"/>
    </xf>
    <xf numFmtId="0" fontId="13" fillId="0" borderId="35" xfId="0" applyFont="1" applyBorder="1" applyAlignment="1" applyProtection="1">
      <alignment horizontal="left" vertical="center"/>
      <protection locked="0"/>
    </xf>
    <xf numFmtId="0" fontId="13" fillId="4" borderId="34" xfId="0" applyFont="1" applyFill="1" applyBorder="1" applyAlignment="1">
      <alignment horizontal="center" vertical="center"/>
    </xf>
    <xf numFmtId="0" fontId="13" fillId="4" borderId="35" xfId="0" applyFont="1" applyFill="1" applyBorder="1" applyAlignment="1">
      <alignment horizontal="center" vertical="center"/>
    </xf>
    <xf numFmtId="9" fontId="13" fillId="4" borderId="34" xfId="1" applyFont="1" applyFill="1" applyBorder="1" applyAlignment="1">
      <alignment horizontal="center" vertical="center"/>
    </xf>
    <xf numFmtId="9" fontId="13" fillId="4" borderId="35" xfId="1" applyFont="1" applyFill="1" applyBorder="1" applyAlignment="1">
      <alignment horizontal="center" vertical="center"/>
    </xf>
    <xf numFmtId="192" fontId="5" fillId="0" borderId="52" xfId="0" quotePrefix="1" applyNumberFormat="1" applyFont="1" applyBorder="1" applyAlignment="1" applyProtection="1">
      <alignment horizontal="center" vertical="center"/>
      <protection locked="0"/>
    </xf>
    <xf numFmtId="0" fontId="5" fillId="0" borderId="53" xfId="0" applyFont="1" applyBorder="1" applyAlignment="1" applyProtection="1">
      <alignment horizontal="center" vertical="center"/>
      <protection locked="0"/>
    </xf>
    <xf numFmtId="0" fontId="5" fillId="0" borderId="52" xfId="0" applyFont="1" applyBorder="1" applyAlignment="1" applyProtection="1">
      <alignment horizontal="center" vertical="center"/>
      <protection locked="0"/>
    </xf>
    <xf numFmtId="0" fontId="13" fillId="0" borderId="34" xfId="0" applyFont="1" applyBorder="1" applyAlignment="1" applyProtection="1">
      <alignment horizontal="left" vertical="center"/>
      <protection locked="0"/>
    </xf>
    <xf numFmtId="192" fontId="59" fillId="23" borderId="52" xfId="0" quotePrefix="1" applyNumberFormat="1" applyFont="1" applyFill="1" applyBorder="1" applyAlignment="1" applyProtection="1">
      <alignment horizontal="center" vertical="center"/>
      <protection locked="0"/>
    </xf>
    <xf numFmtId="0" fontId="59" fillId="23" borderId="53" xfId="0" applyFont="1" applyFill="1" applyBorder="1" applyAlignment="1" applyProtection="1">
      <alignment horizontal="center" vertical="center"/>
      <protection locked="0"/>
    </xf>
    <xf numFmtId="0" fontId="59" fillId="23" borderId="52" xfId="0" applyFont="1" applyFill="1" applyBorder="1" applyAlignment="1" applyProtection="1">
      <alignment horizontal="center" vertical="center"/>
      <protection locked="0"/>
    </xf>
    <xf numFmtId="192" fontId="59" fillId="0" borderId="52" xfId="0" quotePrefix="1" applyNumberFormat="1" applyFont="1" applyBorder="1" applyAlignment="1" applyProtection="1">
      <alignment horizontal="center" vertical="center"/>
      <protection locked="0"/>
    </xf>
    <xf numFmtId="0" fontId="59" fillId="0" borderId="53" xfId="0" applyFont="1" applyBorder="1" applyAlignment="1" applyProtection="1">
      <alignment horizontal="center" vertical="center"/>
      <protection locked="0"/>
    </xf>
    <xf numFmtId="0" fontId="59" fillId="0" borderId="52" xfId="0" applyFont="1" applyBorder="1" applyAlignment="1" applyProtection="1">
      <alignment horizontal="center" vertical="center"/>
      <protection locked="0"/>
    </xf>
    <xf numFmtId="0" fontId="5" fillId="0" borderId="39" xfId="0" applyFont="1" applyBorder="1" applyAlignment="1" applyProtection="1">
      <alignment horizontal="left" vertical="center" indent="1"/>
      <protection locked="0"/>
    </xf>
    <xf numFmtId="0" fontId="5" fillId="0" borderId="35" xfId="0" applyFont="1" applyBorder="1" applyAlignment="1" applyProtection="1">
      <alignment horizontal="left" vertical="center" indent="1"/>
      <protection locked="0"/>
    </xf>
    <xf numFmtId="0" fontId="13" fillId="0" borderId="50" xfId="0" quotePrefix="1" applyFont="1" applyBorder="1" applyAlignment="1" applyProtection="1">
      <alignment horizontal="center" vertical="center"/>
      <protection locked="0"/>
    </xf>
    <xf numFmtId="0" fontId="13" fillId="0" borderId="34" xfId="0" applyFont="1" applyBorder="1" applyAlignment="1" applyProtection="1">
      <alignment horizontal="center" vertical="center"/>
      <protection locked="0"/>
    </xf>
    <xf numFmtId="0" fontId="13" fillId="0" borderId="37" xfId="0" applyFont="1" applyBorder="1" applyAlignment="1" applyProtection="1">
      <alignment horizontal="center" vertical="center"/>
      <protection locked="0"/>
    </xf>
    <xf numFmtId="0" fontId="13" fillId="0" borderId="35" xfId="0" applyFont="1" applyBorder="1" applyAlignment="1" applyProtection="1">
      <alignment horizontal="center" vertical="center"/>
      <protection locked="0"/>
    </xf>
    <xf numFmtId="0" fontId="5" fillId="0" borderId="39" xfId="0" applyFont="1" applyBorder="1" applyAlignment="1" applyProtection="1">
      <alignment horizontal="left" vertical="center"/>
      <protection locked="0"/>
    </xf>
    <xf numFmtId="0" fontId="5" fillId="0" borderId="35" xfId="0" applyFont="1" applyBorder="1" applyAlignment="1" applyProtection="1">
      <alignment horizontal="left" vertical="center"/>
      <protection locked="0"/>
    </xf>
    <xf numFmtId="0" fontId="13" fillId="7" borderId="34" xfId="0" applyFont="1" applyFill="1" applyBorder="1" applyAlignment="1">
      <alignment horizontal="center" vertical="center"/>
    </xf>
    <xf numFmtId="0" fontId="13" fillId="7" borderId="35" xfId="0" applyFont="1" applyFill="1" applyBorder="1" applyAlignment="1">
      <alignment horizontal="center" vertical="center"/>
    </xf>
    <xf numFmtId="9" fontId="13" fillId="7" borderId="34" xfId="1" applyFont="1" applyFill="1" applyBorder="1" applyAlignment="1">
      <alignment horizontal="center" vertical="center"/>
    </xf>
    <xf numFmtId="9" fontId="13" fillId="7" borderId="35" xfId="1" applyFont="1" applyFill="1" applyBorder="1" applyAlignment="1">
      <alignment horizontal="center" vertical="center"/>
    </xf>
    <xf numFmtId="0" fontId="13" fillId="4" borderId="62" xfId="0" quotePrefix="1" applyFont="1" applyFill="1" applyBorder="1" applyAlignment="1">
      <alignment horizontal="center" vertical="center"/>
    </xf>
    <xf numFmtId="0" fontId="13" fillId="4" borderId="63" xfId="0" quotePrefix="1" applyFont="1" applyFill="1" applyBorder="1" applyAlignment="1">
      <alignment horizontal="center" vertical="center"/>
    </xf>
    <xf numFmtId="0" fontId="13" fillId="4" borderId="64" xfId="0" quotePrefix="1" applyFont="1" applyFill="1" applyBorder="1" applyAlignment="1">
      <alignment horizontal="center" vertical="center"/>
    </xf>
    <xf numFmtId="0" fontId="13" fillId="4" borderId="61" xfId="0" quotePrefix="1" applyFont="1" applyFill="1" applyBorder="1" applyAlignment="1">
      <alignment horizontal="center" vertical="center"/>
    </xf>
    <xf numFmtId="0" fontId="13" fillId="4" borderId="57" xfId="0" quotePrefix="1" applyFont="1" applyFill="1" applyBorder="1" applyAlignment="1">
      <alignment horizontal="center" vertical="center"/>
    </xf>
    <xf numFmtId="0" fontId="13" fillId="4" borderId="65" xfId="0" quotePrefix="1" applyFont="1" applyFill="1" applyBorder="1" applyAlignment="1">
      <alignment horizontal="center" vertical="center"/>
    </xf>
    <xf numFmtId="180" fontId="13" fillId="2" borderId="43" xfId="0" applyNumberFormat="1" applyFont="1" applyFill="1" applyBorder="1" applyAlignment="1">
      <alignment horizontal="left" vertical="center"/>
    </xf>
    <xf numFmtId="180" fontId="13" fillId="2" borderId="44" xfId="0" applyNumberFormat="1" applyFont="1" applyFill="1" applyBorder="1" applyAlignment="1">
      <alignment horizontal="left" vertical="center"/>
    </xf>
    <xf numFmtId="180" fontId="13" fillId="2" borderId="45" xfId="0" applyNumberFormat="1" applyFont="1" applyFill="1" applyBorder="1" applyAlignment="1">
      <alignment horizontal="left" vertical="center"/>
    </xf>
    <xf numFmtId="38" fontId="13" fillId="4" borderId="39" xfId="4" applyFont="1" applyFill="1" applyBorder="1" applyAlignment="1">
      <alignment horizontal="center" vertical="center"/>
    </xf>
    <xf numFmtId="38" fontId="13" fillId="4" borderId="41" xfId="4" applyFont="1" applyFill="1" applyBorder="1" applyAlignment="1">
      <alignment horizontal="center" vertical="center"/>
    </xf>
    <xf numFmtId="10" fontId="13" fillId="4" borderId="39" xfId="1" applyNumberFormat="1" applyFont="1" applyFill="1" applyBorder="1" applyAlignment="1">
      <alignment horizontal="center" vertical="center"/>
    </xf>
    <xf numFmtId="10" fontId="13" fillId="4" borderId="41" xfId="1" applyNumberFormat="1" applyFont="1" applyFill="1" applyBorder="1" applyAlignment="1">
      <alignment horizontal="center" vertical="center"/>
    </xf>
    <xf numFmtId="0" fontId="13" fillId="4" borderId="66" xfId="0" quotePrefix="1" applyFont="1" applyFill="1" applyBorder="1" applyAlignment="1">
      <alignment horizontal="center" vertical="center"/>
    </xf>
    <xf numFmtId="0" fontId="13" fillId="4" borderId="67" xfId="0" quotePrefix="1" applyFont="1" applyFill="1" applyBorder="1" applyAlignment="1">
      <alignment horizontal="center" vertical="center"/>
    </xf>
    <xf numFmtId="0" fontId="13" fillId="4" borderId="28" xfId="0" quotePrefix="1" applyFont="1" applyFill="1" applyBorder="1" applyAlignment="1">
      <alignment horizontal="center" vertical="center"/>
    </xf>
    <xf numFmtId="0" fontId="13" fillId="4" borderId="68" xfId="0" quotePrefix="1" applyFont="1" applyFill="1" applyBorder="1" applyAlignment="1">
      <alignment horizontal="center" vertical="center"/>
    </xf>
    <xf numFmtId="0" fontId="13" fillId="4" borderId="69" xfId="0" quotePrefix="1" applyFont="1" applyFill="1" applyBorder="1" applyAlignment="1">
      <alignment horizontal="center" vertical="center"/>
    </xf>
    <xf numFmtId="0" fontId="13" fillId="4" borderId="70" xfId="0" quotePrefix="1" applyFont="1" applyFill="1" applyBorder="1" applyAlignment="1">
      <alignment horizontal="center" vertical="center"/>
    </xf>
    <xf numFmtId="9" fontId="13" fillId="7" borderId="39" xfId="1" applyFont="1" applyFill="1" applyBorder="1" applyAlignment="1">
      <alignment horizontal="center" vertical="center"/>
    </xf>
    <xf numFmtId="0" fontId="13" fillId="7" borderId="39" xfId="0" applyFont="1" applyFill="1" applyBorder="1" applyAlignment="1">
      <alignment horizontal="center" vertical="center"/>
    </xf>
    <xf numFmtId="0" fontId="13" fillId="4" borderId="39" xfId="0" applyFont="1" applyFill="1" applyBorder="1" applyAlignment="1">
      <alignment horizontal="center" vertical="center"/>
    </xf>
    <xf numFmtId="9" fontId="13" fillId="4" borderId="39" xfId="1" applyFont="1" applyFill="1" applyBorder="1" applyAlignment="1">
      <alignment horizontal="center" vertical="center"/>
    </xf>
    <xf numFmtId="0" fontId="13" fillId="2" borderId="1" xfId="0" applyFont="1" applyFill="1" applyBorder="1" applyAlignment="1">
      <alignment horizontal="center" vertical="center"/>
    </xf>
    <xf numFmtId="178" fontId="13" fillId="0" borderId="66" xfId="0" applyNumberFormat="1" applyFont="1" applyBorder="1" applyAlignment="1" applyProtection="1">
      <alignment horizontal="center" vertical="center" shrinkToFit="1"/>
      <protection locked="0"/>
    </xf>
    <xf numFmtId="178" fontId="13" fillId="0" borderId="73" xfId="0" applyNumberFormat="1" applyFont="1" applyBorder="1" applyAlignment="1" applyProtection="1">
      <alignment horizontal="center" vertical="center" shrinkToFit="1"/>
      <protection locked="0"/>
    </xf>
    <xf numFmtId="178" fontId="13" fillId="0" borderId="60" xfId="0" applyNumberFormat="1" applyFont="1" applyBorder="1" applyAlignment="1" applyProtection="1">
      <alignment horizontal="center" vertical="center" shrinkToFit="1"/>
      <protection locked="0"/>
    </xf>
    <xf numFmtId="178" fontId="13" fillId="0" borderId="75" xfId="0" applyNumberFormat="1" applyFont="1" applyBorder="1" applyAlignment="1" applyProtection="1">
      <alignment horizontal="center" vertical="center" shrinkToFit="1"/>
      <protection locked="0"/>
    </xf>
    <xf numFmtId="178" fontId="13" fillId="0" borderId="61" xfId="0" applyNumberFormat="1" applyFont="1" applyBorder="1" applyAlignment="1" applyProtection="1">
      <alignment horizontal="center" vertical="center" shrinkToFit="1"/>
      <protection locked="0"/>
    </xf>
    <xf numFmtId="178" fontId="13" fillId="0" borderId="65" xfId="0" applyNumberFormat="1" applyFont="1" applyBorder="1" applyAlignment="1" applyProtection="1">
      <alignment horizontal="center" vertical="center" shrinkToFit="1"/>
      <protection locked="0"/>
    </xf>
    <xf numFmtId="0" fontId="17" fillId="7" borderId="66" xfId="0" applyFont="1" applyFill="1" applyBorder="1" applyAlignment="1" applyProtection="1">
      <alignment horizontal="center" vertical="center" shrinkToFit="1"/>
      <protection locked="0"/>
    </xf>
    <xf numFmtId="0" fontId="17" fillId="7" borderId="67" xfId="0" applyFont="1" applyFill="1" applyBorder="1" applyAlignment="1" applyProtection="1">
      <alignment horizontal="center" vertical="center" shrinkToFit="1"/>
      <protection locked="0"/>
    </xf>
    <xf numFmtId="0" fontId="17" fillId="7" borderId="73" xfId="0" applyFont="1" applyFill="1" applyBorder="1" applyAlignment="1" applyProtection="1">
      <alignment horizontal="center" vertical="center" shrinkToFit="1"/>
      <protection locked="0"/>
    </xf>
    <xf numFmtId="0" fontId="17" fillId="7" borderId="61" xfId="0" applyFont="1" applyFill="1" applyBorder="1" applyAlignment="1" applyProtection="1">
      <alignment horizontal="center" vertical="center" shrinkToFit="1"/>
      <protection locked="0"/>
    </xf>
    <xf numFmtId="0" fontId="17" fillId="7" borderId="57" xfId="0" applyFont="1" applyFill="1" applyBorder="1" applyAlignment="1" applyProtection="1">
      <alignment horizontal="center" vertical="center" shrinkToFit="1"/>
      <protection locked="0"/>
    </xf>
    <xf numFmtId="0" fontId="17" fillId="7" borderId="65" xfId="0" applyFont="1" applyFill="1" applyBorder="1" applyAlignment="1" applyProtection="1">
      <alignment horizontal="center" vertical="center" shrinkToFit="1"/>
      <protection locked="0"/>
    </xf>
    <xf numFmtId="0" fontId="26" fillId="0" borderId="1" xfId="0" applyFont="1" applyBorder="1" applyAlignment="1" applyProtection="1">
      <alignment horizontal="center" vertical="center"/>
      <protection locked="0"/>
    </xf>
    <xf numFmtId="0" fontId="12" fillId="0" borderId="1" xfId="0" applyFont="1" applyBorder="1" applyAlignment="1" applyProtection="1">
      <alignment horizontal="center" vertical="center"/>
      <protection locked="0"/>
    </xf>
    <xf numFmtId="0" fontId="13" fillId="2" borderId="22" xfId="0" applyFont="1" applyFill="1" applyBorder="1" applyAlignment="1">
      <alignment horizontal="center" vertical="center" wrapText="1"/>
    </xf>
    <xf numFmtId="0" fontId="13" fillId="2" borderId="71" xfId="0" applyFont="1" applyFill="1" applyBorder="1" applyAlignment="1">
      <alignment horizontal="center" vertical="center" wrapText="1"/>
    </xf>
    <xf numFmtId="0" fontId="13" fillId="2" borderId="72" xfId="0" applyFont="1" applyFill="1" applyBorder="1" applyAlignment="1">
      <alignment horizontal="center" vertical="center" wrapText="1"/>
    </xf>
    <xf numFmtId="0" fontId="13" fillId="2" borderId="52" xfId="0" applyFont="1" applyFill="1" applyBorder="1" applyAlignment="1">
      <alignment horizontal="left" vertical="center"/>
    </xf>
    <xf numFmtId="0" fontId="13" fillId="2" borderId="53" xfId="0" applyFont="1" applyFill="1" applyBorder="1" applyAlignment="1">
      <alignment horizontal="left" vertical="center"/>
    </xf>
    <xf numFmtId="0" fontId="13" fillId="2" borderId="54" xfId="0" applyFont="1" applyFill="1" applyBorder="1" applyAlignment="1">
      <alignment horizontal="left" vertical="center"/>
    </xf>
    <xf numFmtId="0" fontId="13" fillId="4" borderId="44" xfId="0" applyFont="1" applyFill="1" applyBorder="1" applyAlignment="1">
      <alignment horizontal="center" vertical="center"/>
    </xf>
    <xf numFmtId="0" fontId="13" fillId="4" borderId="46" xfId="0" applyFont="1" applyFill="1" applyBorder="1" applyAlignment="1">
      <alignment horizontal="center" vertical="center"/>
    </xf>
    <xf numFmtId="9" fontId="13" fillId="4" borderId="44" xfId="1" applyFont="1" applyFill="1" applyBorder="1" applyAlignment="1">
      <alignment horizontal="center" vertical="center"/>
    </xf>
    <xf numFmtId="9" fontId="13" fillId="4" borderId="46" xfId="1" applyFont="1" applyFill="1" applyBorder="1" applyAlignment="1">
      <alignment horizontal="center" vertical="center"/>
    </xf>
    <xf numFmtId="0" fontId="13" fillId="7" borderId="44" xfId="0" applyFont="1" applyFill="1" applyBorder="1" applyAlignment="1">
      <alignment horizontal="center" vertical="center"/>
    </xf>
    <xf numFmtId="0" fontId="13" fillId="7" borderId="46" xfId="0" applyFont="1" applyFill="1" applyBorder="1" applyAlignment="1">
      <alignment horizontal="center" vertical="center"/>
    </xf>
    <xf numFmtId="9" fontId="13" fillId="7" borderId="44" xfId="1" applyFont="1" applyFill="1" applyBorder="1" applyAlignment="1">
      <alignment horizontal="center" vertical="center"/>
    </xf>
    <xf numFmtId="9" fontId="13" fillId="7" borderId="46" xfId="1" applyFont="1" applyFill="1" applyBorder="1" applyAlignment="1">
      <alignment horizontal="center" vertical="center"/>
    </xf>
    <xf numFmtId="192" fontId="5" fillId="0" borderId="66" xfId="0" quotePrefix="1" applyNumberFormat="1" applyFont="1" applyBorder="1" applyAlignment="1" applyProtection="1">
      <alignment horizontal="center" vertical="center"/>
      <protection locked="0"/>
    </xf>
    <xf numFmtId="192" fontId="5" fillId="0" borderId="28" xfId="0" quotePrefix="1" applyNumberFormat="1" applyFont="1" applyBorder="1" applyAlignment="1" applyProtection="1">
      <alignment horizontal="center" vertical="center"/>
      <protection locked="0"/>
    </xf>
    <xf numFmtId="192" fontId="5" fillId="0" borderId="61" xfId="0" quotePrefix="1" applyNumberFormat="1" applyFont="1" applyBorder="1" applyAlignment="1" applyProtection="1">
      <alignment horizontal="center" vertical="center"/>
      <protection locked="0"/>
    </xf>
    <xf numFmtId="192" fontId="5" fillId="0" borderId="78" xfId="0" quotePrefix="1" applyNumberFormat="1" applyFont="1" applyBorder="1" applyAlignment="1" applyProtection="1">
      <alignment horizontal="center" vertical="center"/>
      <protection locked="0"/>
    </xf>
    <xf numFmtId="192" fontId="5" fillId="0" borderId="96" xfId="0" quotePrefix="1" applyNumberFormat="1" applyFont="1" applyBorder="1" applyAlignment="1" applyProtection="1">
      <alignment horizontal="center" vertical="center"/>
      <protection locked="0"/>
    </xf>
    <xf numFmtId="0" fontId="5" fillId="0" borderId="72" xfId="0" applyFont="1" applyBorder="1" applyAlignment="1" applyProtection="1">
      <alignment horizontal="center" vertical="center"/>
      <protection locked="0"/>
    </xf>
    <xf numFmtId="192" fontId="5" fillId="0" borderId="60" xfId="0" quotePrefix="1" applyNumberFormat="1" applyFont="1" applyBorder="1" applyAlignment="1" applyProtection="1">
      <alignment horizontal="center" vertical="center"/>
      <protection locked="0"/>
    </xf>
    <xf numFmtId="192" fontId="5" fillId="0" borderId="77" xfId="0" quotePrefix="1" applyNumberFormat="1" applyFont="1" applyBorder="1" applyAlignment="1" applyProtection="1">
      <alignment horizontal="center" vertical="center"/>
      <protection locked="0"/>
    </xf>
    <xf numFmtId="192" fontId="5" fillId="0" borderId="2" xfId="0" quotePrefix="1" applyNumberFormat="1" applyFont="1" applyBorder="1" applyAlignment="1" applyProtection="1">
      <alignment horizontal="center" vertical="center"/>
      <protection locked="0"/>
    </xf>
    <xf numFmtId="192" fontId="5" fillId="0" borderId="39" xfId="0" applyNumberFormat="1" applyFont="1" applyBorder="1" applyAlignment="1" applyProtection="1">
      <alignment horizontal="center" vertical="center"/>
      <protection locked="0"/>
    </xf>
    <xf numFmtId="192" fontId="5" fillId="0" borderId="37" xfId="0" applyNumberFormat="1" applyFont="1" applyBorder="1" applyAlignment="1" applyProtection="1">
      <alignment horizontal="center" vertical="center"/>
      <protection locked="0"/>
    </xf>
    <xf numFmtId="192" fontId="5" fillId="0" borderId="35" xfId="0" applyNumberFormat="1" applyFont="1" applyBorder="1" applyAlignment="1" applyProtection="1">
      <alignment horizontal="center" vertical="center"/>
      <protection locked="0"/>
    </xf>
    <xf numFmtId="0" fontId="13" fillId="2" borderId="66" xfId="0" applyFont="1" applyFill="1" applyBorder="1" applyAlignment="1">
      <alignment horizontal="center" vertical="center"/>
    </xf>
    <xf numFmtId="0" fontId="13" fillId="2" borderId="28" xfId="0" applyFont="1" applyFill="1" applyBorder="1" applyAlignment="1">
      <alignment horizontal="center" vertical="center"/>
    </xf>
    <xf numFmtId="0" fontId="13" fillId="2" borderId="60" xfId="0" applyFont="1" applyFill="1" applyBorder="1" applyAlignment="1">
      <alignment horizontal="center" vertical="center"/>
    </xf>
    <xf numFmtId="0" fontId="13" fillId="2" borderId="77" xfId="0" applyFont="1" applyFill="1" applyBorder="1" applyAlignment="1">
      <alignment horizontal="center" vertical="center"/>
    </xf>
    <xf numFmtId="0" fontId="13" fillId="2" borderId="61" xfId="0" applyFont="1" applyFill="1" applyBorder="1" applyAlignment="1">
      <alignment horizontal="center" vertical="center"/>
    </xf>
    <xf numFmtId="0" fontId="13" fillId="2" borderId="78" xfId="0" applyFont="1" applyFill="1" applyBorder="1" applyAlignment="1">
      <alignment horizontal="center" vertical="center"/>
    </xf>
    <xf numFmtId="0" fontId="17" fillId="7" borderId="1" xfId="0" applyFont="1" applyFill="1" applyBorder="1" applyAlignment="1" applyProtection="1">
      <alignment horizontal="center" vertical="center"/>
      <protection locked="0"/>
    </xf>
    <xf numFmtId="0" fontId="13" fillId="2" borderId="24" xfId="0" applyFont="1" applyFill="1" applyBorder="1" applyAlignment="1">
      <alignment horizontal="center" vertical="center"/>
    </xf>
    <xf numFmtId="0" fontId="13" fillId="2" borderId="73" xfId="0" applyFont="1" applyFill="1" applyBorder="1" applyAlignment="1">
      <alignment horizontal="center" vertical="center"/>
    </xf>
    <xf numFmtId="0" fontId="13" fillId="2" borderId="74" xfId="0" applyFont="1" applyFill="1" applyBorder="1" applyAlignment="1">
      <alignment horizontal="center" vertical="center"/>
    </xf>
    <xf numFmtId="0" fontId="13" fillId="2" borderId="75" xfId="0" applyFont="1" applyFill="1" applyBorder="1" applyAlignment="1">
      <alignment horizontal="center" vertical="center"/>
    </xf>
    <xf numFmtId="0" fontId="13" fillId="2" borderId="76" xfId="0" applyFont="1" applyFill="1" applyBorder="1" applyAlignment="1">
      <alignment horizontal="center" vertical="center"/>
    </xf>
    <xf numFmtId="0" fontId="13" fillId="2" borderId="65" xfId="0" applyFont="1" applyFill="1" applyBorder="1" applyAlignment="1">
      <alignment horizontal="center" vertical="center"/>
    </xf>
    <xf numFmtId="0" fontId="13" fillId="2" borderId="22" xfId="0" applyFont="1" applyFill="1" applyBorder="1" applyAlignment="1">
      <alignment horizontal="center" vertical="center"/>
    </xf>
    <xf numFmtId="0" fontId="13" fillId="2" borderId="71" xfId="0" applyFont="1" applyFill="1" applyBorder="1" applyAlignment="1">
      <alignment horizontal="center" vertical="center"/>
    </xf>
    <xf numFmtId="0" fontId="13" fillId="2" borderId="72" xfId="0" applyFont="1" applyFill="1" applyBorder="1" applyAlignment="1">
      <alignment horizontal="center" vertical="center"/>
    </xf>
    <xf numFmtId="0" fontId="0" fillId="2" borderId="1" xfId="0" applyFill="1" applyBorder="1" applyAlignment="1">
      <alignment horizontal="center" vertical="center"/>
    </xf>
    <xf numFmtId="0" fontId="26" fillId="0" borderId="1" xfId="0" applyFont="1" applyBorder="1" applyAlignment="1">
      <alignment horizontal="center" vertical="center"/>
    </xf>
    <xf numFmtId="190" fontId="26" fillId="7" borderId="66" xfId="0" applyNumberFormat="1" applyFont="1" applyFill="1" applyBorder="1" applyAlignment="1">
      <alignment horizontal="center" vertical="center" shrinkToFit="1"/>
    </xf>
    <xf numFmtId="178" fontId="26" fillId="7" borderId="67" xfId="0" applyNumberFormat="1" applyFont="1" applyFill="1" applyBorder="1" applyAlignment="1">
      <alignment horizontal="center" vertical="center" shrinkToFit="1"/>
    </xf>
    <xf numFmtId="178" fontId="26" fillId="7" borderId="73" xfId="0" applyNumberFormat="1" applyFont="1" applyFill="1" applyBorder="1" applyAlignment="1">
      <alignment horizontal="center" vertical="center" shrinkToFit="1"/>
    </xf>
    <xf numFmtId="178" fontId="26" fillId="7" borderId="61" xfId="0" applyNumberFormat="1" applyFont="1" applyFill="1" applyBorder="1" applyAlignment="1">
      <alignment horizontal="center" vertical="center" shrinkToFit="1"/>
    </xf>
    <xf numFmtId="178" fontId="26" fillId="7" borderId="57" xfId="0" applyNumberFormat="1" applyFont="1" applyFill="1" applyBorder="1" applyAlignment="1">
      <alignment horizontal="center" vertical="center" shrinkToFit="1"/>
    </xf>
    <xf numFmtId="178" fontId="26" fillId="7" borderId="65" xfId="0" applyNumberFormat="1" applyFont="1" applyFill="1" applyBorder="1" applyAlignment="1">
      <alignment horizontal="center" vertical="center" shrinkToFit="1"/>
    </xf>
    <xf numFmtId="0" fontId="12" fillId="0" borderId="66" xfId="0" applyFont="1" applyBorder="1" applyAlignment="1">
      <alignment horizontal="center" vertical="center"/>
    </xf>
    <xf numFmtId="0" fontId="12" fillId="0" borderId="67" xfId="0" applyFont="1" applyBorder="1" applyAlignment="1">
      <alignment horizontal="center" vertical="center"/>
    </xf>
    <xf numFmtId="0" fontId="12" fillId="0" borderId="73" xfId="0" applyFont="1" applyBorder="1" applyAlignment="1">
      <alignment horizontal="center" vertical="center"/>
    </xf>
    <xf numFmtId="0" fontId="12" fillId="0" borderId="61" xfId="0" applyFont="1" applyBorder="1" applyAlignment="1">
      <alignment horizontal="center" vertical="center"/>
    </xf>
    <xf numFmtId="0" fontId="12" fillId="0" borderId="57" xfId="0" applyFont="1" applyBorder="1" applyAlignment="1">
      <alignment horizontal="center" vertical="center"/>
    </xf>
    <xf numFmtId="0" fontId="12" fillId="0" borderId="65" xfId="0" applyFont="1" applyBorder="1" applyAlignment="1">
      <alignment horizontal="center" vertical="center"/>
    </xf>
    <xf numFmtId="0" fontId="17" fillId="7" borderId="66" xfId="0" applyFont="1" applyFill="1" applyBorder="1" applyAlignment="1">
      <alignment horizontal="center" vertical="center" shrinkToFit="1"/>
    </xf>
    <xf numFmtId="0" fontId="17" fillId="7" borderId="67" xfId="0" applyFont="1" applyFill="1" applyBorder="1" applyAlignment="1">
      <alignment horizontal="center" vertical="center" shrinkToFit="1"/>
    </xf>
    <xf numFmtId="0" fontId="17" fillId="7" borderId="73" xfId="0" applyFont="1" applyFill="1" applyBorder="1" applyAlignment="1">
      <alignment horizontal="center" vertical="center" shrinkToFit="1"/>
    </xf>
    <xf numFmtId="0" fontId="17" fillId="7" borderId="61" xfId="0" applyFont="1" applyFill="1" applyBorder="1" applyAlignment="1">
      <alignment horizontal="center" vertical="center" shrinkToFit="1"/>
    </xf>
    <xf numFmtId="0" fontId="17" fillId="7" borderId="57" xfId="0" applyFont="1" applyFill="1" applyBorder="1" applyAlignment="1">
      <alignment horizontal="center" vertical="center" shrinkToFit="1"/>
    </xf>
    <xf numFmtId="0" fontId="17" fillId="7" borderId="65" xfId="0" applyFont="1" applyFill="1" applyBorder="1" applyAlignment="1">
      <alignment horizontal="center" vertical="center" shrinkToFit="1"/>
    </xf>
    <xf numFmtId="0" fontId="17" fillId="7" borderId="1" xfId="0" applyFont="1" applyFill="1" applyBorder="1" applyAlignment="1">
      <alignment horizontal="center" vertical="center" shrinkToFit="1"/>
    </xf>
    <xf numFmtId="0" fontId="18" fillId="0" borderId="66" xfId="0" applyFont="1" applyBorder="1" applyAlignment="1">
      <alignment horizontal="center" vertical="center" wrapText="1"/>
    </xf>
    <xf numFmtId="0" fontId="18" fillId="0" borderId="73" xfId="0" applyFont="1" applyBorder="1" applyAlignment="1">
      <alignment horizontal="center" vertical="center" wrapText="1"/>
    </xf>
    <xf numFmtId="0" fontId="18" fillId="0" borderId="61" xfId="0" applyFont="1" applyBorder="1" applyAlignment="1">
      <alignment horizontal="center" vertical="center" wrapText="1"/>
    </xf>
    <xf numFmtId="0" fontId="18" fillId="0" borderId="65" xfId="0" applyFont="1" applyBorder="1" applyAlignment="1">
      <alignment horizontal="center" vertical="center" wrapText="1"/>
    </xf>
    <xf numFmtId="0" fontId="11" fillId="0" borderId="0" xfId="0" applyFont="1" applyAlignment="1">
      <alignment horizontal="center" vertical="center"/>
    </xf>
    <xf numFmtId="0" fontId="0" fillId="2" borderId="79" xfId="0" applyFill="1" applyBorder="1" applyAlignment="1">
      <alignment horizontal="center" vertical="center"/>
    </xf>
    <xf numFmtId="0" fontId="0" fillId="2" borderId="80" xfId="0" applyFill="1" applyBorder="1" applyAlignment="1">
      <alignment horizontal="center" vertical="center"/>
    </xf>
    <xf numFmtId="0" fontId="0" fillId="4" borderId="79" xfId="0" applyFill="1" applyBorder="1" applyAlignment="1">
      <alignment horizontal="center" vertical="center"/>
    </xf>
    <xf numFmtId="0" fontId="0" fillId="4" borderId="81" xfId="0" applyFill="1" applyBorder="1" applyAlignment="1">
      <alignment horizontal="center" vertical="center"/>
    </xf>
    <xf numFmtId="0" fontId="0" fillId="2" borderId="81" xfId="0" applyFill="1" applyBorder="1" applyAlignment="1">
      <alignment horizontal="center" vertical="center"/>
    </xf>
    <xf numFmtId="0" fontId="0" fillId="4" borderId="6" xfId="0" applyFill="1" applyBorder="1" applyAlignment="1">
      <alignment horizontal="center" vertical="center"/>
    </xf>
    <xf numFmtId="0" fontId="0" fillId="4" borderId="5" xfId="0" applyFill="1" applyBorder="1" applyAlignment="1">
      <alignment horizontal="center" vertical="center"/>
    </xf>
    <xf numFmtId="40" fontId="37" fillId="7" borderId="6" xfId="4" applyNumberFormat="1" applyFont="1" applyFill="1" applyBorder="1" applyAlignment="1">
      <alignment horizontal="center" vertical="center"/>
    </xf>
    <xf numFmtId="40" fontId="37" fillId="7" borderId="4" xfId="4" applyNumberFormat="1" applyFont="1" applyFill="1" applyBorder="1" applyAlignment="1">
      <alignment horizontal="center" vertical="center"/>
    </xf>
    <xf numFmtId="40" fontId="37" fillId="7" borderId="5" xfId="4" applyNumberFormat="1" applyFont="1" applyFill="1" applyBorder="1" applyAlignment="1">
      <alignment horizontal="center" vertical="center"/>
    </xf>
    <xf numFmtId="0" fontId="0" fillId="4" borderId="1" xfId="0" applyFill="1" applyBorder="1" applyAlignment="1">
      <alignment horizontal="center" vertical="center"/>
    </xf>
    <xf numFmtId="190" fontId="0" fillId="6" borderId="80" xfId="0" applyNumberFormat="1" applyFill="1" applyBorder="1" applyAlignment="1">
      <alignment horizontal="left" vertical="center"/>
    </xf>
    <xf numFmtId="14" fontId="0" fillId="6" borderId="81" xfId="0" applyNumberFormat="1" applyFill="1" applyBorder="1" applyAlignment="1">
      <alignment horizontal="left" vertical="center"/>
    </xf>
    <xf numFmtId="0" fontId="17" fillId="0" borderId="66" xfId="0" applyFont="1" applyBorder="1" applyAlignment="1" applyProtection="1">
      <alignment horizontal="center" vertical="center" wrapText="1"/>
      <protection locked="0"/>
    </xf>
    <xf numFmtId="0" fontId="0" fillId="0" borderId="67" xfId="0" applyBorder="1" applyAlignment="1">
      <alignment horizontal="center" vertical="center" wrapText="1"/>
    </xf>
    <xf numFmtId="0" fontId="0" fillId="0" borderId="73" xfId="0" applyBorder="1" applyAlignment="1">
      <alignment horizontal="center" vertical="center" wrapText="1"/>
    </xf>
    <xf numFmtId="0" fontId="17" fillId="0" borderId="61" xfId="0" applyFont="1" applyBorder="1" applyAlignment="1" applyProtection="1">
      <alignment horizontal="center" vertical="center" wrapText="1"/>
      <protection locked="0"/>
    </xf>
    <xf numFmtId="0" fontId="0" fillId="0" borderId="57" xfId="0" applyBorder="1" applyAlignment="1">
      <alignment horizontal="center" vertical="center" wrapText="1"/>
    </xf>
    <xf numFmtId="0" fontId="0" fillId="0" borderId="65" xfId="0" applyBorder="1" applyAlignment="1">
      <alignment horizontal="center" vertical="center" wrapText="1"/>
    </xf>
    <xf numFmtId="0" fontId="0" fillId="0" borderId="67" xfId="0" applyBorder="1" applyAlignment="1">
      <alignment horizontal="center" vertical="center"/>
    </xf>
    <xf numFmtId="0" fontId="0" fillId="0" borderId="73" xfId="0" applyBorder="1" applyAlignment="1">
      <alignment horizontal="center" vertical="center"/>
    </xf>
    <xf numFmtId="0" fontId="0" fillId="0" borderId="57" xfId="0" applyBorder="1" applyAlignment="1">
      <alignment horizontal="center" vertical="center"/>
    </xf>
    <xf numFmtId="0" fontId="0" fillId="0" borderId="65" xfId="0" applyBorder="1" applyAlignment="1">
      <alignment horizontal="center" vertical="center"/>
    </xf>
    <xf numFmtId="0" fontId="13" fillId="2" borderId="79" xfId="0" applyFont="1" applyFill="1" applyBorder="1" applyAlignment="1">
      <alignment horizontal="center" vertical="center"/>
    </xf>
    <xf numFmtId="0" fontId="0" fillId="0" borderId="80" xfId="0" applyBorder="1" applyAlignment="1">
      <alignment horizontal="center" vertical="center"/>
    </xf>
    <xf numFmtId="0" fontId="0" fillId="0" borderId="81" xfId="0" applyBorder="1" applyAlignment="1">
      <alignment horizontal="center" vertical="center"/>
    </xf>
    <xf numFmtId="0" fontId="18" fillId="0" borderId="1" xfId="0" applyFont="1" applyBorder="1" applyAlignment="1">
      <alignment horizontal="center" vertical="center" wrapText="1"/>
    </xf>
    <xf numFmtId="0" fontId="0" fillId="2" borderId="6" xfId="0" applyFill="1" applyBorder="1" applyAlignment="1">
      <alignment horizontal="center" vertical="center"/>
    </xf>
    <xf numFmtId="0" fontId="0" fillId="2" borderId="5" xfId="0" applyFill="1" applyBorder="1" applyAlignment="1">
      <alignment horizontal="center" vertical="center"/>
    </xf>
    <xf numFmtId="0" fontId="17" fillId="0" borderId="1" xfId="0" applyFont="1" applyBorder="1" applyAlignment="1" applyProtection="1">
      <alignment horizontal="center" vertical="center" wrapText="1"/>
      <protection locked="0"/>
    </xf>
    <xf numFmtId="0" fontId="0" fillId="0" borderId="34" xfId="0" applyBorder="1" applyAlignment="1">
      <alignment horizontal="center" vertical="center"/>
    </xf>
    <xf numFmtId="0" fontId="0" fillId="0" borderId="34" xfId="0" applyBorder="1" applyAlignment="1">
      <alignment horizontal="left" vertical="center"/>
    </xf>
    <xf numFmtId="0" fontId="0" fillId="0" borderId="34" xfId="0" applyBorder="1" applyAlignment="1">
      <alignment horizontal="left" vertical="center" wrapText="1"/>
    </xf>
    <xf numFmtId="178" fontId="0" fillId="0" borderId="34" xfId="0" applyNumberFormat="1" applyBorder="1" applyAlignment="1">
      <alignment horizontal="center" vertical="center"/>
    </xf>
    <xf numFmtId="0" fontId="0" fillId="0" borderId="30" xfId="0" applyBorder="1" applyAlignment="1">
      <alignment horizontal="left" vertical="center"/>
    </xf>
    <xf numFmtId="0" fontId="0" fillId="0" borderId="9" xfId="0" applyBorder="1" applyAlignment="1">
      <alignment horizontal="left" vertical="center"/>
    </xf>
    <xf numFmtId="0" fontId="0" fillId="0" borderId="36" xfId="0" applyBorder="1" applyAlignment="1">
      <alignment horizontal="left" vertical="center"/>
    </xf>
    <xf numFmtId="0" fontId="0" fillId="0" borderId="30" xfId="0" applyBorder="1" applyAlignment="1">
      <alignment horizontal="left" vertical="center" wrapText="1"/>
    </xf>
    <xf numFmtId="0" fontId="0" fillId="0" borderId="9" xfId="0" applyBorder="1" applyAlignment="1">
      <alignment horizontal="left" vertical="center" wrapText="1"/>
    </xf>
    <xf numFmtId="0" fontId="0" fillId="0" borderId="36" xfId="0" applyBorder="1" applyAlignment="1">
      <alignment horizontal="left" vertical="center" wrapText="1"/>
    </xf>
    <xf numFmtId="0" fontId="0" fillId="0" borderId="30" xfId="0" applyBorder="1" applyAlignment="1">
      <alignment horizontal="center" vertical="center"/>
    </xf>
    <xf numFmtId="0" fontId="0" fillId="0" borderId="36" xfId="0" applyBorder="1" applyAlignment="1">
      <alignment horizontal="center" vertical="center"/>
    </xf>
    <xf numFmtId="0" fontId="29" fillId="0" borderId="60" xfId="5" applyFont="1" applyBorder="1" applyAlignment="1">
      <alignment horizontal="center" vertical="center"/>
    </xf>
    <xf numFmtId="0" fontId="29" fillId="0" borderId="0" xfId="5" applyFont="1" applyAlignment="1">
      <alignment horizontal="center" vertical="center"/>
    </xf>
    <xf numFmtId="0" fontId="29" fillId="0" borderId="61" xfId="5" applyFont="1" applyBorder="1" applyAlignment="1">
      <alignment horizontal="center" vertical="center"/>
    </xf>
    <xf numFmtId="0" fontId="29" fillId="0" borderId="57" xfId="5" applyFont="1" applyBorder="1" applyAlignment="1">
      <alignment horizontal="center" vertical="center"/>
    </xf>
    <xf numFmtId="0" fontId="32" fillId="6" borderId="2" xfId="0" applyFont="1" applyFill="1" applyBorder="1" applyAlignment="1">
      <alignment horizontal="center" vertical="center"/>
    </xf>
    <xf numFmtId="0" fontId="32" fillId="6" borderId="39" xfId="0" applyFont="1" applyFill="1" applyBorder="1" applyAlignment="1">
      <alignment horizontal="center" vertical="center"/>
    </xf>
    <xf numFmtId="0" fontId="32" fillId="6" borderId="50" xfId="0" applyFont="1" applyFill="1" applyBorder="1" applyAlignment="1">
      <alignment horizontal="center" vertical="center"/>
    </xf>
    <xf numFmtId="0" fontId="32" fillId="6" borderId="34" xfId="0" applyFont="1" applyFill="1" applyBorder="1" applyAlignment="1">
      <alignment horizontal="center" vertical="center"/>
    </xf>
    <xf numFmtId="0" fontId="32" fillId="6" borderId="3" xfId="0" applyFont="1" applyFill="1" applyBorder="1" applyAlignment="1">
      <alignment horizontal="center" vertical="center"/>
    </xf>
    <xf numFmtId="0" fontId="32" fillId="6" borderId="51" xfId="0" applyFont="1" applyFill="1" applyBorder="1" applyAlignment="1">
      <alignment horizontal="center" vertical="center"/>
    </xf>
    <xf numFmtId="0" fontId="0" fillId="0" borderId="34" xfId="0" applyBorder="1" applyAlignment="1">
      <alignment horizontal="center" vertical="center" wrapText="1"/>
    </xf>
    <xf numFmtId="0" fontId="0" fillId="18" borderId="14" xfId="0" applyFill="1" applyBorder="1">
      <alignment vertical="center"/>
    </xf>
    <xf numFmtId="0" fontId="0" fillId="0" borderId="11" xfId="0" applyBorder="1">
      <alignment vertical="center"/>
    </xf>
    <xf numFmtId="0" fontId="12" fillId="0" borderId="1" xfId="0" applyFont="1" applyBorder="1" applyAlignment="1">
      <alignment horizontal="center" vertical="center" wrapText="1"/>
    </xf>
    <xf numFmtId="0" fontId="26" fillId="0" borderId="1" xfId="0" applyFont="1" applyBorder="1" applyAlignment="1">
      <alignment horizontal="center" vertical="center" wrapText="1"/>
    </xf>
    <xf numFmtId="0" fontId="17" fillId="7" borderId="1" xfId="0" applyFont="1" applyFill="1" applyBorder="1" applyAlignment="1">
      <alignment horizontal="center" vertical="center" wrapText="1"/>
    </xf>
    <xf numFmtId="0" fontId="16" fillId="0" borderId="75" xfId="6" applyBorder="1" applyAlignment="1">
      <alignment horizontal="center" vertical="center" textRotation="255"/>
    </xf>
    <xf numFmtId="0" fontId="41" fillId="14" borderId="6" xfId="6" applyFont="1" applyFill="1" applyBorder="1" applyAlignment="1">
      <alignment vertical="center" wrapText="1"/>
    </xf>
    <xf numFmtId="0" fontId="41" fillId="14" borderId="5" xfId="6" applyFont="1" applyFill="1" applyBorder="1" applyAlignment="1">
      <alignment vertical="center" wrapText="1"/>
    </xf>
    <xf numFmtId="0" fontId="41" fillId="10" borderId="0" xfId="6" applyFont="1" applyFill="1" applyAlignment="1">
      <alignment vertical="center" wrapText="1"/>
    </xf>
    <xf numFmtId="0" fontId="16" fillId="0" borderId="0" xfId="6" applyAlignment="1">
      <alignment horizontal="center" vertical="center" textRotation="255"/>
    </xf>
    <xf numFmtId="0" fontId="5" fillId="0" borderId="67" xfId="6" applyFont="1" applyBorder="1" applyAlignment="1">
      <alignment horizontal="center" vertical="center"/>
    </xf>
    <xf numFmtId="0" fontId="5" fillId="0" borderId="0" xfId="6" applyFont="1" applyAlignment="1">
      <alignment horizontal="center" vertical="center"/>
    </xf>
  </cellXfs>
  <cellStyles count="25">
    <cellStyle name="Calc Currency (0)" xfId="7" xr:uid="{00000000-0005-0000-0000-000000000000}"/>
    <cellStyle name="Grey" xfId="8" xr:uid="{00000000-0005-0000-0000-000001000000}"/>
    <cellStyle name="Header1" xfId="9" xr:uid="{00000000-0005-0000-0000-000002000000}"/>
    <cellStyle name="Header2" xfId="10" xr:uid="{00000000-0005-0000-0000-000003000000}"/>
    <cellStyle name="Input [yellow]" xfId="11" xr:uid="{00000000-0005-0000-0000-000004000000}"/>
    <cellStyle name="KWE標準" xfId="12" xr:uid="{00000000-0005-0000-0000-000005000000}"/>
    <cellStyle name="Milliers [0]_AR1194" xfId="13" xr:uid="{00000000-0005-0000-0000-000006000000}"/>
    <cellStyle name="Milliers_AR1194" xfId="14" xr:uid="{00000000-0005-0000-0000-000007000000}"/>
    <cellStyle name="Mon騁aire [0]_AR1194" xfId="15" xr:uid="{00000000-0005-0000-0000-000008000000}"/>
    <cellStyle name="Mon騁aire_AR1194" xfId="16" xr:uid="{00000000-0005-0000-0000-000009000000}"/>
    <cellStyle name="Normal - Style1" xfId="17" xr:uid="{00000000-0005-0000-0000-00000A000000}"/>
    <cellStyle name="Normal_#18-Internet" xfId="18" xr:uid="{00000000-0005-0000-0000-00000B000000}"/>
    <cellStyle name="Percent [2]" xfId="19" xr:uid="{00000000-0005-0000-0000-00000C000000}"/>
    <cellStyle name="パーセント" xfId="1" builtinId="5"/>
    <cellStyle name="パーセント 2" xfId="2" xr:uid="{00000000-0005-0000-0000-00000E000000}"/>
    <cellStyle name="ハイパーリンク" xfId="3" builtinId="8"/>
    <cellStyle name="桁区切り" xfId="4" builtinId="6"/>
    <cellStyle name="桁区切り 2" xfId="20" xr:uid="{00000000-0005-0000-0000-000011000000}"/>
    <cellStyle name="標準" xfId="0" builtinId="0"/>
    <cellStyle name="標準 2" xfId="5" xr:uid="{00000000-0005-0000-0000-000013000000}"/>
    <cellStyle name="標準 3" xfId="6" xr:uid="{00000000-0005-0000-0000-000014000000}"/>
    <cellStyle name="標準 4" xfId="23" xr:uid="{00000000-0005-0000-0000-000015000000}"/>
    <cellStyle name="標準 5" xfId="24" xr:uid="{59776B65-96AF-479C-8593-1745B8697918}"/>
    <cellStyle name="表旨巧・・ハイパーリンク" xfId="21" xr:uid="{00000000-0005-0000-0000-000016000000}"/>
    <cellStyle name="未定義" xfId="22" xr:uid="{00000000-0005-0000-0000-000017000000}"/>
  </cellStyles>
  <dxfs count="297">
    <dxf>
      <font>
        <b/>
        <i val="0"/>
        <color theme="0"/>
        <name val="ＭＳ Ｐゴシック"/>
        <scheme val="none"/>
      </font>
      <fill>
        <patternFill patternType="solid">
          <bgColor rgb="FFFF0000"/>
        </patternFill>
      </fill>
    </dxf>
    <dxf>
      <border>
        <right style="thin">
          <color rgb="FFFF0000"/>
        </right>
        <vertical/>
        <horizontal/>
      </border>
    </dxf>
    <dxf>
      <border>
        <right style="thin">
          <color rgb="FFFF0000"/>
        </right>
        <vertical/>
        <horizontal/>
      </border>
    </dxf>
    <dxf>
      <border>
        <right style="thin">
          <color rgb="FFFF0000"/>
        </right>
        <vertical/>
        <horizontal/>
      </border>
    </dxf>
    <dxf>
      <border>
        <right style="thin">
          <color rgb="FFFF0000"/>
        </right>
        <vertical/>
        <horizontal/>
      </border>
    </dxf>
    <dxf>
      <border>
        <right style="thin">
          <color rgb="FFFF0000"/>
        </right>
        <vertical/>
        <horizontal/>
      </border>
    </dxf>
    <dxf>
      <border>
        <right style="thin">
          <color rgb="FFFF0000"/>
        </right>
        <vertical/>
        <horizontal/>
      </border>
    </dxf>
    <dxf>
      <border>
        <right style="thin">
          <color rgb="FFFF0000"/>
        </right>
        <vertical/>
        <horizontal/>
      </border>
    </dxf>
    <dxf>
      <border>
        <right style="thin">
          <color rgb="FFFF0000"/>
        </right>
        <vertical/>
        <horizontal/>
      </border>
    </dxf>
    <dxf>
      <border>
        <right style="thin">
          <color rgb="FFFF0000"/>
        </right>
        <vertical/>
        <horizontal/>
      </border>
    </dxf>
    <dxf>
      <border>
        <right style="thin">
          <color rgb="FFFF0000"/>
        </right>
        <vertical/>
        <horizontal/>
      </border>
    </dxf>
    <dxf>
      <border>
        <right style="thin">
          <color rgb="FFFF0000"/>
        </right>
        <vertical/>
        <horizontal/>
      </border>
    </dxf>
    <dxf>
      <border>
        <right style="thin">
          <color rgb="FFFF0000"/>
        </right>
        <vertical/>
        <horizontal/>
      </border>
    </dxf>
    <dxf>
      <border>
        <right style="thin">
          <color rgb="FFFF0000"/>
        </right>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font>
      <fill>
        <patternFill>
          <bgColor rgb="FFFF00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C4BD97"/>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494529"/>
      <rgbColor rgb="00993300"/>
      <rgbColor rgb="00993366"/>
      <rgbColor rgb="00333399"/>
      <rgbColor rgb="00333333"/>
    </indexedColors>
    <mruColors>
      <color rgb="FFFFFF99"/>
      <color rgb="FFE6B9B8"/>
      <color rgb="FFC4BD9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pivotCacheDefinition" Target="pivotCache/pivotCacheDefinition6.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5.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pivotCacheDefinition" Target="pivotCache/pivotCacheDefinition4.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pivotCacheDefinition" Target="pivotCache/pivotCacheDefinition3.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2.xml"/><Relationship Id="rId22" Type="http://schemas.openxmlformats.org/officeDocument/2006/relationships/sheetMetadata" Target="metadata.xml"/><Relationship Id="rId27"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9351465885621558E-2"/>
          <c:y val="6.2877380116045614E-2"/>
          <c:w val="0.60620894820146021"/>
          <c:h val="0.74932742278926268"/>
        </c:manualLayout>
      </c:layout>
      <c:lineChart>
        <c:grouping val="standard"/>
        <c:varyColors val="0"/>
        <c:ser>
          <c:idx val="0"/>
          <c:order val="2"/>
          <c:tx>
            <c:strRef>
              <c:f>'W_Failure data'!$B$39</c:f>
              <c:strCache>
                <c:ptCount val="1"/>
                <c:pt idx="0">
                  <c:v>残テスト項目予定数</c:v>
                </c:pt>
              </c:strCache>
            </c:strRef>
          </c:tx>
          <c:spPr>
            <a:ln w="12700">
              <a:solidFill>
                <a:srgbClr val="339966"/>
              </a:solidFill>
              <a:prstDash val="sysDash"/>
            </a:ln>
          </c:spPr>
          <c:marker>
            <c:symbol val="circle"/>
            <c:size val="4"/>
            <c:spPr>
              <a:noFill/>
              <a:ln w="12700">
                <a:solidFill>
                  <a:srgbClr val="339966"/>
                </a:solidFill>
              </a:ln>
            </c:spPr>
          </c:marker>
          <c:cat>
            <c:numRef>
              <c:f>'W_Failure data'!$D$4:$BA$4</c:f>
              <c:numCache>
                <c:formatCode>yy/mm/dd</c:formatCode>
                <c:ptCount val="50"/>
                <c:pt idx="0">
                  <c:v>46111</c:v>
                </c:pt>
                <c:pt idx="1">
                  <c:v>46118</c:v>
                </c:pt>
                <c:pt idx="2">
                  <c:v>46125</c:v>
                </c:pt>
                <c:pt idx="3">
                  <c:v>46132</c:v>
                </c:pt>
                <c:pt idx="4">
                  <c:v>46139</c:v>
                </c:pt>
                <c:pt idx="5">
                  <c:v>46146</c:v>
                </c:pt>
                <c:pt idx="6">
                  <c:v>46153</c:v>
                </c:pt>
                <c:pt idx="7">
                  <c:v>46160</c:v>
                </c:pt>
                <c:pt idx="8">
                  <c:v>46167</c:v>
                </c:pt>
                <c:pt idx="9">
                  <c:v>46174</c:v>
                </c:pt>
                <c:pt idx="10">
                  <c:v>46181</c:v>
                </c:pt>
                <c:pt idx="11">
                  <c:v>46188</c:v>
                </c:pt>
                <c:pt idx="12">
                  <c:v>46195</c:v>
                </c:pt>
                <c:pt idx="13">
                  <c:v>46202</c:v>
                </c:pt>
                <c:pt idx="14">
                  <c:v>46209</c:v>
                </c:pt>
                <c:pt idx="15">
                  <c:v>46209</c:v>
                </c:pt>
                <c:pt idx="16">
                  <c:v>46209</c:v>
                </c:pt>
                <c:pt idx="17">
                  <c:v>46209</c:v>
                </c:pt>
                <c:pt idx="18">
                  <c:v>46209</c:v>
                </c:pt>
                <c:pt idx="19">
                  <c:v>46209</c:v>
                </c:pt>
                <c:pt idx="20">
                  <c:v>46209</c:v>
                </c:pt>
                <c:pt idx="21">
                  <c:v>46209</c:v>
                </c:pt>
                <c:pt idx="22">
                  <c:v>46209</c:v>
                </c:pt>
                <c:pt idx="23">
                  <c:v>46209</c:v>
                </c:pt>
                <c:pt idx="24">
                  <c:v>46209</c:v>
                </c:pt>
                <c:pt idx="25">
                  <c:v>46209</c:v>
                </c:pt>
                <c:pt idx="26">
                  <c:v>46209</c:v>
                </c:pt>
                <c:pt idx="27">
                  <c:v>46209</c:v>
                </c:pt>
                <c:pt idx="28">
                  <c:v>46209</c:v>
                </c:pt>
                <c:pt idx="29">
                  <c:v>46209</c:v>
                </c:pt>
                <c:pt idx="30">
                  <c:v>46209</c:v>
                </c:pt>
                <c:pt idx="31">
                  <c:v>46209</c:v>
                </c:pt>
                <c:pt idx="32">
                  <c:v>46209</c:v>
                </c:pt>
                <c:pt idx="33">
                  <c:v>46209</c:v>
                </c:pt>
                <c:pt idx="34">
                  <c:v>46209</c:v>
                </c:pt>
                <c:pt idx="35">
                  <c:v>46209</c:v>
                </c:pt>
                <c:pt idx="36">
                  <c:v>46209</c:v>
                </c:pt>
                <c:pt idx="37">
                  <c:v>46209</c:v>
                </c:pt>
                <c:pt idx="38">
                  <c:v>46209</c:v>
                </c:pt>
                <c:pt idx="39">
                  <c:v>46209</c:v>
                </c:pt>
                <c:pt idx="40">
                  <c:v>46209</c:v>
                </c:pt>
                <c:pt idx="41">
                  <c:v>46209</c:v>
                </c:pt>
                <c:pt idx="42">
                  <c:v>46209</c:v>
                </c:pt>
                <c:pt idx="43">
                  <c:v>46209</c:v>
                </c:pt>
                <c:pt idx="44">
                  <c:v>46209</c:v>
                </c:pt>
                <c:pt idx="45">
                  <c:v>46209</c:v>
                </c:pt>
                <c:pt idx="46">
                  <c:v>46209</c:v>
                </c:pt>
                <c:pt idx="47">
                  <c:v>46209</c:v>
                </c:pt>
                <c:pt idx="48">
                  <c:v>46209</c:v>
                </c:pt>
                <c:pt idx="49">
                  <c:v>46209</c:v>
                </c:pt>
              </c:numCache>
            </c:numRef>
          </c:cat>
          <c:val>
            <c:numRef>
              <c:f>'Test Management'!$I$401:$BF$401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smooth val="0"/>
          <c:extLst>
            <c:ext xmlns:c16="http://schemas.microsoft.com/office/drawing/2014/chart" uri="{C3380CC4-5D6E-409C-BE32-E72D297353CC}">
              <c16:uniqueId val="{00000000-F274-4D5E-AE02-4C393F3C0D1F}"/>
            </c:ext>
          </c:extLst>
        </c:ser>
        <c:ser>
          <c:idx val="3"/>
          <c:order val="3"/>
          <c:tx>
            <c:strRef>
              <c:f>'W_Failure data'!$B$38</c:f>
              <c:strCache>
                <c:ptCount val="1"/>
                <c:pt idx="0">
                  <c:v>残テスト項目実績数</c:v>
                </c:pt>
              </c:strCache>
            </c:strRef>
          </c:tx>
          <c:spPr>
            <a:ln w="12700">
              <a:solidFill>
                <a:srgbClr val="339966"/>
              </a:solidFill>
              <a:prstDash val="solid"/>
            </a:ln>
          </c:spPr>
          <c:marker>
            <c:symbol val="circle"/>
            <c:size val="4"/>
            <c:spPr>
              <a:solidFill>
                <a:srgbClr val="339966"/>
              </a:solidFill>
              <a:ln>
                <a:solidFill>
                  <a:srgbClr val="339966"/>
                </a:solidFill>
              </a:ln>
            </c:spPr>
          </c:marker>
          <c:cat>
            <c:numRef>
              <c:f>'W_Failure data'!$D$4:$BA$4</c:f>
              <c:numCache>
                <c:formatCode>yy/mm/dd</c:formatCode>
                <c:ptCount val="50"/>
                <c:pt idx="0">
                  <c:v>46111</c:v>
                </c:pt>
                <c:pt idx="1">
                  <c:v>46118</c:v>
                </c:pt>
                <c:pt idx="2">
                  <c:v>46125</c:v>
                </c:pt>
                <c:pt idx="3">
                  <c:v>46132</c:v>
                </c:pt>
                <c:pt idx="4">
                  <c:v>46139</c:v>
                </c:pt>
                <c:pt idx="5">
                  <c:v>46146</c:v>
                </c:pt>
                <c:pt idx="6">
                  <c:v>46153</c:v>
                </c:pt>
                <c:pt idx="7">
                  <c:v>46160</c:v>
                </c:pt>
                <c:pt idx="8">
                  <c:v>46167</c:v>
                </c:pt>
                <c:pt idx="9">
                  <c:v>46174</c:v>
                </c:pt>
                <c:pt idx="10">
                  <c:v>46181</c:v>
                </c:pt>
                <c:pt idx="11">
                  <c:v>46188</c:v>
                </c:pt>
                <c:pt idx="12">
                  <c:v>46195</c:v>
                </c:pt>
                <c:pt idx="13">
                  <c:v>46202</c:v>
                </c:pt>
                <c:pt idx="14">
                  <c:v>46209</c:v>
                </c:pt>
                <c:pt idx="15">
                  <c:v>46209</c:v>
                </c:pt>
                <c:pt idx="16">
                  <c:v>46209</c:v>
                </c:pt>
                <c:pt idx="17">
                  <c:v>46209</c:v>
                </c:pt>
                <c:pt idx="18">
                  <c:v>46209</c:v>
                </c:pt>
                <c:pt idx="19">
                  <c:v>46209</c:v>
                </c:pt>
                <c:pt idx="20">
                  <c:v>46209</c:v>
                </c:pt>
                <c:pt idx="21">
                  <c:v>46209</c:v>
                </c:pt>
                <c:pt idx="22">
                  <c:v>46209</c:v>
                </c:pt>
                <c:pt idx="23">
                  <c:v>46209</c:v>
                </c:pt>
                <c:pt idx="24">
                  <c:v>46209</c:v>
                </c:pt>
                <c:pt idx="25">
                  <c:v>46209</c:v>
                </c:pt>
                <c:pt idx="26">
                  <c:v>46209</c:v>
                </c:pt>
                <c:pt idx="27">
                  <c:v>46209</c:v>
                </c:pt>
                <c:pt idx="28">
                  <c:v>46209</c:v>
                </c:pt>
                <c:pt idx="29">
                  <c:v>46209</c:v>
                </c:pt>
                <c:pt idx="30">
                  <c:v>46209</c:v>
                </c:pt>
                <c:pt idx="31">
                  <c:v>46209</c:v>
                </c:pt>
                <c:pt idx="32">
                  <c:v>46209</c:v>
                </c:pt>
                <c:pt idx="33">
                  <c:v>46209</c:v>
                </c:pt>
                <c:pt idx="34">
                  <c:v>46209</c:v>
                </c:pt>
                <c:pt idx="35">
                  <c:v>46209</c:v>
                </c:pt>
                <c:pt idx="36">
                  <c:v>46209</c:v>
                </c:pt>
                <c:pt idx="37">
                  <c:v>46209</c:v>
                </c:pt>
                <c:pt idx="38">
                  <c:v>46209</c:v>
                </c:pt>
                <c:pt idx="39">
                  <c:v>46209</c:v>
                </c:pt>
                <c:pt idx="40">
                  <c:v>46209</c:v>
                </c:pt>
                <c:pt idx="41">
                  <c:v>46209</c:v>
                </c:pt>
                <c:pt idx="42">
                  <c:v>46209</c:v>
                </c:pt>
                <c:pt idx="43">
                  <c:v>46209</c:v>
                </c:pt>
                <c:pt idx="44">
                  <c:v>46209</c:v>
                </c:pt>
                <c:pt idx="45">
                  <c:v>46209</c:v>
                </c:pt>
                <c:pt idx="46">
                  <c:v>46209</c:v>
                </c:pt>
                <c:pt idx="47">
                  <c:v>46209</c:v>
                </c:pt>
                <c:pt idx="48">
                  <c:v>46209</c:v>
                </c:pt>
                <c:pt idx="49">
                  <c:v>46209</c:v>
                </c:pt>
              </c:numCache>
            </c:numRef>
          </c:cat>
          <c:val>
            <c:numRef>
              <c:f>'W_Failure data'!$D$38:$BA$38</c:f>
              <c:numCache>
                <c:formatCode>General</c:formatCode>
                <c:ptCount val="50"/>
                <c:pt idx="0">
                  <c:v>0</c:v>
                </c:pt>
                <c:pt idx="1">
                  <c:v>0</c:v>
                </c:pt>
                <c:pt idx="2">
                  <c:v>0</c:v>
                </c:pt>
                <c:pt idx="3">
                  <c:v>0</c:v>
                </c:pt>
                <c:pt idx="4">
                  <c:v>0</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numCache>
            </c:numRef>
          </c:val>
          <c:smooth val="0"/>
          <c:extLst>
            <c:ext xmlns:c16="http://schemas.microsoft.com/office/drawing/2014/chart" uri="{C3380CC4-5D6E-409C-BE32-E72D297353CC}">
              <c16:uniqueId val="{00000001-F274-4D5E-AE02-4C393F3C0D1F}"/>
            </c:ext>
          </c:extLst>
        </c:ser>
        <c:dLbls>
          <c:showLegendKey val="0"/>
          <c:showVal val="0"/>
          <c:showCatName val="0"/>
          <c:showSerName val="0"/>
          <c:showPercent val="0"/>
          <c:showBubbleSize val="0"/>
        </c:dLbls>
        <c:marker val="1"/>
        <c:smooth val="0"/>
        <c:axId val="287160536"/>
        <c:axId val="287160928"/>
      </c:lineChart>
      <c:lineChart>
        <c:grouping val="standard"/>
        <c:varyColors val="0"/>
        <c:ser>
          <c:idx val="1"/>
          <c:order val="0"/>
          <c:tx>
            <c:strRef>
              <c:f>'W_Failure data'!$B$6</c:f>
              <c:strCache>
                <c:ptCount val="1"/>
                <c:pt idx="0">
                  <c:v>不具合発生数</c:v>
                </c:pt>
              </c:strCache>
            </c:strRef>
          </c:tx>
          <c:spPr>
            <a:ln w="12700">
              <a:solidFill>
                <a:srgbClr val="FF0000"/>
              </a:solidFill>
              <a:prstDash val="solid"/>
            </a:ln>
          </c:spPr>
          <c:marker>
            <c:symbol val="square"/>
            <c:size val="4"/>
            <c:spPr>
              <a:solidFill>
                <a:srgbClr val="FF0000"/>
              </a:solidFill>
              <a:ln>
                <a:solidFill>
                  <a:srgbClr val="FF0000"/>
                </a:solidFill>
              </a:ln>
            </c:spPr>
          </c:marker>
          <c:cat>
            <c:numRef>
              <c:f>'W_Failure data'!$D$4:$M$4</c:f>
              <c:numCache>
                <c:formatCode>yy/mm/dd</c:formatCode>
                <c:ptCount val="10"/>
                <c:pt idx="0">
                  <c:v>46111</c:v>
                </c:pt>
                <c:pt idx="1">
                  <c:v>46118</c:v>
                </c:pt>
                <c:pt idx="2">
                  <c:v>46125</c:v>
                </c:pt>
                <c:pt idx="3">
                  <c:v>46132</c:v>
                </c:pt>
                <c:pt idx="4">
                  <c:v>46139</c:v>
                </c:pt>
                <c:pt idx="5">
                  <c:v>46146</c:v>
                </c:pt>
                <c:pt idx="6">
                  <c:v>46153</c:v>
                </c:pt>
                <c:pt idx="7">
                  <c:v>46160</c:v>
                </c:pt>
                <c:pt idx="8">
                  <c:v>46167</c:v>
                </c:pt>
                <c:pt idx="9">
                  <c:v>46174</c:v>
                </c:pt>
              </c:numCache>
            </c:numRef>
          </c:cat>
          <c:val>
            <c:numRef>
              <c:f>'W_Failure data'!$D$6:$BA$6</c:f>
              <c:numCache>
                <c:formatCode>General</c:formatCode>
                <c:ptCount val="50"/>
                <c:pt idx="0">
                  <c:v>0</c:v>
                </c:pt>
                <c:pt idx="1">
                  <c:v>0</c:v>
                </c:pt>
                <c:pt idx="2">
                  <c:v>0</c:v>
                </c:pt>
                <c:pt idx="3">
                  <c:v>0</c:v>
                </c:pt>
                <c:pt idx="4">
                  <c:v>0</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numCache>
            </c:numRef>
          </c:val>
          <c:smooth val="0"/>
          <c:extLst>
            <c:ext xmlns:c16="http://schemas.microsoft.com/office/drawing/2014/chart" uri="{C3380CC4-5D6E-409C-BE32-E72D297353CC}">
              <c16:uniqueId val="{00000002-F274-4D5E-AE02-4C393F3C0D1F}"/>
            </c:ext>
          </c:extLst>
        </c:ser>
        <c:ser>
          <c:idx val="4"/>
          <c:order val="1"/>
          <c:tx>
            <c:strRef>
              <c:f>'W_Failure data'!$B$10</c:f>
              <c:strCache>
                <c:ptCount val="1"/>
                <c:pt idx="0">
                  <c:v>不具合修正数</c:v>
                </c:pt>
              </c:strCache>
            </c:strRef>
          </c:tx>
          <c:spPr>
            <a:ln w="12700">
              <a:solidFill>
                <a:srgbClr val="0070C0"/>
              </a:solidFill>
            </a:ln>
          </c:spPr>
          <c:marker>
            <c:symbol val="triangle"/>
            <c:size val="5"/>
            <c:spPr>
              <a:solidFill>
                <a:srgbClr val="0070C0"/>
              </a:solidFill>
              <a:ln>
                <a:solidFill>
                  <a:srgbClr val="0070C0"/>
                </a:solidFill>
              </a:ln>
            </c:spPr>
          </c:marker>
          <c:cat>
            <c:numRef>
              <c:f>'W_Failure data'!$D$4:$M$4</c:f>
              <c:numCache>
                <c:formatCode>yy/mm/dd</c:formatCode>
                <c:ptCount val="10"/>
                <c:pt idx="0">
                  <c:v>46111</c:v>
                </c:pt>
                <c:pt idx="1">
                  <c:v>46118</c:v>
                </c:pt>
                <c:pt idx="2">
                  <c:v>46125</c:v>
                </c:pt>
                <c:pt idx="3">
                  <c:v>46132</c:v>
                </c:pt>
                <c:pt idx="4">
                  <c:v>46139</c:v>
                </c:pt>
                <c:pt idx="5">
                  <c:v>46146</c:v>
                </c:pt>
                <c:pt idx="6">
                  <c:v>46153</c:v>
                </c:pt>
                <c:pt idx="7">
                  <c:v>46160</c:v>
                </c:pt>
                <c:pt idx="8">
                  <c:v>46167</c:v>
                </c:pt>
                <c:pt idx="9">
                  <c:v>46174</c:v>
                </c:pt>
              </c:numCache>
            </c:numRef>
          </c:cat>
          <c:val>
            <c:numRef>
              <c:f>'W_Failure data'!$D$10:$BA$10</c:f>
              <c:numCache>
                <c:formatCode>General</c:formatCode>
                <c:ptCount val="50"/>
                <c:pt idx="0">
                  <c:v>0</c:v>
                </c:pt>
                <c:pt idx="1">
                  <c:v>0</c:v>
                </c:pt>
                <c:pt idx="2">
                  <c:v>0</c:v>
                </c:pt>
                <c:pt idx="3">
                  <c:v>0</c:v>
                </c:pt>
                <c:pt idx="4">
                  <c:v>0</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numCache>
            </c:numRef>
          </c:val>
          <c:smooth val="0"/>
          <c:extLst>
            <c:ext xmlns:c16="http://schemas.microsoft.com/office/drawing/2014/chart" uri="{C3380CC4-5D6E-409C-BE32-E72D297353CC}">
              <c16:uniqueId val="{00000003-F274-4D5E-AE02-4C393F3C0D1F}"/>
            </c:ext>
          </c:extLst>
        </c:ser>
        <c:ser>
          <c:idx val="2"/>
          <c:order val="4"/>
          <c:tx>
            <c:strRef>
              <c:f>'W_Failure data'!$B$12</c:f>
              <c:strCache>
                <c:ptCount val="1"/>
                <c:pt idx="0">
                  <c:v>不具合目標件数(上限）</c:v>
                </c:pt>
              </c:strCache>
            </c:strRef>
          </c:tx>
          <c:spPr>
            <a:ln w="25400">
              <a:solidFill>
                <a:schemeClr val="bg1">
                  <a:lumMod val="50000"/>
                </a:schemeClr>
              </a:solidFill>
              <a:prstDash val="sysDash"/>
            </a:ln>
          </c:spPr>
          <c:marker>
            <c:symbol val="none"/>
          </c:marker>
          <c:val>
            <c:numRef>
              <c:f>'W_Failure data'!$D$12:$BA$12</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smooth val="0"/>
          <c:extLst>
            <c:ext xmlns:c16="http://schemas.microsoft.com/office/drawing/2014/chart" uri="{C3380CC4-5D6E-409C-BE32-E72D297353CC}">
              <c16:uniqueId val="{00000004-F274-4D5E-AE02-4C393F3C0D1F}"/>
            </c:ext>
          </c:extLst>
        </c:ser>
        <c:ser>
          <c:idx val="6"/>
          <c:order val="5"/>
          <c:tx>
            <c:strRef>
              <c:f>'W_Failure data'!$B$13</c:f>
              <c:strCache>
                <c:ptCount val="1"/>
                <c:pt idx="0">
                  <c:v>不具合目標件数(下限）</c:v>
                </c:pt>
              </c:strCache>
            </c:strRef>
          </c:tx>
          <c:spPr>
            <a:ln w="25400">
              <a:solidFill>
                <a:schemeClr val="bg1">
                  <a:lumMod val="50000"/>
                </a:schemeClr>
              </a:solidFill>
              <a:prstDash val="sysDash"/>
            </a:ln>
          </c:spPr>
          <c:marker>
            <c:symbol val="none"/>
          </c:marker>
          <c:val>
            <c:numRef>
              <c:f>'W_Failure data'!$D$13:$BA$13</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smooth val="0"/>
          <c:extLst>
            <c:ext xmlns:c16="http://schemas.microsoft.com/office/drawing/2014/chart" uri="{C3380CC4-5D6E-409C-BE32-E72D297353CC}">
              <c16:uniqueId val="{00000005-F274-4D5E-AE02-4C393F3C0D1F}"/>
            </c:ext>
          </c:extLst>
        </c:ser>
        <c:ser>
          <c:idx val="5"/>
          <c:order val="6"/>
          <c:tx>
            <c:strRef>
              <c:f>'W_Failure data'!$B$7</c:f>
              <c:strCache>
                <c:ptCount val="1"/>
                <c:pt idx="0">
                  <c:v>不具合予測数</c:v>
                </c:pt>
              </c:strCache>
            </c:strRef>
          </c:tx>
          <c:spPr>
            <a:ln w="6350">
              <a:solidFill>
                <a:schemeClr val="accent6">
                  <a:lumMod val="75000"/>
                </a:schemeClr>
              </a:solidFill>
              <a:prstDash val="sysDash"/>
            </a:ln>
          </c:spPr>
          <c:marker>
            <c:symbol val="none"/>
          </c:marker>
          <c:val>
            <c:numRef>
              <c:f>'W_Failure data'!$D$7:$BA$7</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numCache>
            </c:numRef>
          </c:val>
          <c:smooth val="0"/>
          <c:extLst>
            <c:ext xmlns:c16="http://schemas.microsoft.com/office/drawing/2014/chart" uri="{C3380CC4-5D6E-409C-BE32-E72D297353CC}">
              <c16:uniqueId val="{00000006-F274-4D5E-AE02-4C393F3C0D1F}"/>
            </c:ext>
          </c:extLst>
        </c:ser>
        <c:dLbls>
          <c:showLegendKey val="0"/>
          <c:showVal val="0"/>
          <c:showCatName val="0"/>
          <c:showSerName val="0"/>
          <c:showPercent val="0"/>
          <c:showBubbleSize val="0"/>
        </c:dLbls>
        <c:marker val="1"/>
        <c:smooth val="0"/>
        <c:axId val="287161320"/>
        <c:axId val="287162104"/>
      </c:lineChart>
      <c:dateAx>
        <c:axId val="287160536"/>
        <c:scaling>
          <c:orientation val="minMax"/>
        </c:scaling>
        <c:delete val="0"/>
        <c:axPos val="b"/>
        <c:numFmt formatCode="yy/mm/dd" sourceLinked="0"/>
        <c:majorTickMark val="out"/>
        <c:minorTickMark val="none"/>
        <c:tickLblPos val="nextTo"/>
        <c:txPr>
          <a:bodyPr rot="-1920000"/>
          <a:lstStyle/>
          <a:p>
            <a:pPr>
              <a:defRPr sz="800">
                <a:latin typeface="Meiryo UI" pitchFamily="50" charset="-128"/>
                <a:ea typeface="Meiryo UI" pitchFamily="50" charset="-128"/>
                <a:cs typeface="Meiryo UI" pitchFamily="50" charset="-128"/>
              </a:defRPr>
            </a:pPr>
            <a:endParaRPr lang="ja-JP"/>
          </a:p>
        </c:txPr>
        <c:crossAx val="287160928"/>
        <c:crosses val="autoZero"/>
        <c:auto val="1"/>
        <c:lblOffset val="100"/>
        <c:baseTimeUnit val="days"/>
        <c:majorUnit val="7"/>
        <c:majorTimeUnit val="days"/>
      </c:dateAx>
      <c:valAx>
        <c:axId val="287160928"/>
        <c:scaling>
          <c:orientation val="minMax"/>
        </c:scaling>
        <c:delete val="0"/>
        <c:axPos val="l"/>
        <c:majorGridlines>
          <c:spPr>
            <a:ln>
              <a:solidFill>
                <a:schemeClr val="bg1">
                  <a:lumMod val="95000"/>
                </a:schemeClr>
              </a:solidFill>
            </a:ln>
          </c:spPr>
        </c:majorGridlines>
        <c:title>
          <c:tx>
            <c:rich>
              <a:bodyPr/>
              <a:lstStyle/>
              <a:p>
                <a:pPr>
                  <a:defRPr>
                    <a:latin typeface="Meiryo UI" pitchFamily="50" charset="-128"/>
                    <a:ea typeface="Meiryo UI" pitchFamily="50" charset="-128"/>
                    <a:cs typeface="Meiryo UI" pitchFamily="50" charset="-128"/>
                  </a:defRPr>
                </a:pPr>
                <a:r>
                  <a:rPr lang="ja-JP" altLang="en-US">
                    <a:latin typeface="Meiryo UI" pitchFamily="50" charset="-128"/>
                    <a:ea typeface="Meiryo UI" pitchFamily="50" charset="-128"/>
                    <a:cs typeface="Meiryo UI" pitchFamily="50" charset="-128"/>
                  </a:rPr>
                  <a:t>テスト項目数</a:t>
                </a:r>
              </a:p>
            </c:rich>
          </c:tx>
          <c:layout>
            <c:manualLayout>
              <c:xMode val="edge"/>
              <c:yMode val="edge"/>
              <c:x val="2.2710340943901011E-3"/>
              <c:y val="0.19098752169800731"/>
            </c:manualLayout>
          </c:layout>
          <c:overlay val="0"/>
          <c:spPr>
            <a:noFill/>
            <a:ln w="25400">
              <a:noFill/>
            </a:ln>
          </c:spPr>
        </c:title>
        <c:numFmt formatCode="General" sourceLinked="1"/>
        <c:majorTickMark val="out"/>
        <c:minorTickMark val="none"/>
        <c:tickLblPos val="nextTo"/>
        <c:crossAx val="287160536"/>
        <c:crosses val="autoZero"/>
        <c:crossBetween val="between"/>
      </c:valAx>
      <c:dateAx>
        <c:axId val="287161320"/>
        <c:scaling>
          <c:orientation val="minMax"/>
        </c:scaling>
        <c:delete val="1"/>
        <c:axPos val="b"/>
        <c:numFmt formatCode="yy/mm/dd" sourceLinked="1"/>
        <c:majorTickMark val="out"/>
        <c:minorTickMark val="none"/>
        <c:tickLblPos val="nextTo"/>
        <c:crossAx val="287162104"/>
        <c:crosses val="autoZero"/>
        <c:auto val="1"/>
        <c:lblOffset val="100"/>
        <c:baseTimeUnit val="days"/>
      </c:dateAx>
      <c:valAx>
        <c:axId val="287162104"/>
        <c:scaling>
          <c:orientation val="minMax"/>
        </c:scaling>
        <c:delete val="0"/>
        <c:axPos val="r"/>
        <c:title>
          <c:tx>
            <c:rich>
              <a:bodyPr rot="-5400000" vert="horz"/>
              <a:lstStyle/>
              <a:p>
                <a:pPr>
                  <a:defRPr>
                    <a:latin typeface="Meiryo UI" pitchFamily="50" charset="-128"/>
                    <a:ea typeface="Meiryo UI" pitchFamily="50" charset="-128"/>
                    <a:cs typeface="Meiryo UI" pitchFamily="50" charset="-128"/>
                  </a:defRPr>
                </a:pPr>
                <a:r>
                  <a:rPr lang="ja-JP" altLang="en-US">
                    <a:latin typeface="Meiryo UI" pitchFamily="50" charset="-128"/>
                    <a:ea typeface="Meiryo UI" pitchFamily="50" charset="-128"/>
                    <a:cs typeface="Meiryo UI" pitchFamily="50" charset="-128"/>
                  </a:rPr>
                  <a:t>不具合数</a:t>
                </a:r>
              </a:p>
            </c:rich>
          </c:tx>
          <c:layout>
            <c:manualLayout>
              <c:xMode val="edge"/>
              <c:yMode val="edge"/>
              <c:x val="0.72146007289123248"/>
              <c:y val="0.23157007024841331"/>
            </c:manualLayout>
          </c:layout>
          <c:overlay val="0"/>
          <c:spPr>
            <a:noFill/>
            <a:ln w="25400">
              <a:noFill/>
            </a:ln>
          </c:spPr>
        </c:title>
        <c:numFmt formatCode="General" sourceLinked="1"/>
        <c:majorTickMark val="out"/>
        <c:minorTickMark val="none"/>
        <c:tickLblPos val="nextTo"/>
        <c:txPr>
          <a:bodyPr/>
          <a:lstStyle/>
          <a:p>
            <a:pPr>
              <a:defRPr>
                <a:latin typeface="Meiryo UI" pitchFamily="50" charset="-128"/>
                <a:ea typeface="Meiryo UI" pitchFamily="50" charset="-128"/>
                <a:cs typeface="Meiryo UI" pitchFamily="50" charset="-128"/>
              </a:defRPr>
            </a:pPr>
            <a:endParaRPr lang="ja-JP"/>
          </a:p>
        </c:txPr>
        <c:crossAx val="287161320"/>
        <c:crosses val="max"/>
        <c:crossBetween val="between"/>
      </c:valAx>
    </c:plotArea>
    <c:legend>
      <c:legendPos val="r"/>
      <c:layout>
        <c:manualLayout>
          <c:xMode val="edge"/>
          <c:yMode val="edge"/>
          <c:x val="0.75512044738572126"/>
          <c:y val="2.8281472764800166E-2"/>
          <c:w val="0.23858913065970014"/>
          <c:h val="0.58207825345819719"/>
        </c:manualLayout>
      </c:layout>
      <c:overlay val="0"/>
      <c:txPr>
        <a:bodyPr/>
        <a:lstStyle/>
        <a:p>
          <a:pPr>
            <a:defRPr sz="900">
              <a:latin typeface="Meiryo UI" pitchFamily="50" charset="-128"/>
              <a:ea typeface="Meiryo UI" pitchFamily="50" charset="-128"/>
              <a:cs typeface="Meiryo UI" pitchFamily="50" charset="-128"/>
            </a:defRPr>
          </a:pPr>
          <a:endParaRPr lang="ja-JP"/>
        </a:p>
      </c:txPr>
    </c:legend>
    <c:plotVisOnly val="1"/>
    <c:dispBlanksAs val="zero"/>
    <c:showDLblsOverMax val="0"/>
  </c:chart>
  <c:spPr>
    <a:ln>
      <a:solidFill>
        <a:schemeClr val="bg2">
          <a:lumMod val="50000"/>
        </a:schemeClr>
      </a:solidFill>
    </a:ln>
  </c:spPr>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10"/>
    </mc:Choice>
    <mc:Fallback>
      <c:style val="10"/>
    </mc:Fallback>
  </mc:AlternateContent>
  <c:pivotSource>
    <c:name>[IAC_不具合管理表_結合試験.xlsm]W_Chart data!ﾋﾟﾎﾞｯﾄﾃｰﾌﾞﾙ1</c:name>
    <c:fmtId val="2"/>
  </c:pivotSource>
  <c:chart>
    <c:title>
      <c:tx>
        <c:rich>
          <a:bodyPr/>
          <a:lstStyle/>
          <a:p>
            <a:pPr>
              <a:defRPr sz="1000" b="0"/>
            </a:pPr>
            <a:r>
              <a:rPr lang="ja-JP" altLang="en-US" sz="1000" b="0"/>
              <a:t>機能名</a:t>
            </a:r>
          </a:p>
        </c:rich>
      </c:tx>
      <c:layout>
        <c:manualLayout>
          <c:xMode val="edge"/>
          <c:yMode val="edge"/>
          <c:x val="2.0445456297581169E-2"/>
          <c:y val="3.6674445948749149E-2"/>
        </c:manualLayout>
      </c:layout>
      <c:overlay val="1"/>
      <c:spPr>
        <a:ln>
          <a:solidFill>
            <a:schemeClr val="bg1">
              <a:lumMod val="65000"/>
            </a:schemeClr>
          </a:solidFill>
        </a:ln>
      </c:spPr>
    </c:title>
    <c:autoTitleDeleted val="0"/>
    <c:pivotFmts>
      <c:pivotFmt>
        <c:idx val="0"/>
        <c:dLbl>
          <c:idx val="0"/>
          <c:showLegendKey val="0"/>
          <c:showVal val="0"/>
          <c:showCatName val="1"/>
          <c:showSerName val="0"/>
          <c:showPercent val="1"/>
          <c:showBubbleSize val="0"/>
          <c:extLst>
            <c:ext xmlns:c15="http://schemas.microsoft.com/office/drawing/2012/chart" uri="{CE6537A1-D6FC-4f65-9D91-7224C49458BB}"/>
          </c:extLst>
        </c:dLbl>
      </c:pivotFmt>
      <c:pivotFmt>
        <c:idx val="1"/>
        <c:dLbl>
          <c:idx val="0"/>
          <c:showLegendKey val="0"/>
          <c:showVal val="0"/>
          <c:showCatName val="1"/>
          <c:showSerName val="0"/>
          <c:showPercent val="1"/>
          <c:showBubbleSize val="0"/>
          <c:extLst>
            <c:ext xmlns:c15="http://schemas.microsoft.com/office/drawing/2012/chart" uri="{CE6537A1-D6FC-4f65-9D91-7224C49458BB}"/>
          </c:extLst>
        </c:dLbl>
      </c:pivotFmt>
      <c:pivotFmt>
        <c:idx val="2"/>
        <c:marker>
          <c:symbol val="none"/>
        </c:marker>
        <c:dLbl>
          <c:idx val="0"/>
          <c:showLegendKey val="0"/>
          <c:showVal val="0"/>
          <c:showCatName val="1"/>
          <c:showSerName val="0"/>
          <c:showPercent val="1"/>
          <c:showBubbleSize val="0"/>
          <c:extLst>
            <c:ext xmlns:c15="http://schemas.microsoft.com/office/drawing/2012/chart" uri="{CE6537A1-D6FC-4f65-9D91-7224C49458BB}"/>
          </c:extLst>
        </c:dLbl>
      </c:pivotFmt>
      <c:pivotFmt>
        <c:idx val="3"/>
        <c:marker>
          <c:symbol val="none"/>
        </c:marker>
        <c:dLbl>
          <c:idx val="0"/>
          <c:spPr/>
          <c:txPr>
            <a:bodyPr/>
            <a:lstStyle/>
            <a:p>
              <a:pPr>
                <a:defRPr sz="900"/>
              </a:pPr>
              <a:endParaRPr lang="ja-JP"/>
            </a:p>
          </c:txPr>
          <c:showLegendKey val="0"/>
          <c:showVal val="0"/>
          <c:showCatName val="1"/>
          <c:showSerName val="0"/>
          <c:showPercent val="1"/>
          <c:showBubbleSize val="0"/>
          <c:extLst>
            <c:ext xmlns:c15="http://schemas.microsoft.com/office/drawing/2012/chart" uri="{CE6537A1-D6FC-4f65-9D91-7224C49458BB}"/>
          </c:extLst>
        </c:dLbl>
      </c:pivotFmt>
      <c:pivotFmt>
        <c:idx val="4"/>
        <c:marker>
          <c:symbol val="none"/>
        </c:marker>
        <c:dLbl>
          <c:idx val="0"/>
          <c:spPr/>
          <c:txPr>
            <a:bodyPr/>
            <a:lstStyle/>
            <a:p>
              <a:pPr>
                <a:defRPr/>
              </a:pPr>
              <a:endParaRPr lang="ja-JP"/>
            </a:p>
          </c:txPr>
          <c:showLegendKey val="0"/>
          <c:showVal val="0"/>
          <c:showCatName val="1"/>
          <c:showSerName val="0"/>
          <c:showPercent val="1"/>
          <c:showBubbleSize val="0"/>
          <c:extLst>
            <c:ext xmlns:c15="http://schemas.microsoft.com/office/drawing/2012/chart" uri="{CE6537A1-D6FC-4f65-9D91-7224C49458BB}"/>
          </c:extLst>
        </c:dLbl>
      </c:pivotFmt>
      <c:pivotFmt>
        <c:idx val="5"/>
        <c:marker>
          <c:symbol val="none"/>
        </c:marker>
        <c:dLbl>
          <c:idx val="0"/>
          <c:spPr/>
          <c:txPr>
            <a:bodyPr/>
            <a:lstStyle/>
            <a:p>
              <a:pPr>
                <a:defRPr/>
              </a:pPr>
              <a:endParaRPr lang="ja-JP"/>
            </a:p>
          </c:txPr>
          <c:showLegendKey val="0"/>
          <c:showVal val="0"/>
          <c:showCatName val="1"/>
          <c:showSerName val="0"/>
          <c:showPercent val="1"/>
          <c:showBubbleSize val="0"/>
          <c:extLst>
            <c:ext xmlns:c15="http://schemas.microsoft.com/office/drawing/2012/chart" uri="{CE6537A1-D6FC-4f65-9D91-7224C49458BB}"/>
          </c:extLst>
        </c:dLbl>
      </c:pivotFmt>
      <c:pivotFmt>
        <c:idx val="6"/>
        <c:marker>
          <c:symbol val="none"/>
        </c:marker>
        <c:dLbl>
          <c:idx val="0"/>
          <c:spPr/>
          <c:txPr>
            <a:bodyPr/>
            <a:lstStyle/>
            <a:p>
              <a:pPr>
                <a:defRPr/>
              </a:pPr>
              <a:endParaRPr lang="ja-JP"/>
            </a:p>
          </c:txPr>
          <c:showLegendKey val="0"/>
          <c:showVal val="0"/>
          <c:showCatName val="1"/>
          <c:showSerName val="0"/>
          <c:showPercent val="1"/>
          <c:showBubbleSize val="0"/>
          <c:extLst>
            <c:ext xmlns:c15="http://schemas.microsoft.com/office/drawing/2012/chart" uri="{CE6537A1-D6FC-4f65-9D91-7224C49458BB}"/>
          </c:extLst>
        </c:dLbl>
      </c:pivotFmt>
      <c:pivotFmt>
        <c:idx val="7"/>
        <c:marker>
          <c:symbol val="none"/>
        </c:marker>
        <c:dLbl>
          <c:idx val="0"/>
          <c:spPr/>
          <c:txPr>
            <a:bodyPr/>
            <a:lstStyle/>
            <a:p>
              <a:pPr>
                <a:defRPr/>
              </a:pPr>
              <a:endParaRPr lang="ja-JP"/>
            </a:p>
          </c:txPr>
          <c:showLegendKey val="0"/>
          <c:showVal val="0"/>
          <c:showCatName val="1"/>
          <c:showSerName val="0"/>
          <c:showPercent val="1"/>
          <c:showBubbleSize val="0"/>
          <c:extLst>
            <c:ext xmlns:c15="http://schemas.microsoft.com/office/drawing/2012/chart" uri="{CE6537A1-D6FC-4f65-9D91-7224C49458BB}"/>
          </c:extLst>
        </c:dLbl>
      </c:pivotFmt>
      <c:pivotFmt>
        <c:idx val="8"/>
        <c:marker>
          <c:symbol val="none"/>
        </c:marker>
        <c:dLbl>
          <c:idx val="0"/>
          <c:spPr/>
          <c:txPr>
            <a:bodyPr/>
            <a:lstStyle/>
            <a:p>
              <a:pPr>
                <a:defRPr/>
              </a:pPr>
              <a:endParaRPr lang="ja-JP"/>
            </a:p>
          </c:txPr>
          <c:showLegendKey val="0"/>
          <c:showVal val="0"/>
          <c:showCatName val="1"/>
          <c:showSerName val="0"/>
          <c:showPercent val="1"/>
          <c:showBubbleSize val="0"/>
          <c:extLst>
            <c:ext xmlns:c15="http://schemas.microsoft.com/office/drawing/2012/chart" uri="{CE6537A1-D6FC-4f65-9D91-7224C49458BB}"/>
          </c:extLst>
        </c:dLbl>
      </c:pivotFmt>
      <c:pivotFmt>
        <c:idx val="9"/>
        <c:marker>
          <c:symbol val="none"/>
        </c:marker>
        <c:dLbl>
          <c:idx val="0"/>
          <c:spPr/>
          <c:txPr>
            <a:bodyPr/>
            <a:lstStyle/>
            <a:p>
              <a:pPr>
                <a:defRPr/>
              </a:pPr>
              <a:endParaRPr lang="ja-JP"/>
            </a:p>
          </c:txPr>
          <c:showLegendKey val="0"/>
          <c:showVal val="0"/>
          <c:showCatName val="1"/>
          <c:showSerName val="0"/>
          <c:showPercent val="1"/>
          <c:showBubbleSize val="0"/>
          <c:separator>
</c:separator>
          <c:extLst>
            <c:ext xmlns:c15="http://schemas.microsoft.com/office/drawing/2012/chart" uri="{CE6537A1-D6FC-4f65-9D91-7224C49458BB}"/>
          </c:extLst>
        </c:dLbl>
      </c:pivotFmt>
    </c:pivotFmts>
    <c:plotArea>
      <c:layout/>
      <c:pieChart>
        <c:varyColors val="1"/>
        <c:ser>
          <c:idx val="0"/>
          <c:order val="0"/>
          <c:tx>
            <c:strRef>
              <c:f>'W_Chart data'!$B$6</c:f>
              <c:strCache>
                <c:ptCount val="1"/>
                <c:pt idx="0">
                  <c:v>集計</c:v>
                </c:pt>
              </c:strCache>
            </c:strRef>
          </c:tx>
          <c:dLbls>
            <c:spPr/>
            <c:txPr>
              <a:bodyPr/>
              <a:lstStyle/>
              <a:p>
                <a:pPr>
                  <a:defRPr/>
                </a:pPr>
                <a:endParaRPr lang="ja-JP"/>
              </a:p>
            </c:txPr>
            <c:showLegendKey val="0"/>
            <c:showVal val="0"/>
            <c:showCatName val="1"/>
            <c:showSerName val="0"/>
            <c:showPercent val="1"/>
            <c:showBubbleSize val="0"/>
            <c:separator>
</c:separator>
            <c:showLeaderLines val="1"/>
            <c:extLst>
              <c:ext xmlns:c15="http://schemas.microsoft.com/office/drawing/2012/chart" uri="{CE6537A1-D6FC-4f65-9D91-7224C49458BB}"/>
            </c:extLst>
          </c:dLbls>
          <c:cat>
            <c:strRef>
              <c:f>'W_Chart data'!$A$7</c:f>
              <c:strCache>
                <c:ptCount val="1"/>
                <c:pt idx="0">
                  <c:v>総計</c:v>
                </c:pt>
              </c:strCache>
            </c:strRef>
          </c:cat>
          <c:val>
            <c:numRef>
              <c:f>'W_Chart data'!$B$7</c:f>
              <c:numCache>
                <c:formatCode>General</c:formatCode>
                <c:ptCount val="1"/>
              </c:numCache>
            </c:numRef>
          </c:val>
          <c:extLst>
            <c:ext xmlns:c16="http://schemas.microsoft.com/office/drawing/2014/chart" uri="{C3380CC4-5D6E-409C-BE32-E72D297353CC}">
              <c16:uniqueId val="{00000000-6B10-4DD3-8546-CDAECB5A6F87}"/>
            </c:ext>
          </c:extLst>
        </c:ser>
        <c:dLbls>
          <c:showLegendKey val="0"/>
          <c:showVal val="0"/>
          <c:showCatName val="1"/>
          <c:showSerName val="0"/>
          <c:showPercent val="1"/>
          <c:showBubbleSize val="0"/>
          <c:showLeaderLines val="1"/>
        </c:dLbls>
        <c:firstSliceAng val="0"/>
      </c:pieChart>
    </c:plotArea>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10"/>
    </mc:Choice>
    <mc:Fallback>
      <c:style val="10"/>
    </mc:Fallback>
  </mc:AlternateContent>
  <c:pivotSource>
    <c:name>[IAC_不具合管理表_結合試験.xlsm]W_Chart data!ﾋﾟﾎﾞｯﾄﾃｰﾌﾞﾙ2</c:name>
    <c:fmtId val="2"/>
  </c:pivotSource>
  <c:chart>
    <c:title>
      <c:tx>
        <c:rich>
          <a:bodyPr/>
          <a:lstStyle/>
          <a:p>
            <a:pPr>
              <a:defRPr/>
            </a:pPr>
            <a:r>
              <a:rPr lang="ja-JP" altLang="en-US" sz="1000" b="0"/>
              <a:t>画面</a:t>
            </a:r>
          </a:p>
        </c:rich>
      </c:tx>
      <c:layout>
        <c:manualLayout>
          <c:xMode val="edge"/>
          <c:yMode val="edge"/>
          <c:x val="2.7218579078491411E-2"/>
          <c:y val="3.6844451622074566E-2"/>
        </c:manualLayout>
      </c:layout>
      <c:overlay val="1"/>
      <c:spPr>
        <a:ln>
          <a:solidFill>
            <a:schemeClr val="bg1">
              <a:lumMod val="65000"/>
            </a:schemeClr>
          </a:solidFill>
        </a:ln>
      </c:spPr>
    </c:title>
    <c:autoTitleDeleted val="0"/>
    <c:pivotFmts>
      <c:pivotFmt>
        <c:idx val="0"/>
        <c:dLbl>
          <c:idx val="0"/>
          <c:showLegendKey val="0"/>
          <c:showVal val="0"/>
          <c:showCatName val="1"/>
          <c:showSerName val="0"/>
          <c:showPercent val="1"/>
          <c:showBubbleSize val="0"/>
          <c:extLst>
            <c:ext xmlns:c15="http://schemas.microsoft.com/office/drawing/2012/chart" uri="{CE6537A1-D6FC-4f65-9D91-7224C49458BB}"/>
          </c:extLst>
        </c:dLbl>
      </c:pivotFmt>
      <c:pivotFmt>
        <c:idx val="1"/>
        <c:dLbl>
          <c:idx val="0"/>
          <c:showLegendKey val="0"/>
          <c:showVal val="0"/>
          <c:showCatName val="1"/>
          <c:showSerName val="0"/>
          <c:showPercent val="1"/>
          <c:showBubbleSize val="0"/>
          <c:extLst>
            <c:ext xmlns:c15="http://schemas.microsoft.com/office/drawing/2012/chart" uri="{CE6537A1-D6FC-4f65-9D91-7224C49458BB}"/>
          </c:extLst>
        </c:dLbl>
      </c:pivotFmt>
      <c:pivotFmt>
        <c:idx val="2"/>
        <c:marker>
          <c:symbol val="none"/>
        </c:marker>
        <c:dLbl>
          <c:idx val="0"/>
          <c:showLegendKey val="0"/>
          <c:showVal val="0"/>
          <c:showCatName val="1"/>
          <c:showSerName val="0"/>
          <c:showPercent val="1"/>
          <c:showBubbleSize val="0"/>
          <c:extLst>
            <c:ext xmlns:c15="http://schemas.microsoft.com/office/drawing/2012/chart" uri="{CE6537A1-D6FC-4f65-9D91-7224C49458BB}"/>
          </c:extLst>
        </c:dLbl>
      </c:pivotFmt>
      <c:pivotFmt>
        <c:idx val="3"/>
        <c:dLbl>
          <c:idx val="0"/>
          <c:layout>
            <c:manualLayout>
              <c:x val="0.10451812329419638"/>
              <c:y val="1.3635250953036044E-2"/>
            </c:manualLayout>
          </c:layout>
          <c:showLegendKey val="0"/>
          <c:showVal val="0"/>
          <c:showCatName val="1"/>
          <c:showSerName val="0"/>
          <c:showPercent val="1"/>
          <c:showBubbleSize val="0"/>
          <c:extLst>
            <c:ext xmlns:c15="http://schemas.microsoft.com/office/drawing/2012/chart" uri="{CE6537A1-D6FC-4f65-9D91-7224C49458BB}"/>
          </c:extLst>
        </c:dLbl>
      </c:pivotFmt>
      <c:pivotFmt>
        <c:idx val="4"/>
        <c:marker>
          <c:symbol val="none"/>
        </c:marker>
        <c:dLbl>
          <c:idx val="0"/>
          <c:spPr/>
          <c:txPr>
            <a:bodyPr/>
            <a:lstStyle/>
            <a:p>
              <a:pPr>
                <a:defRPr sz="900"/>
              </a:pPr>
              <a:endParaRPr lang="ja-JP"/>
            </a:p>
          </c:txPr>
          <c:showLegendKey val="0"/>
          <c:showVal val="0"/>
          <c:showCatName val="1"/>
          <c:showSerName val="0"/>
          <c:showPercent val="1"/>
          <c:showBubbleSize val="0"/>
          <c:extLst>
            <c:ext xmlns:c15="http://schemas.microsoft.com/office/drawing/2012/chart" uri="{CE6537A1-D6FC-4f65-9D91-7224C49458BB}"/>
          </c:extLst>
        </c:dLbl>
      </c:pivotFmt>
      <c:pivotFmt>
        <c:idx val="5"/>
        <c:marker>
          <c:symbol val="none"/>
        </c:marker>
        <c:dLbl>
          <c:idx val="0"/>
          <c:spPr/>
          <c:txPr>
            <a:bodyPr/>
            <a:lstStyle/>
            <a:p>
              <a:pPr>
                <a:defRPr/>
              </a:pPr>
              <a:endParaRPr lang="ja-JP"/>
            </a:p>
          </c:txPr>
          <c:showLegendKey val="0"/>
          <c:showVal val="0"/>
          <c:showCatName val="1"/>
          <c:showSerName val="0"/>
          <c:showPercent val="1"/>
          <c:showBubbleSize val="0"/>
          <c:separator>
</c:separator>
          <c:extLst>
            <c:ext xmlns:c15="http://schemas.microsoft.com/office/drawing/2012/chart" uri="{CE6537A1-D6FC-4f65-9D91-7224C49458BB}"/>
          </c:extLst>
        </c:dLbl>
      </c:pivotFmt>
      <c:pivotFmt>
        <c:idx val="6"/>
        <c:dLbl>
          <c:idx val="0"/>
          <c:layout>
            <c:manualLayout>
              <c:x val="0.16210395260124144"/>
              <c:y val="0"/>
            </c:manualLayout>
          </c:layout>
          <c:spPr/>
          <c:txPr>
            <a:bodyPr/>
            <a:lstStyle/>
            <a:p>
              <a:pPr>
                <a:defRPr/>
              </a:pPr>
              <a:endParaRPr lang="ja-JP"/>
            </a:p>
          </c:txPr>
          <c:showLegendKey val="0"/>
          <c:showVal val="0"/>
          <c:showCatName val="1"/>
          <c:showSerName val="0"/>
          <c:showPercent val="1"/>
          <c:showBubbleSize val="0"/>
          <c:extLst>
            <c:ext xmlns:c15="http://schemas.microsoft.com/office/drawing/2012/chart" uri="{CE6537A1-D6FC-4f65-9D91-7224C49458BB}">
              <c15:layout>
                <c:manualLayout>
                  <c:w val="0.23230719338099681"/>
                  <c:h val="0.17943240178491951"/>
                </c:manualLayout>
              </c15:layout>
            </c:ext>
          </c:extLst>
        </c:dLbl>
      </c:pivotFmt>
      <c:pivotFmt>
        <c:idx val="7"/>
        <c:dLbl>
          <c:idx val="0"/>
          <c:layout>
            <c:manualLayout>
              <c:x val="0.11593639499452495"/>
              <c:y val="-0.11094888674739828"/>
            </c:manualLayout>
          </c:layout>
          <c:spPr/>
          <c:txPr>
            <a:bodyPr/>
            <a:lstStyle/>
            <a:p>
              <a:pPr>
                <a:defRPr/>
              </a:pPr>
              <a:endParaRPr lang="ja-JP"/>
            </a:p>
          </c:txPr>
          <c:showLegendKey val="0"/>
          <c:showVal val="0"/>
          <c:showCatName val="1"/>
          <c:showSerName val="0"/>
          <c:showPercent val="1"/>
          <c:showBubbleSize val="0"/>
          <c:extLst>
            <c:ext xmlns:c15="http://schemas.microsoft.com/office/drawing/2012/chart" uri="{CE6537A1-D6FC-4f65-9D91-7224C49458BB}"/>
          </c:extLst>
        </c:dLbl>
      </c:pivotFmt>
      <c:pivotFmt>
        <c:idx val="8"/>
        <c:dLbl>
          <c:idx val="0"/>
          <c:layout>
            <c:manualLayout>
              <c:x val="0.13585215987192797"/>
              <c:y val="-0.21503597317202491"/>
            </c:manualLayout>
          </c:layout>
          <c:spPr/>
          <c:txPr>
            <a:bodyPr/>
            <a:lstStyle/>
            <a:p>
              <a:pPr>
                <a:defRPr/>
              </a:pPr>
              <a:endParaRPr lang="ja-JP"/>
            </a:p>
          </c:txPr>
          <c:showLegendKey val="0"/>
          <c:showVal val="0"/>
          <c:showCatName val="1"/>
          <c:showSerName val="0"/>
          <c:showPercent val="1"/>
          <c:showBubbleSize val="0"/>
          <c:extLst>
            <c:ext xmlns:c15="http://schemas.microsoft.com/office/drawing/2012/chart" uri="{CE6537A1-D6FC-4f65-9D91-7224C49458BB}">
              <c15:layout>
                <c:manualLayout>
                  <c:w val="0.19715130517999302"/>
                  <c:h val="0.22885971430451224"/>
                </c:manualLayout>
              </c15:layout>
            </c:ext>
          </c:extLst>
        </c:dLbl>
      </c:pivotFmt>
      <c:pivotFmt>
        <c:idx val="9"/>
        <c:dLbl>
          <c:idx val="0"/>
          <c:layout>
            <c:manualLayout>
              <c:x val="0.34736225825059885"/>
              <c:y val="-2.4575539791089895E-4"/>
            </c:manualLayout>
          </c:layout>
          <c:spPr/>
          <c:txPr>
            <a:bodyPr/>
            <a:lstStyle/>
            <a:p>
              <a:pPr>
                <a:defRPr/>
              </a:pPr>
              <a:endParaRPr lang="ja-JP"/>
            </a:p>
          </c:txPr>
          <c:showLegendKey val="0"/>
          <c:showVal val="0"/>
          <c:showCatName val="1"/>
          <c:showSerName val="0"/>
          <c:showPercent val="1"/>
          <c:showBubbleSize val="0"/>
          <c:extLst>
            <c:ext xmlns:c15="http://schemas.microsoft.com/office/drawing/2012/chart" uri="{CE6537A1-D6FC-4f65-9D91-7224C49458BB}">
              <c15:layout>
                <c:manualLayout>
                  <c:w val="0.24563098462420713"/>
                  <c:h val="0.25338494196689459"/>
                </c:manualLayout>
              </c15:layout>
            </c:ext>
          </c:extLst>
        </c:dLbl>
      </c:pivotFmt>
      <c:pivotFmt>
        <c:idx val="10"/>
      </c:pivotFmt>
      <c:pivotFmt>
        <c:idx val="11"/>
        <c:dLbl>
          <c:idx val="0"/>
          <c:layout>
            <c:manualLayout>
              <c:x val="-9.7895609081822557E-2"/>
              <c:y val="0.32284857597324945"/>
            </c:manualLayout>
          </c:layout>
          <c:spPr/>
          <c:txPr>
            <a:bodyPr/>
            <a:lstStyle/>
            <a:p>
              <a:pPr>
                <a:defRPr/>
              </a:pPr>
              <a:endParaRPr lang="ja-JP"/>
            </a:p>
          </c:txPr>
          <c:showLegendKey val="0"/>
          <c:showVal val="0"/>
          <c:showCatName val="1"/>
          <c:showSerName val="0"/>
          <c:showPercent val="1"/>
          <c:showBubbleSize val="0"/>
          <c:extLst>
            <c:ext xmlns:c15="http://schemas.microsoft.com/office/drawing/2012/chart" uri="{CE6537A1-D6FC-4f65-9D91-7224C49458BB}"/>
          </c:extLst>
        </c:dLbl>
      </c:pivotFmt>
      <c:pivotFmt>
        <c:idx val="12"/>
        <c:dLbl>
          <c:idx val="0"/>
          <c:layout>
            <c:manualLayout>
              <c:x val="-7.8838606225196284E-2"/>
              <c:y val="8.6474454984190374E-2"/>
            </c:manualLayout>
          </c:layout>
          <c:spPr/>
          <c:txPr>
            <a:bodyPr/>
            <a:lstStyle/>
            <a:p>
              <a:pPr>
                <a:defRPr/>
              </a:pPr>
              <a:endParaRPr lang="ja-JP"/>
            </a:p>
          </c:txPr>
          <c:showLegendKey val="0"/>
          <c:showVal val="0"/>
          <c:showCatName val="1"/>
          <c:showSerName val="0"/>
          <c:showPercent val="1"/>
          <c:showBubbleSize val="0"/>
          <c:extLst>
            <c:ext xmlns:c15="http://schemas.microsoft.com/office/drawing/2012/chart" uri="{CE6537A1-D6FC-4f65-9D91-7224C49458BB}"/>
          </c:extLst>
        </c:dLbl>
      </c:pivotFmt>
      <c:pivotFmt>
        <c:idx val="13"/>
      </c:pivotFmt>
      <c:pivotFmt>
        <c:idx val="14"/>
      </c:pivotFmt>
      <c:pivotFmt>
        <c:idx val="15"/>
      </c:pivotFmt>
      <c:pivotFmt>
        <c:idx val="16"/>
      </c:pivotFmt>
      <c:pivotFmt>
        <c:idx val="17"/>
      </c:pivotFmt>
      <c:pivotFmt>
        <c:idx val="18"/>
        <c:dLbl>
          <c:idx val="0"/>
          <c:layout>
            <c:manualLayout>
              <c:x val="-3.2613018013781109E-2"/>
              <c:y val="8.3713866443937482E-3"/>
            </c:manualLayout>
          </c:layout>
          <c:spPr/>
          <c:txPr>
            <a:bodyPr/>
            <a:lstStyle/>
            <a:p>
              <a:pPr>
                <a:defRPr/>
              </a:pPr>
              <a:endParaRPr lang="ja-JP"/>
            </a:p>
          </c:txPr>
          <c:showLegendKey val="0"/>
          <c:showVal val="0"/>
          <c:showCatName val="1"/>
          <c:showSerName val="0"/>
          <c:showPercent val="1"/>
          <c:showBubbleSize val="0"/>
          <c:separator>
</c:separator>
          <c:extLst>
            <c:ext xmlns:c15="http://schemas.microsoft.com/office/drawing/2012/chart" uri="{CE6537A1-D6FC-4f65-9D91-7224C49458BB}"/>
          </c:extLst>
        </c:dLbl>
      </c:pivotFmt>
    </c:pivotFmts>
    <c:plotArea>
      <c:layout/>
      <c:pieChart>
        <c:varyColors val="1"/>
        <c:ser>
          <c:idx val="0"/>
          <c:order val="0"/>
          <c:tx>
            <c:strRef>
              <c:f>'W_Chart data'!$F$6</c:f>
              <c:strCache>
                <c:ptCount val="1"/>
                <c:pt idx="0">
                  <c:v>集計</c:v>
                </c:pt>
              </c:strCache>
            </c:strRef>
          </c:tx>
          <c:dLbls>
            <c:spPr/>
            <c:txPr>
              <a:bodyPr/>
              <a:lstStyle/>
              <a:p>
                <a:pPr>
                  <a:defRPr/>
                </a:pPr>
                <a:endParaRPr lang="ja-JP"/>
              </a:p>
            </c:txPr>
            <c:showLegendKey val="0"/>
            <c:showVal val="0"/>
            <c:showCatName val="1"/>
            <c:showSerName val="0"/>
            <c:showPercent val="1"/>
            <c:showBubbleSize val="0"/>
            <c:separator>
</c:separator>
            <c:showLeaderLines val="1"/>
            <c:extLst>
              <c:ext xmlns:c15="http://schemas.microsoft.com/office/drawing/2012/chart" uri="{CE6537A1-D6FC-4f65-9D91-7224C49458BB}"/>
            </c:extLst>
          </c:dLbls>
          <c:cat>
            <c:strRef>
              <c:f>'W_Chart data'!$E$7</c:f>
              <c:strCache>
                <c:ptCount val="1"/>
                <c:pt idx="0">
                  <c:v>総計</c:v>
                </c:pt>
              </c:strCache>
            </c:strRef>
          </c:cat>
          <c:val>
            <c:numRef>
              <c:f>'W_Chart data'!$F$7</c:f>
              <c:numCache>
                <c:formatCode>General</c:formatCode>
                <c:ptCount val="1"/>
              </c:numCache>
            </c:numRef>
          </c:val>
          <c:extLst>
            <c:ext xmlns:c16="http://schemas.microsoft.com/office/drawing/2014/chart" uri="{C3380CC4-5D6E-409C-BE32-E72D297353CC}">
              <c16:uniqueId val="{00000005-2B2A-4626-B9D0-C0EF328B7819}"/>
            </c:ext>
          </c:extLst>
        </c:ser>
        <c:dLbls>
          <c:showLegendKey val="0"/>
          <c:showVal val="0"/>
          <c:showCatName val="1"/>
          <c:showSerName val="0"/>
          <c:showPercent val="1"/>
          <c:showBubbleSize val="0"/>
          <c:showLeaderLines val="1"/>
        </c:dLbls>
        <c:firstSliceAng val="0"/>
      </c:pieChart>
    </c:plotArea>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10"/>
    </mc:Choice>
    <mc:Fallback>
      <c:style val="10"/>
    </mc:Fallback>
  </mc:AlternateContent>
  <c:pivotSource>
    <c:name>[IAC_不具合管理表_結合試験.xlsm]W_Chart data!ﾋﾟﾎﾞｯﾄﾃｰﾌﾞﾙ3</c:name>
    <c:fmtId val="2"/>
  </c:pivotSource>
  <c:chart>
    <c:title>
      <c:tx>
        <c:rich>
          <a:bodyPr/>
          <a:lstStyle/>
          <a:p>
            <a:pPr>
              <a:defRPr/>
            </a:pPr>
            <a:r>
              <a:rPr lang="ja-JP" altLang="en-US" sz="1000" b="0"/>
              <a:t>不具合分類</a:t>
            </a:r>
          </a:p>
        </c:rich>
      </c:tx>
      <c:layout>
        <c:manualLayout>
          <c:xMode val="edge"/>
          <c:yMode val="edge"/>
          <c:x val="1.6575118049532593E-2"/>
          <c:y val="3.0547806354809644E-2"/>
        </c:manualLayout>
      </c:layout>
      <c:overlay val="1"/>
      <c:spPr>
        <a:ln>
          <a:solidFill>
            <a:schemeClr val="bg1">
              <a:lumMod val="65000"/>
            </a:schemeClr>
          </a:solidFill>
        </a:ln>
      </c:spPr>
    </c:title>
    <c:autoTitleDeleted val="0"/>
    <c:pivotFmts>
      <c:pivotFmt>
        <c:idx val="0"/>
        <c:dLbl>
          <c:idx val="0"/>
          <c:showLegendKey val="0"/>
          <c:showVal val="0"/>
          <c:showCatName val="1"/>
          <c:showSerName val="0"/>
          <c:showPercent val="1"/>
          <c:showBubbleSize val="0"/>
          <c:extLst>
            <c:ext xmlns:c15="http://schemas.microsoft.com/office/drawing/2012/chart" uri="{CE6537A1-D6FC-4f65-9D91-7224C49458BB}"/>
          </c:extLst>
        </c:dLbl>
      </c:pivotFmt>
      <c:pivotFmt>
        <c:idx val="1"/>
        <c:dLbl>
          <c:idx val="0"/>
          <c:showLegendKey val="0"/>
          <c:showVal val="0"/>
          <c:showCatName val="1"/>
          <c:showSerName val="0"/>
          <c:showPercent val="1"/>
          <c:showBubbleSize val="0"/>
          <c:extLst>
            <c:ext xmlns:c15="http://schemas.microsoft.com/office/drawing/2012/chart" uri="{CE6537A1-D6FC-4f65-9D91-7224C49458BB}"/>
          </c:extLst>
        </c:dLbl>
      </c:pivotFmt>
      <c:pivotFmt>
        <c:idx val="2"/>
        <c:marker>
          <c:symbol val="none"/>
        </c:marker>
        <c:dLbl>
          <c:idx val="0"/>
          <c:showLegendKey val="0"/>
          <c:showVal val="0"/>
          <c:showCatName val="1"/>
          <c:showSerName val="0"/>
          <c:showPercent val="1"/>
          <c:showBubbleSize val="0"/>
          <c:extLst>
            <c:ext xmlns:c15="http://schemas.microsoft.com/office/drawing/2012/chart" uri="{CE6537A1-D6FC-4f65-9D91-7224C49458BB}"/>
          </c:extLst>
        </c:dLbl>
      </c:pivotFmt>
      <c:pivotFmt>
        <c:idx val="3"/>
        <c:marker>
          <c:symbol val="none"/>
        </c:marker>
        <c:dLbl>
          <c:idx val="0"/>
          <c:spPr/>
          <c:txPr>
            <a:bodyPr/>
            <a:lstStyle/>
            <a:p>
              <a:pPr>
                <a:defRPr/>
              </a:pPr>
              <a:endParaRPr lang="ja-JP"/>
            </a:p>
          </c:txPr>
          <c:showLegendKey val="0"/>
          <c:showVal val="0"/>
          <c:showCatName val="1"/>
          <c:showSerName val="0"/>
          <c:showPercent val="1"/>
          <c:showBubbleSize val="0"/>
          <c:extLst>
            <c:ext xmlns:c15="http://schemas.microsoft.com/office/drawing/2012/chart" uri="{CE6537A1-D6FC-4f65-9D91-7224C49458BB}"/>
          </c:extLst>
        </c:dLbl>
      </c:pivotFmt>
      <c:pivotFmt>
        <c:idx val="4"/>
        <c:marker>
          <c:symbol val="none"/>
        </c:marker>
        <c:dLbl>
          <c:idx val="0"/>
          <c:spPr/>
          <c:txPr>
            <a:bodyPr/>
            <a:lstStyle/>
            <a:p>
              <a:pPr>
                <a:defRPr sz="900"/>
              </a:pPr>
              <a:endParaRPr lang="ja-JP"/>
            </a:p>
          </c:txPr>
          <c:showLegendKey val="0"/>
          <c:showVal val="0"/>
          <c:showCatName val="1"/>
          <c:showSerName val="0"/>
          <c:showPercent val="1"/>
          <c:showBubbleSize val="0"/>
          <c:extLst>
            <c:ext xmlns:c15="http://schemas.microsoft.com/office/drawing/2012/chart" uri="{CE6537A1-D6FC-4f65-9D91-7224C49458BB}"/>
          </c:extLst>
        </c:dLbl>
      </c:pivotFmt>
      <c:pivotFmt>
        <c:idx val="5"/>
        <c:marker>
          <c:symbol val="none"/>
        </c:marker>
        <c:dLbl>
          <c:idx val="0"/>
          <c:spPr/>
          <c:txPr>
            <a:bodyPr/>
            <a:lstStyle/>
            <a:p>
              <a:pPr>
                <a:defRPr/>
              </a:pPr>
              <a:endParaRPr lang="ja-JP"/>
            </a:p>
          </c:txPr>
          <c:showLegendKey val="0"/>
          <c:showVal val="0"/>
          <c:showCatName val="1"/>
          <c:showSerName val="0"/>
          <c:showPercent val="1"/>
          <c:showBubbleSize val="0"/>
          <c:separator>
</c:separator>
          <c:extLst>
            <c:ext xmlns:c15="http://schemas.microsoft.com/office/drawing/2012/chart" uri="{CE6537A1-D6FC-4f65-9D91-7224C49458BB}"/>
          </c:extLst>
        </c:dLbl>
      </c:pivotFmt>
      <c:pivotFmt>
        <c:idx val="6"/>
        <c:marker>
          <c:symbol val="none"/>
        </c:marker>
        <c:dLbl>
          <c:idx val="0"/>
          <c:spPr/>
          <c:txPr>
            <a:bodyPr/>
            <a:lstStyle/>
            <a:p>
              <a:pPr>
                <a:defRPr/>
              </a:pPr>
              <a:endParaRPr lang="ja-JP"/>
            </a:p>
          </c:txPr>
          <c:showLegendKey val="0"/>
          <c:showVal val="0"/>
          <c:showCatName val="1"/>
          <c:showSerName val="0"/>
          <c:showPercent val="1"/>
          <c:showBubbleSize val="0"/>
          <c:separator>
</c:separator>
          <c:extLst>
            <c:ext xmlns:c15="http://schemas.microsoft.com/office/drawing/2012/chart" uri="{CE6537A1-D6FC-4f65-9D91-7224C49458BB}"/>
          </c:extLst>
        </c:dLbl>
      </c:pivotFmt>
      <c:pivotFmt>
        <c:idx val="7"/>
        <c:marker>
          <c:symbol val="none"/>
        </c:marker>
        <c:dLbl>
          <c:idx val="0"/>
          <c:spPr/>
          <c:txPr>
            <a:bodyPr/>
            <a:lstStyle/>
            <a:p>
              <a:pPr>
                <a:defRPr/>
              </a:pPr>
              <a:endParaRPr lang="ja-JP"/>
            </a:p>
          </c:txPr>
          <c:showLegendKey val="0"/>
          <c:showVal val="0"/>
          <c:showCatName val="1"/>
          <c:showSerName val="0"/>
          <c:showPercent val="1"/>
          <c:showBubbleSize val="0"/>
          <c:separator>
</c:separator>
          <c:extLst>
            <c:ext xmlns:c15="http://schemas.microsoft.com/office/drawing/2012/chart" uri="{CE6537A1-D6FC-4f65-9D91-7224C49458BB}"/>
          </c:extLst>
        </c:dLbl>
      </c:pivotFmt>
      <c:pivotFmt>
        <c:idx val="8"/>
        <c:marker>
          <c:symbol val="none"/>
        </c:marker>
        <c:dLbl>
          <c:idx val="0"/>
          <c:spPr/>
          <c:txPr>
            <a:bodyPr/>
            <a:lstStyle/>
            <a:p>
              <a:pPr>
                <a:defRPr/>
              </a:pPr>
              <a:endParaRPr lang="ja-JP"/>
            </a:p>
          </c:txPr>
          <c:showLegendKey val="0"/>
          <c:showVal val="0"/>
          <c:showCatName val="1"/>
          <c:showSerName val="0"/>
          <c:showPercent val="1"/>
          <c:showBubbleSize val="0"/>
          <c:separator>
</c:separator>
          <c:extLst>
            <c:ext xmlns:c15="http://schemas.microsoft.com/office/drawing/2012/chart" uri="{CE6537A1-D6FC-4f65-9D91-7224C49458BB}"/>
          </c:extLst>
        </c:dLbl>
      </c:pivotFmt>
      <c:pivotFmt>
        <c:idx val="9"/>
        <c:marker>
          <c:symbol val="none"/>
        </c:marker>
        <c:dLbl>
          <c:idx val="0"/>
          <c:spPr/>
          <c:txPr>
            <a:bodyPr/>
            <a:lstStyle/>
            <a:p>
              <a:pPr>
                <a:defRPr/>
              </a:pPr>
              <a:endParaRPr lang="ja-JP"/>
            </a:p>
          </c:txPr>
          <c:showLegendKey val="0"/>
          <c:showVal val="0"/>
          <c:showCatName val="1"/>
          <c:showSerName val="0"/>
          <c:showPercent val="1"/>
          <c:showBubbleSize val="0"/>
          <c:separator>
</c:separator>
          <c:extLst>
            <c:ext xmlns:c15="http://schemas.microsoft.com/office/drawing/2012/chart" uri="{CE6537A1-D6FC-4f65-9D91-7224C49458BB}"/>
          </c:extLst>
        </c:dLbl>
      </c:pivotFmt>
      <c:pivotFmt>
        <c:idx val="10"/>
        <c:marker>
          <c:symbol val="none"/>
        </c:marker>
        <c:dLbl>
          <c:idx val="0"/>
          <c:spPr/>
          <c:txPr>
            <a:bodyPr/>
            <a:lstStyle/>
            <a:p>
              <a:pPr>
                <a:defRPr/>
              </a:pPr>
              <a:endParaRPr lang="ja-JP"/>
            </a:p>
          </c:txPr>
          <c:showLegendKey val="0"/>
          <c:showVal val="0"/>
          <c:showCatName val="1"/>
          <c:showSerName val="0"/>
          <c:showPercent val="1"/>
          <c:showBubbleSize val="0"/>
          <c:separator>
</c:separator>
          <c:extLst>
            <c:ext xmlns:c15="http://schemas.microsoft.com/office/drawing/2012/chart" uri="{CE6537A1-D6FC-4f65-9D91-7224C49458BB}"/>
          </c:extLst>
        </c:dLbl>
      </c:pivotFmt>
      <c:pivotFmt>
        <c:idx val="11"/>
        <c:marker>
          <c:symbol val="none"/>
        </c:marker>
        <c:dLbl>
          <c:idx val="0"/>
          <c:spPr/>
          <c:txPr>
            <a:bodyPr/>
            <a:lstStyle/>
            <a:p>
              <a:pPr>
                <a:defRPr/>
              </a:pPr>
              <a:endParaRPr lang="ja-JP"/>
            </a:p>
          </c:txPr>
          <c:showLegendKey val="0"/>
          <c:showVal val="0"/>
          <c:showCatName val="1"/>
          <c:showSerName val="0"/>
          <c:showPercent val="1"/>
          <c:showBubbleSize val="0"/>
          <c:separator>
</c:separator>
          <c:extLst>
            <c:ext xmlns:c15="http://schemas.microsoft.com/office/drawing/2012/chart" uri="{CE6537A1-D6FC-4f65-9D91-7224C49458BB}"/>
          </c:extLst>
        </c:dLbl>
      </c:pivotFmt>
      <c:pivotFmt>
        <c:idx val="12"/>
        <c:dLbl>
          <c:idx val="0"/>
          <c:layout>
            <c:manualLayout>
              <c:x val="0.28414426134721016"/>
              <c:y val="0.12277112914870807"/>
            </c:manualLayout>
          </c:layout>
          <c:spPr/>
          <c:txPr>
            <a:bodyPr/>
            <a:lstStyle/>
            <a:p>
              <a:pPr>
                <a:defRPr/>
              </a:pPr>
              <a:endParaRPr lang="ja-JP"/>
            </a:p>
          </c:txPr>
          <c:showLegendKey val="0"/>
          <c:showVal val="0"/>
          <c:showCatName val="1"/>
          <c:showSerName val="0"/>
          <c:showPercent val="1"/>
          <c:showBubbleSize val="0"/>
          <c:separator>
</c:separator>
          <c:extLst>
            <c:ext xmlns:c15="http://schemas.microsoft.com/office/drawing/2012/chart" uri="{CE6537A1-D6FC-4f65-9D91-7224C49458BB}"/>
          </c:extLst>
        </c:dLbl>
      </c:pivotFmt>
      <c:pivotFmt>
        <c:idx val="13"/>
        <c:dLbl>
          <c:idx val="0"/>
          <c:layout>
            <c:manualLayout>
              <c:x val="-8.4882071342762849E-2"/>
              <c:y val="1.3831014288901936E-2"/>
            </c:manualLayout>
          </c:layout>
          <c:spPr/>
          <c:txPr>
            <a:bodyPr/>
            <a:lstStyle/>
            <a:p>
              <a:pPr>
                <a:defRPr/>
              </a:pPr>
              <a:endParaRPr lang="ja-JP"/>
            </a:p>
          </c:txPr>
          <c:showLegendKey val="0"/>
          <c:showVal val="0"/>
          <c:showCatName val="1"/>
          <c:showSerName val="0"/>
          <c:showPercent val="1"/>
          <c:showBubbleSize val="0"/>
          <c:separator>
</c:separator>
          <c:extLst>
            <c:ext xmlns:c15="http://schemas.microsoft.com/office/drawing/2012/chart" uri="{CE6537A1-D6FC-4f65-9D91-7224C49458BB}"/>
          </c:extLst>
        </c:dLbl>
      </c:pivotFmt>
    </c:pivotFmts>
    <c:plotArea>
      <c:layout/>
      <c:pieChart>
        <c:varyColors val="1"/>
        <c:ser>
          <c:idx val="0"/>
          <c:order val="0"/>
          <c:tx>
            <c:strRef>
              <c:f>'W_Chart data'!$J$6</c:f>
              <c:strCache>
                <c:ptCount val="1"/>
                <c:pt idx="0">
                  <c:v>集計</c:v>
                </c:pt>
              </c:strCache>
            </c:strRef>
          </c:tx>
          <c:dLbls>
            <c:spPr/>
            <c:txPr>
              <a:bodyPr/>
              <a:lstStyle/>
              <a:p>
                <a:pPr>
                  <a:defRPr/>
                </a:pPr>
                <a:endParaRPr lang="ja-JP"/>
              </a:p>
            </c:txPr>
            <c:showLegendKey val="0"/>
            <c:showVal val="0"/>
            <c:showCatName val="1"/>
            <c:showSerName val="0"/>
            <c:showPercent val="1"/>
            <c:showBubbleSize val="0"/>
            <c:separator>
</c:separator>
            <c:showLeaderLines val="1"/>
            <c:extLst>
              <c:ext xmlns:c15="http://schemas.microsoft.com/office/drawing/2012/chart" uri="{CE6537A1-D6FC-4f65-9D91-7224C49458BB}"/>
            </c:extLst>
          </c:dLbls>
          <c:cat>
            <c:strRef>
              <c:f>'W_Chart data'!$I$7</c:f>
              <c:strCache>
                <c:ptCount val="1"/>
                <c:pt idx="0">
                  <c:v>総計</c:v>
                </c:pt>
              </c:strCache>
            </c:strRef>
          </c:cat>
          <c:val>
            <c:numRef>
              <c:f>'W_Chart data'!$J$7</c:f>
              <c:numCache>
                <c:formatCode>General</c:formatCode>
                <c:ptCount val="1"/>
              </c:numCache>
            </c:numRef>
          </c:val>
          <c:extLst>
            <c:ext xmlns:c16="http://schemas.microsoft.com/office/drawing/2014/chart" uri="{C3380CC4-5D6E-409C-BE32-E72D297353CC}">
              <c16:uniqueId val="{00000004-6179-40ED-A623-BE10E66AD476}"/>
            </c:ext>
          </c:extLst>
        </c:ser>
        <c:dLbls>
          <c:showLegendKey val="0"/>
          <c:showVal val="0"/>
          <c:showCatName val="1"/>
          <c:showSerName val="0"/>
          <c:showPercent val="1"/>
          <c:showBubbleSize val="0"/>
          <c:showLeaderLines val="1"/>
        </c:dLbls>
        <c:firstSliceAng val="0"/>
      </c:pieChart>
    </c:plotArea>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10"/>
    </mc:Choice>
    <mc:Fallback>
      <c:style val="10"/>
    </mc:Fallback>
  </mc:AlternateContent>
  <c:pivotSource>
    <c:name>[IAC_不具合管理表_結合試験.xlsm]W_Chart data!ﾋﾟﾎﾞｯﾄﾃｰﾌﾞﾙ4</c:name>
    <c:fmtId val="2"/>
  </c:pivotSource>
  <c:chart>
    <c:title>
      <c:tx>
        <c:rich>
          <a:bodyPr/>
          <a:lstStyle/>
          <a:p>
            <a:pPr>
              <a:defRPr/>
            </a:pPr>
            <a:r>
              <a:rPr lang="ja-JP" altLang="en-US" sz="1000" b="0"/>
              <a:t>原因工程</a:t>
            </a:r>
          </a:p>
        </c:rich>
      </c:tx>
      <c:layout>
        <c:manualLayout>
          <c:xMode val="edge"/>
          <c:yMode val="edge"/>
          <c:x val="1.300416115792769E-2"/>
          <c:y val="3.6657349991100249E-2"/>
        </c:manualLayout>
      </c:layout>
      <c:overlay val="1"/>
      <c:spPr>
        <a:ln>
          <a:solidFill>
            <a:schemeClr val="bg1">
              <a:lumMod val="65000"/>
            </a:schemeClr>
          </a:solidFill>
        </a:ln>
      </c:spPr>
    </c:title>
    <c:autoTitleDeleted val="0"/>
    <c:pivotFmts>
      <c:pivotFmt>
        <c:idx val="0"/>
        <c:dLbl>
          <c:idx val="0"/>
          <c:showLegendKey val="0"/>
          <c:showVal val="0"/>
          <c:showCatName val="1"/>
          <c:showSerName val="0"/>
          <c:showPercent val="1"/>
          <c:showBubbleSize val="0"/>
          <c:extLst>
            <c:ext xmlns:c15="http://schemas.microsoft.com/office/drawing/2012/chart" uri="{CE6537A1-D6FC-4f65-9D91-7224C49458BB}"/>
          </c:extLst>
        </c:dLbl>
      </c:pivotFmt>
      <c:pivotFmt>
        <c:idx val="1"/>
        <c:dLbl>
          <c:idx val="0"/>
          <c:showLegendKey val="0"/>
          <c:showVal val="0"/>
          <c:showCatName val="1"/>
          <c:showSerName val="0"/>
          <c:showPercent val="1"/>
          <c:showBubbleSize val="0"/>
          <c:extLst>
            <c:ext xmlns:c15="http://schemas.microsoft.com/office/drawing/2012/chart" uri="{CE6537A1-D6FC-4f65-9D91-7224C49458BB}"/>
          </c:extLst>
        </c:dLbl>
      </c:pivotFmt>
      <c:pivotFmt>
        <c:idx val="2"/>
        <c:marker>
          <c:symbol val="none"/>
        </c:marker>
        <c:dLbl>
          <c:idx val="0"/>
          <c:showLegendKey val="0"/>
          <c:showVal val="0"/>
          <c:showCatName val="1"/>
          <c:showSerName val="0"/>
          <c:showPercent val="1"/>
          <c:showBubbleSize val="0"/>
          <c:extLst>
            <c:ext xmlns:c15="http://schemas.microsoft.com/office/drawing/2012/chart" uri="{CE6537A1-D6FC-4f65-9D91-7224C49458BB}"/>
          </c:extLst>
        </c:dLbl>
      </c:pivotFmt>
      <c:pivotFmt>
        <c:idx val="3"/>
        <c:marker>
          <c:symbol val="none"/>
        </c:marker>
        <c:dLbl>
          <c:idx val="0"/>
          <c:spPr/>
          <c:txPr>
            <a:bodyPr/>
            <a:lstStyle/>
            <a:p>
              <a:pPr>
                <a:defRPr sz="900"/>
              </a:pPr>
              <a:endParaRPr lang="ja-JP"/>
            </a:p>
          </c:txPr>
          <c:showLegendKey val="0"/>
          <c:showVal val="0"/>
          <c:showCatName val="1"/>
          <c:showSerName val="0"/>
          <c:showPercent val="1"/>
          <c:showBubbleSize val="0"/>
          <c:extLst>
            <c:ext xmlns:c15="http://schemas.microsoft.com/office/drawing/2012/chart" uri="{CE6537A1-D6FC-4f65-9D91-7224C49458BB}"/>
          </c:extLst>
        </c:dLbl>
      </c:pivotFmt>
      <c:pivotFmt>
        <c:idx val="4"/>
        <c:marker>
          <c:symbol val="none"/>
        </c:marker>
        <c:dLbl>
          <c:idx val="0"/>
          <c:spPr/>
          <c:txPr>
            <a:bodyPr/>
            <a:lstStyle/>
            <a:p>
              <a:pPr>
                <a:defRPr/>
              </a:pPr>
              <a:endParaRPr lang="ja-JP"/>
            </a:p>
          </c:txPr>
          <c:showLegendKey val="0"/>
          <c:showVal val="0"/>
          <c:showCatName val="1"/>
          <c:showSerName val="0"/>
          <c:showPercent val="1"/>
          <c:showBubbleSize val="0"/>
          <c:extLst>
            <c:ext xmlns:c15="http://schemas.microsoft.com/office/drawing/2012/chart" uri="{CE6537A1-D6FC-4f65-9D91-7224C49458BB}"/>
          </c:extLst>
        </c:dLbl>
      </c:pivotFmt>
      <c:pivotFmt>
        <c:idx val="5"/>
      </c:pivotFmt>
      <c:pivotFmt>
        <c:idx val="6"/>
        <c:dLbl>
          <c:idx val="0"/>
          <c:layout>
            <c:manualLayout>
              <c:x val="5.3416709361003817E-2"/>
              <c:y val="-8.560358198221861E-2"/>
            </c:manualLayout>
          </c:layout>
          <c:spPr/>
          <c:txPr>
            <a:bodyPr/>
            <a:lstStyle/>
            <a:p>
              <a:pPr>
                <a:defRPr/>
              </a:pPr>
              <a:endParaRPr lang="ja-JP"/>
            </a:p>
          </c:txPr>
          <c:showLegendKey val="0"/>
          <c:showVal val="0"/>
          <c:showCatName val="1"/>
          <c:showSerName val="0"/>
          <c:showPercent val="1"/>
          <c:showBubbleSize val="0"/>
          <c:extLst>
            <c:ext xmlns:c15="http://schemas.microsoft.com/office/drawing/2012/chart" uri="{CE6537A1-D6FC-4f65-9D91-7224C49458BB}">
              <c15:layout>
                <c:manualLayout>
                  <c:w val="0.13227530310525215"/>
                  <c:h val="0.30831087861867595"/>
                </c:manualLayout>
              </c15:layout>
            </c:ext>
          </c:extLst>
        </c:dLbl>
      </c:pivotFmt>
      <c:pivotFmt>
        <c:idx val="7"/>
      </c:pivotFmt>
      <c:pivotFmt>
        <c:idx val="8"/>
        <c:dLbl>
          <c:idx val="0"/>
          <c:layout>
            <c:manualLayout>
              <c:x val="-5.611647321395212E-2"/>
              <c:y val="2.1545394262370465E-2"/>
            </c:manualLayout>
          </c:layout>
          <c:spPr/>
          <c:txPr>
            <a:bodyPr/>
            <a:lstStyle/>
            <a:p>
              <a:pPr>
                <a:defRPr/>
              </a:pPr>
              <a:endParaRPr lang="ja-JP"/>
            </a:p>
          </c:txPr>
          <c:showLegendKey val="0"/>
          <c:showVal val="0"/>
          <c:showCatName val="1"/>
          <c:showSerName val="0"/>
          <c:showPercent val="1"/>
          <c:showBubbleSize val="0"/>
          <c:extLst>
            <c:ext xmlns:c15="http://schemas.microsoft.com/office/drawing/2012/chart" uri="{CE6537A1-D6FC-4f65-9D91-7224C49458BB}"/>
          </c:extLst>
        </c:dLbl>
      </c:pivotFmt>
      <c:pivotFmt>
        <c:idx val="9"/>
        <c:dLbl>
          <c:idx val="0"/>
          <c:layout>
            <c:manualLayout>
              <c:x val="8.0556164200629665E-2"/>
              <c:y val="0.14906752629464523"/>
            </c:manualLayout>
          </c:layout>
          <c:spPr/>
          <c:txPr>
            <a:bodyPr/>
            <a:lstStyle/>
            <a:p>
              <a:pPr>
                <a:defRPr/>
              </a:pPr>
              <a:endParaRPr lang="ja-JP"/>
            </a:p>
          </c:txPr>
          <c:showLegendKey val="0"/>
          <c:showVal val="0"/>
          <c:showCatName val="1"/>
          <c:showSerName val="0"/>
          <c:showPercent val="1"/>
          <c:showBubbleSize val="0"/>
          <c:extLst>
            <c:ext xmlns:c15="http://schemas.microsoft.com/office/drawing/2012/chart" uri="{CE6537A1-D6FC-4f65-9D91-7224C49458BB}"/>
          </c:extLst>
        </c:dLbl>
      </c:pivotFmt>
      <c:pivotFmt>
        <c:idx val="10"/>
      </c:pivotFmt>
      <c:pivotFmt>
        <c:idx val="11"/>
      </c:pivotFmt>
      <c:pivotFmt>
        <c:idx val="12"/>
      </c:pivotFmt>
      <c:pivotFmt>
        <c:idx val="13"/>
      </c:pivotFmt>
      <c:pivotFmt>
        <c:idx val="14"/>
        <c:dLbl>
          <c:idx val="0"/>
          <c:layout>
            <c:manualLayout>
              <c:x val="-4.6636213115652171E-2"/>
              <c:y val="-0.13685795589394265"/>
            </c:manualLayout>
          </c:layout>
          <c:spPr/>
          <c:txPr>
            <a:bodyPr/>
            <a:lstStyle/>
            <a:p>
              <a:pPr>
                <a:defRPr/>
              </a:pPr>
              <a:endParaRPr lang="ja-JP"/>
            </a:p>
          </c:txPr>
          <c:showLegendKey val="0"/>
          <c:showVal val="0"/>
          <c:showCatName val="1"/>
          <c:showSerName val="0"/>
          <c:showPercent val="1"/>
          <c:showBubbleSize val="0"/>
          <c:extLst>
            <c:ext xmlns:c15="http://schemas.microsoft.com/office/drawing/2012/chart" uri="{CE6537A1-D6FC-4f65-9D91-7224C49458BB}"/>
          </c:extLst>
        </c:dLbl>
      </c:pivotFmt>
      <c:pivotFmt>
        <c:idx val="15"/>
      </c:pivotFmt>
    </c:pivotFmts>
    <c:plotArea>
      <c:layout/>
      <c:pieChart>
        <c:varyColors val="1"/>
        <c:ser>
          <c:idx val="0"/>
          <c:order val="0"/>
          <c:tx>
            <c:strRef>
              <c:f>'W_Chart data'!$N$6</c:f>
              <c:strCache>
                <c:ptCount val="1"/>
                <c:pt idx="0">
                  <c:v>集計</c:v>
                </c:pt>
              </c:strCache>
            </c:strRef>
          </c:tx>
          <c:dLbls>
            <c:dLbl>
              <c:idx val="0"/>
              <c:layout>
                <c:manualLayout>
                  <c:x val="8.0556164200629665E-2"/>
                  <c:y val="0.14906752629464523"/>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DBF5-4EA0-948B-50692A053028}"/>
                </c:ext>
              </c:extLst>
            </c:dLbl>
            <c:spPr/>
            <c:txPr>
              <a:bodyPr/>
              <a:lstStyle/>
              <a:p>
                <a:pPr>
                  <a:defRPr/>
                </a:pPr>
                <a:endParaRPr lang="ja-JP"/>
              </a:p>
            </c:txPr>
            <c:showLegendKey val="0"/>
            <c:showVal val="0"/>
            <c:showCatName val="1"/>
            <c:showSerName val="0"/>
            <c:showPercent val="1"/>
            <c:showBubbleSize val="0"/>
            <c:showLeaderLines val="1"/>
            <c:extLst>
              <c:ext xmlns:c15="http://schemas.microsoft.com/office/drawing/2012/chart" uri="{CE6537A1-D6FC-4f65-9D91-7224C49458BB}"/>
            </c:extLst>
          </c:dLbls>
          <c:cat>
            <c:strRef>
              <c:f>'W_Chart data'!$M$7</c:f>
              <c:strCache>
                <c:ptCount val="1"/>
                <c:pt idx="0">
                  <c:v>総計</c:v>
                </c:pt>
              </c:strCache>
            </c:strRef>
          </c:cat>
          <c:val>
            <c:numRef>
              <c:f>'W_Chart data'!$N$7</c:f>
              <c:numCache>
                <c:formatCode>General</c:formatCode>
                <c:ptCount val="1"/>
              </c:numCache>
            </c:numRef>
          </c:val>
          <c:extLst>
            <c:ext xmlns:c16="http://schemas.microsoft.com/office/drawing/2014/chart" uri="{C3380CC4-5D6E-409C-BE32-E72D297353CC}">
              <c16:uniqueId val="{00000004-9169-4B98-9050-3216A217C423}"/>
            </c:ext>
          </c:extLst>
        </c:ser>
        <c:dLbls>
          <c:showLegendKey val="0"/>
          <c:showVal val="0"/>
          <c:showCatName val="1"/>
          <c:showSerName val="0"/>
          <c:showPercent val="1"/>
          <c:showBubbleSize val="0"/>
          <c:showLeaderLines val="1"/>
        </c:dLbls>
        <c:firstSliceAng val="0"/>
      </c:pieChart>
    </c:plotArea>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10"/>
    </mc:Choice>
    <mc:Fallback>
      <c:style val="10"/>
    </mc:Fallback>
  </mc:AlternateContent>
  <c:pivotSource>
    <c:name>[IAC_不具合管理表_結合試験.xlsm]W_Chart data!ﾋﾟﾎﾞｯﾄﾃｰﾌﾞﾙ5</c:name>
    <c:fmtId val="18"/>
  </c:pivotSource>
  <c:chart>
    <c:title>
      <c:tx>
        <c:rich>
          <a:bodyPr/>
          <a:lstStyle/>
          <a:p>
            <a:pPr>
              <a:defRPr/>
            </a:pPr>
            <a:r>
              <a:rPr lang="ja-JP" altLang="en-US" sz="1000" b="0"/>
              <a:t>原因</a:t>
            </a:r>
          </a:p>
        </c:rich>
      </c:tx>
      <c:layout>
        <c:manualLayout>
          <c:xMode val="edge"/>
          <c:yMode val="edge"/>
          <c:x val="2.24488974410335E-2"/>
          <c:y val="3.6923076923076927E-2"/>
        </c:manualLayout>
      </c:layout>
      <c:overlay val="1"/>
      <c:spPr>
        <a:ln>
          <a:solidFill>
            <a:schemeClr val="bg1">
              <a:lumMod val="65000"/>
            </a:schemeClr>
          </a:solidFill>
        </a:ln>
      </c:spPr>
    </c:title>
    <c:autoTitleDeleted val="0"/>
    <c:pivotFmts>
      <c:pivotFmt>
        <c:idx val="0"/>
        <c:dLbl>
          <c:idx val="0"/>
          <c:spPr/>
          <c:txPr>
            <a:bodyPr/>
            <a:lstStyle/>
            <a:p>
              <a:pPr>
                <a:defRPr sz="900"/>
              </a:pPr>
              <a:endParaRPr lang="ja-JP"/>
            </a:p>
          </c:txPr>
          <c:showLegendKey val="0"/>
          <c:showVal val="0"/>
          <c:showCatName val="1"/>
          <c:showSerName val="0"/>
          <c:showPercent val="1"/>
          <c:showBubbleSize val="0"/>
          <c:extLst>
            <c:ext xmlns:c15="http://schemas.microsoft.com/office/drawing/2012/chart" uri="{CE6537A1-D6FC-4f65-9D91-7224C49458BB}"/>
          </c:extLst>
        </c:dLbl>
      </c:pivotFmt>
      <c:pivotFmt>
        <c:idx val="1"/>
        <c:marker>
          <c:symbol val="none"/>
        </c:marker>
        <c:dLbl>
          <c:idx val="0"/>
          <c:spPr/>
          <c:txPr>
            <a:bodyPr/>
            <a:lstStyle/>
            <a:p>
              <a:pPr>
                <a:defRPr sz="900"/>
              </a:pPr>
              <a:endParaRPr lang="ja-JP"/>
            </a:p>
          </c:txPr>
          <c:showLegendKey val="0"/>
          <c:showVal val="0"/>
          <c:showCatName val="1"/>
          <c:showSerName val="0"/>
          <c:showPercent val="1"/>
          <c:showBubbleSize val="0"/>
          <c:extLst>
            <c:ext xmlns:c15="http://schemas.microsoft.com/office/drawing/2012/chart" uri="{CE6537A1-D6FC-4f65-9D91-7224C49458BB}"/>
          </c:extLst>
        </c:dLbl>
      </c:pivotFmt>
      <c:pivotFmt>
        <c:idx val="2"/>
        <c:marker>
          <c:symbol val="none"/>
        </c:marker>
        <c:dLbl>
          <c:idx val="0"/>
          <c:spPr/>
          <c:txPr>
            <a:bodyPr/>
            <a:lstStyle/>
            <a:p>
              <a:pPr>
                <a:defRPr sz="900"/>
              </a:pPr>
              <a:endParaRPr lang="ja-JP"/>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3"/>
        <c:dLbl>
          <c:idx val="0"/>
          <c:layout>
            <c:manualLayout>
              <c:x val="-5.1732279308028338E-2"/>
              <c:y val="0.22848455481526347"/>
            </c:manualLayout>
          </c:layout>
          <c:dLblPos val="bestFit"/>
          <c:showLegendKey val="0"/>
          <c:showVal val="0"/>
          <c:showCatName val="1"/>
          <c:showSerName val="0"/>
          <c:showPercent val="1"/>
          <c:showBubbleSize val="0"/>
          <c:extLst>
            <c:ext xmlns:c15="http://schemas.microsoft.com/office/drawing/2012/chart" uri="{CE6537A1-D6FC-4f65-9D91-7224C49458BB}"/>
          </c:extLst>
        </c:dLbl>
      </c:pivotFmt>
      <c:pivotFmt>
        <c:idx val="4"/>
        <c:dLbl>
          <c:idx val="0"/>
          <c:layout>
            <c:manualLayout>
              <c:x val="-0.11819230128617216"/>
              <c:y val="0.18"/>
            </c:manualLayout>
          </c:layout>
          <c:dLblPos val="bestFit"/>
          <c:showLegendKey val="0"/>
          <c:showVal val="0"/>
          <c:showCatName val="1"/>
          <c:showSerName val="0"/>
          <c:showPercent val="1"/>
          <c:showBubbleSize val="0"/>
          <c:extLst>
            <c:ext xmlns:c15="http://schemas.microsoft.com/office/drawing/2012/chart" uri="{CE6537A1-D6FC-4f65-9D91-7224C49458BB}"/>
          </c:extLst>
        </c:dLbl>
      </c:pivotFmt>
      <c:pivotFmt>
        <c:idx val="5"/>
        <c:dLbl>
          <c:idx val="0"/>
          <c:layout>
            <c:manualLayout>
              <c:x val="0.20120824351532673"/>
              <c:y val="7.6923076923076927E-3"/>
            </c:manualLayout>
          </c:layout>
          <c:dLblPos val="bestFit"/>
          <c:showLegendKey val="0"/>
          <c:showVal val="0"/>
          <c:showCatName val="1"/>
          <c:showSerName val="0"/>
          <c:showPercent val="1"/>
          <c:showBubbleSize val="0"/>
          <c:extLst>
            <c:ext xmlns:c15="http://schemas.microsoft.com/office/drawing/2012/chart" uri="{CE6537A1-D6FC-4f65-9D91-7224C49458BB}"/>
          </c:extLst>
        </c:dLbl>
      </c:pivotFmt>
      <c:pivotFmt>
        <c:idx val="6"/>
        <c:dLbl>
          <c:idx val="0"/>
          <c:layout>
            <c:manualLayout>
              <c:x val="4.1710747090571501E-2"/>
              <c:y val="0.23224227740763173"/>
            </c:manualLayout>
          </c:layout>
          <c:dLblPos val="bestFit"/>
          <c:showLegendKey val="0"/>
          <c:showVal val="0"/>
          <c:showCatName val="1"/>
          <c:showSerName val="0"/>
          <c:showPercent val="1"/>
          <c:showBubbleSize val="0"/>
          <c:extLst>
            <c:ext xmlns:c15="http://schemas.microsoft.com/office/drawing/2012/chart" uri="{CE6537A1-D6FC-4f65-9D91-7224C49458BB}"/>
          </c:extLst>
        </c:dLbl>
      </c:pivotFmt>
      <c:pivotFmt>
        <c:idx val="7"/>
        <c:marker>
          <c:symbol val="none"/>
        </c:marker>
        <c:dLbl>
          <c:idx val="0"/>
          <c:spPr/>
          <c:txPr>
            <a:bodyPr/>
            <a:lstStyle/>
            <a:p>
              <a:pPr>
                <a:defRPr/>
              </a:pPr>
              <a:endParaRPr lang="ja-JP"/>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8"/>
      </c:pivotFmt>
      <c:pivotFmt>
        <c:idx val="9"/>
      </c:pivotFmt>
      <c:pivotFmt>
        <c:idx val="10"/>
        <c:dLbl>
          <c:idx val="0"/>
          <c:layout>
            <c:manualLayout>
              <c:x val="-0.28766348718699891"/>
              <c:y val="-0.1932819567766795"/>
            </c:manualLayout>
          </c:layout>
          <c:spPr/>
          <c:txPr>
            <a:bodyPr/>
            <a:lstStyle/>
            <a:p>
              <a:pPr>
                <a:defRPr/>
              </a:pPr>
              <a:endParaRPr lang="ja-JP"/>
            </a:p>
          </c:txPr>
          <c:dLblPos val="bestFit"/>
          <c:showLegendKey val="0"/>
          <c:showVal val="0"/>
          <c:showCatName val="1"/>
          <c:showSerName val="0"/>
          <c:showPercent val="1"/>
          <c:showBubbleSize val="0"/>
          <c:extLst>
            <c:ext xmlns:c15="http://schemas.microsoft.com/office/drawing/2012/chart" uri="{CE6537A1-D6FC-4f65-9D91-7224C49458BB}">
              <c15:layout>
                <c:manualLayout>
                  <c:w val="0.23559404681139756"/>
                  <c:h val="0.25048656152023552"/>
                </c:manualLayout>
              </c15:layout>
            </c:ext>
          </c:extLst>
        </c:dLbl>
      </c:pivotFmt>
      <c:pivotFmt>
        <c:idx val="11"/>
      </c:pivotFmt>
      <c:pivotFmt>
        <c:idx val="12"/>
      </c:pivotFmt>
      <c:pivotFmt>
        <c:idx val="13"/>
      </c:pivotFmt>
      <c:pivotFmt>
        <c:idx val="14"/>
        <c:dLbl>
          <c:idx val="0"/>
          <c:layout>
            <c:manualLayout>
              <c:x val="0.30010029430584678"/>
              <c:y val="-0.18112414139721897"/>
            </c:manualLayout>
          </c:layout>
          <c:spPr/>
          <c:txPr>
            <a:bodyPr/>
            <a:lstStyle/>
            <a:p>
              <a:pPr>
                <a:defRPr/>
              </a:pPr>
              <a:endParaRPr lang="ja-JP"/>
            </a:p>
          </c:txPr>
          <c:dLblPos val="bestFit"/>
          <c:showLegendKey val="0"/>
          <c:showVal val="0"/>
          <c:showCatName val="1"/>
          <c:showSerName val="0"/>
          <c:showPercent val="1"/>
          <c:showBubbleSize val="0"/>
          <c:extLst>
            <c:ext xmlns:c15="http://schemas.microsoft.com/office/drawing/2012/chart" uri="{CE6537A1-D6FC-4f65-9D91-7224C49458BB}">
              <c15:layout>
                <c:manualLayout>
                  <c:w val="0.25073745104539286"/>
                  <c:h val="0.27480267094272787"/>
                </c:manualLayout>
              </c15:layout>
            </c:ext>
          </c:extLst>
        </c:dLbl>
      </c:pivotFmt>
      <c:pivotFmt>
        <c:idx val="15"/>
      </c:pivotFmt>
      <c:pivotFmt>
        <c:idx val="16"/>
        <c:dLbl>
          <c:idx val="0"/>
          <c:layout>
            <c:manualLayout>
              <c:x val="-0.17247633218206487"/>
              <c:y val="0.28115501519756841"/>
            </c:manualLayout>
          </c:layout>
          <c:spPr/>
          <c:txPr>
            <a:bodyPr/>
            <a:lstStyle/>
            <a:p>
              <a:pPr>
                <a:defRPr/>
              </a:pPr>
              <a:endParaRPr lang="ja-JP"/>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17"/>
      </c:pivotFmt>
      <c:pivotFmt>
        <c:idx val="18"/>
      </c:pivotFmt>
      <c:pivotFmt>
        <c:idx val="19"/>
      </c:pivotFmt>
      <c:pivotFmt>
        <c:idx val="20"/>
      </c:pivotFmt>
      <c:pivotFmt>
        <c:idx val="21"/>
      </c:pivotFmt>
      <c:pivotFmt>
        <c:idx val="22"/>
      </c:pivotFmt>
      <c:pivotFmt>
        <c:idx val="23"/>
      </c:pivotFmt>
      <c:pivotFmt>
        <c:idx val="24"/>
      </c:pivotFmt>
      <c:pivotFmt>
        <c:idx val="25"/>
      </c:pivotFmt>
      <c:pivotFmt>
        <c:idx val="26"/>
      </c:pivotFmt>
      <c:pivotFmt>
        <c:idx val="27"/>
      </c:pivotFmt>
      <c:pivotFmt>
        <c:idx val="28"/>
      </c:pivotFmt>
      <c:pivotFmt>
        <c:idx val="29"/>
      </c:pivotFmt>
      <c:pivotFmt>
        <c:idx val="30"/>
        <c:dLbl>
          <c:idx val="0"/>
          <c:layout>
            <c:manualLayout>
              <c:x val="0.12503445132293081"/>
              <c:y val="2.4316109422492401E-2"/>
            </c:manualLayout>
          </c:layout>
          <c:spPr/>
          <c:txPr>
            <a:bodyPr/>
            <a:lstStyle/>
            <a:p>
              <a:pPr>
                <a:defRPr/>
              </a:pPr>
              <a:endParaRPr lang="ja-JP"/>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31"/>
        <c:dLbl>
          <c:idx val="0"/>
          <c:layout>
            <c:manualLayout>
              <c:x val="0.28159379047428146"/>
              <c:y val="2.5835866261398176E-2"/>
            </c:manualLayout>
          </c:layout>
          <c:spPr/>
          <c:txPr>
            <a:bodyPr/>
            <a:lstStyle/>
            <a:p>
              <a:pPr>
                <a:defRPr/>
              </a:pPr>
              <a:endParaRPr lang="ja-JP"/>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32"/>
      </c:pivotFmt>
      <c:pivotFmt>
        <c:idx val="33"/>
      </c:pivotFmt>
      <c:pivotFmt>
        <c:idx val="34"/>
        <c:dLbl>
          <c:idx val="0"/>
          <c:layout>
            <c:manualLayout>
              <c:x val="0.12503445132293081"/>
              <c:y val="2.4316109422492401E-2"/>
            </c:manualLayout>
          </c:layout>
          <c:spPr/>
          <c:txPr>
            <a:bodyPr/>
            <a:lstStyle/>
            <a:p>
              <a:pPr>
                <a:defRPr/>
              </a:pPr>
              <a:endParaRPr lang="ja-JP"/>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35"/>
      </c:pivotFmt>
      <c:pivotFmt>
        <c:idx val="36"/>
      </c:pivotFmt>
      <c:pivotFmt>
        <c:idx val="37"/>
      </c:pivotFmt>
      <c:pivotFmt>
        <c:idx val="38"/>
      </c:pivotFmt>
      <c:pivotFmt>
        <c:idx val="39"/>
      </c:pivotFmt>
      <c:pivotFmt>
        <c:idx val="40"/>
      </c:pivotFmt>
      <c:pivotFmt>
        <c:idx val="41"/>
      </c:pivotFmt>
      <c:pivotFmt>
        <c:idx val="42"/>
      </c:pivotFmt>
      <c:pivotFmt>
        <c:idx val="43"/>
      </c:pivotFmt>
      <c:pivotFmt>
        <c:idx val="44"/>
      </c:pivotFmt>
      <c:pivotFmt>
        <c:idx val="45"/>
      </c:pivotFmt>
      <c:pivotFmt>
        <c:idx val="46"/>
      </c:pivotFmt>
      <c:pivotFmt>
        <c:idx val="47"/>
      </c:pivotFmt>
      <c:pivotFmt>
        <c:idx val="48"/>
      </c:pivotFmt>
      <c:pivotFmt>
        <c:idx val="49"/>
      </c:pivotFmt>
      <c:pivotFmt>
        <c:idx val="50"/>
      </c:pivotFmt>
      <c:pivotFmt>
        <c:idx val="51"/>
      </c:pivotFmt>
      <c:pivotFmt>
        <c:idx val="52"/>
      </c:pivotFmt>
      <c:pivotFmt>
        <c:idx val="53"/>
      </c:pivotFmt>
      <c:pivotFmt>
        <c:idx val="54"/>
      </c:pivotFmt>
      <c:pivotFmt>
        <c:idx val="55"/>
      </c:pivotFmt>
      <c:pivotFmt>
        <c:idx val="56"/>
      </c:pivotFmt>
      <c:pivotFmt>
        <c:idx val="57"/>
      </c:pivotFmt>
      <c:pivotFmt>
        <c:idx val="58"/>
      </c:pivotFmt>
      <c:pivotFmt>
        <c:idx val="59"/>
      </c:pivotFmt>
      <c:pivotFmt>
        <c:idx val="60"/>
      </c:pivotFmt>
      <c:pivotFmt>
        <c:idx val="61"/>
      </c:pivotFmt>
      <c:pivotFmt>
        <c:idx val="62"/>
      </c:pivotFmt>
      <c:pivotFmt>
        <c:idx val="63"/>
      </c:pivotFmt>
      <c:pivotFmt>
        <c:idx val="64"/>
      </c:pivotFmt>
      <c:pivotFmt>
        <c:idx val="65"/>
      </c:pivotFmt>
      <c:pivotFmt>
        <c:idx val="66"/>
      </c:pivotFmt>
      <c:pivotFmt>
        <c:idx val="67"/>
      </c:pivotFmt>
      <c:pivotFmt>
        <c:idx val="68"/>
      </c:pivotFmt>
      <c:pivotFmt>
        <c:idx val="69"/>
      </c:pivotFmt>
      <c:pivotFmt>
        <c:idx val="70"/>
      </c:pivotFmt>
      <c:pivotFmt>
        <c:idx val="71"/>
      </c:pivotFmt>
      <c:pivotFmt>
        <c:idx val="72"/>
      </c:pivotFmt>
      <c:pivotFmt>
        <c:idx val="73"/>
      </c:pivotFmt>
      <c:pivotFmt>
        <c:idx val="74"/>
      </c:pivotFmt>
      <c:pivotFmt>
        <c:idx val="75"/>
      </c:pivotFmt>
      <c:pivotFmt>
        <c:idx val="76"/>
      </c:pivotFmt>
      <c:pivotFmt>
        <c:idx val="77"/>
      </c:pivotFmt>
      <c:pivotFmt>
        <c:idx val="78"/>
      </c:pivotFmt>
      <c:pivotFmt>
        <c:idx val="79"/>
      </c:pivotFmt>
      <c:pivotFmt>
        <c:idx val="80"/>
      </c:pivotFmt>
      <c:pivotFmt>
        <c:idx val="81"/>
      </c:pivotFmt>
      <c:pivotFmt>
        <c:idx val="82"/>
      </c:pivotFmt>
      <c:pivotFmt>
        <c:idx val="83"/>
      </c:pivotFmt>
      <c:pivotFmt>
        <c:idx val="84"/>
      </c:pivotFmt>
      <c:pivotFmt>
        <c:idx val="85"/>
      </c:pivotFmt>
      <c:pivotFmt>
        <c:idx val="86"/>
      </c:pivotFmt>
      <c:pivotFmt>
        <c:idx val="87"/>
      </c:pivotFmt>
      <c:pivotFmt>
        <c:idx val="88"/>
      </c:pivotFmt>
      <c:pivotFmt>
        <c:idx val="89"/>
      </c:pivotFmt>
    </c:pivotFmts>
    <c:plotArea>
      <c:layout/>
      <c:pieChart>
        <c:varyColors val="1"/>
        <c:ser>
          <c:idx val="0"/>
          <c:order val="0"/>
          <c:tx>
            <c:strRef>
              <c:f>'W_Chart data'!$R$6</c:f>
              <c:strCache>
                <c:ptCount val="1"/>
                <c:pt idx="0">
                  <c:v>集計</c:v>
                </c:pt>
              </c:strCache>
            </c:strRef>
          </c:tx>
          <c:dLbls>
            <c:spPr/>
            <c:txPr>
              <a:bodyPr/>
              <a:lstStyle/>
              <a:p>
                <a:pPr>
                  <a:defRPr/>
                </a:pPr>
                <a:endParaRPr lang="ja-JP"/>
              </a:p>
            </c:txPr>
            <c:dLblPos val="bestFit"/>
            <c:showLegendKey val="0"/>
            <c:showVal val="0"/>
            <c:showCatName val="1"/>
            <c:showSerName val="0"/>
            <c:showPercent val="1"/>
            <c:showBubbleSize val="0"/>
            <c:showLeaderLines val="1"/>
            <c:extLst>
              <c:ext xmlns:c15="http://schemas.microsoft.com/office/drawing/2012/chart" uri="{CE6537A1-D6FC-4f65-9D91-7224C49458BB}"/>
            </c:extLst>
          </c:dLbls>
          <c:cat>
            <c:strRef>
              <c:f>'W_Chart data'!$Q$7</c:f>
              <c:strCache>
                <c:ptCount val="1"/>
                <c:pt idx="0">
                  <c:v>総計</c:v>
                </c:pt>
              </c:strCache>
            </c:strRef>
          </c:cat>
          <c:val>
            <c:numRef>
              <c:f>'W_Chart data'!$R$7</c:f>
              <c:numCache>
                <c:formatCode>General</c:formatCode>
                <c:ptCount val="1"/>
              </c:numCache>
            </c:numRef>
          </c:val>
          <c:extLst>
            <c:ext xmlns:c16="http://schemas.microsoft.com/office/drawing/2014/chart" uri="{C3380CC4-5D6E-409C-BE32-E72D297353CC}">
              <c16:uniqueId val="{00000001-5E81-4DA0-BDBB-9D714E1606DF}"/>
            </c:ext>
          </c:extLst>
        </c:ser>
        <c:dLbls>
          <c:dLblPos val="bestFit"/>
          <c:showLegendKey val="0"/>
          <c:showVal val="0"/>
          <c:showCatName val="1"/>
          <c:showSerName val="0"/>
          <c:showPercent val="1"/>
          <c:showBubbleSize val="0"/>
          <c:showLeaderLines val="1"/>
        </c:dLbls>
        <c:firstSliceAng val="0"/>
      </c:pieChart>
    </c:plotArea>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10"/>
    </mc:Choice>
    <mc:Fallback>
      <c:style val="10"/>
    </mc:Fallback>
  </mc:AlternateContent>
  <c:pivotSource>
    <c:name>[IAC_不具合管理表_結合試験.xlsm]W_Chart data!ﾋﾟﾎﾞｯﾄﾃｰﾌﾞﾙ1</c:name>
    <c:fmtId val="17"/>
  </c:pivotSource>
  <c:chart>
    <c:title>
      <c:tx>
        <c:rich>
          <a:bodyPr/>
          <a:lstStyle/>
          <a:p>
            <a:pPr>
              <a:defRPr sz="1000" b="0"/>
            </a:pPr>
            <a:r>
              <a:rPr lang="ja-JP" altLang="en-US" sz="1000" b="0"/>
              <a:t>機能名</a:t>
            </a:r>
          </a:p>
        </c:rich>
      </c:tx>
      <c:layout>
        <c:manualLayout>
          <c:xMode val="edge"/>
          <c:yMode val="edge"/>
          <c:x val="2.0445456297581169E-2"/>
          <c:y val="3.6674445948749149E-2"/>
        </c:manualLayout>
      </c:layout>
      <c:overlay val="1"/>
      <c:spPr>
        <a:ln>
          <a:solidFill>
            <a:schemeClr val="bg1">
              <a:lumMod val="65000"/>
            </a:schemeClr>
          </a:solidFill>
        </a:ln>
      </c:spPr>
    </c:title>
    <c:autoTitleDeleted val="0"/>
    <c:pivotFmts>
      <c:pivotFmt>
        <c:idx val="0"/>
        <c:dLbl>
          <c:idx val="0"/>
          <c:showLegendKey val="0"/>
          <c:showVal val="0"/>
          <c:showCatName val="1"/>
          <c:showSerName val="0"/>
          <c:showPercent val="1"/>
          <c:showBubbleSize val="0"/>
          <c:extLst>
            <c:ext xmlns:c15="http://schemas.microsoft.com/office/drawing/2012/chart" uri="{CE6537A1-D6FC-4f65-9D91-7224C49458BB}"/>
          </c:extLst>
        </c:dLbl>
      </c:pivotFmt>
      <c:pivotFmt>
        <c:idx val="1"/>
        <c:dLbl>
          <c:idx val="0"/>
          <c:showLegendKey val="0"/>
          <c:showVal val="0"/>
          <c:showCatName val="1"/>
          <c:showSerName val="0"/>
          <c:showPercent val="1"/>
          <c:showBubbleSize val="0"/>
          <c:extLst>
            <c:ext xmlns:c15="http://schemas.microsoft.com/office/drawing/2012/chart" uri="{CE6537A1-D6FC-4f65-9D91-7224C49458BB}"/>
          </c:extLst>
        </c:dLbl>
      </c:pivotFmt>
      <c:pivotFmt>
        <c:idx val="2"/>
        <c:marker>
          <c:symbol val="none"/>
        </c:marker>
        <c:dLbl>
          <c:idx val="0"/>
          <c:showLegendKey val="0"/>
          <c:showVal val="0"/>
          <c:showCatName val="1"/>
          <c:showSerName val="0"/>
          <c:showPercent val="1"/>
          <c:showBubbleSize val="0"/>
          <c:extLst>
            <c:ext xmlns:c15="http://schemas.microsoft.com/office/drawing/2012/chart" uri="{CE6537A1-D6FC-4f65-9D91-7224C49458BB}"/>
          </c:extLst>
        </c:dLbl>
      </c:pivotFmt>
      <c:pivotFmt>
        <c:idx val="3"/>
        <c:marker>
          <c:symbol val="none"/>
        </c:marker>
        <c:dLbl>
          <c:idx val="0"/>
          <c:spPr/>
          <c:txPr>
            <a:bodyPr/>
            <a:lstStyle/>
            <a:p>
              <a:pPr>
                <a:defRPr sz="900"/>
              </a:pPr>
              <a:endParaRPr lang="ja-JP"/>
            </a:p>
          </c:txPr>
          <c:showLegendKey val="0"/>
          <c:showVal val="0"/>
          <c:showCatName val="1"/>
          <c:showSerName val="0"/>
          <c:showPercent val="1"/>
          <c:showBubbleSize val="0"/>
          <c:extLst>
            <c:ext xmlns:c15="http://schemas.microsoft.com/office/drawing/2012/chart" uri="{CE6537A1-D6FC-4f65-9D91-7224C49458BB}"/>
          </c:extLst>
        </c:dLbl>
      </c:pivotFmt>
      <c:pivotFmt>
        <c:idx val="4"/>
        <c:marker>
          <c:symbol val="none"/>
        </c:marker>
        <c:dLbl>
          <c:idx val="0"/>
          <c:spPr/>
          <c:txPr>
            <a:bodyPr/>
            <a:lstStyle/>
            <a:p>
              <a:pPr>
                <a:defRPr/>
              </a:pPr>
              <a:endParaRPr lang="ja-JP"/>
            </a:p>
          </c:txPr>
          <c:showLegendKey val="0"/>
          <c:showVal val="0"/>
          <c:showCatName val="1"/>
          <c:showSerName val="0"/>
          <c:showPercent val="1"/>
          <c:showBubbleSize val="0"/>
          <c:extLst>
            <c:ext xmlns:c15="http://schemas.microsoft.com/office/drawing/2012/chart" uri="{CE6537A1-D6FC-4f65-9D91-7224C49458BB}"/>
          </c:extLst>
        </c:dLbl>
      </c:pivotFmt>
      <c:pivotFmt>
        <c:idx val="5"/>
        <c:marker>
          <c:symbol val="none"/>
        </c:marker>
        <c:dLbl>
          <c:idx val="0"/>
          <c:spPr/>
          <c:txPr>
            <a:bodyPr/>
            <a:lstStyle/>
            <a:p>
              <a:pPr>
                <a:defRPr/>
              </a:pPr>
              <a:endParaRPr lang="ja-JP"/>
            </a:p>
          </c:txPr>
          <c:showLegendKey val="0"/>
          <c:showVal val="0"/>
          <c:showCatName val="1"/>
          <c:showSerName val="0"/>
          <c:showPercent val="1"/>
          <c:showBubbleSize val="0"/>
          <c:extLst>
            <c:ext xmlns:c15="http://schemas.microsoft.com/office/drawing/2012/chart" uri="{CE6537A1-D6FC-4f65-9D91-7224C49458BB}"/>
          </c:extLst>
        </c:dLbl>
      </c:pivotFmt>
      <c:pivotFmt>
        <c:idx val="6"/>
        <c:marker>
          <c:symbol val="none"/>
        </c:marker>
        <c:dLbl>
          <c:idx val="0"/>
          <c:spPr/>
          <c:txPr>
            <a:bodyPr/>
            <a:lstStyle/>
            <a:p>
              <a:pPr>
                <a:defRPr/>
              </a:pPr>
              <a:endParaRPr lang="ja-JP"/>
            </a:p>
          </c:txPr>
          <c:showLegendKey val="0"/>
          <c:showVal val="0"/>
          <c:showCatName val="1"/>
          <c:showSerName val="0"/>
          <c:showPercent val="1"/>
          <c:showBubbleSize val="0"/>
          <c:extLst>
            <c:ext xmlns:c15="http://schemas.microsoft.com/office/drawing/2012/chart" uri="{CE6537A1-D6FC-4f65-9D91-7224C49458BB}"/>
          </c:extLst>
        </c:dLbl>
      </c:pivotFmt>
      <c:pivotFmt>
        <c:idx val="7"/>
        <c:marker>
          <c:symbol val="none"/>
        </c:marker>
        <c:dLbl>
          <c:idx val="0"/>
          <c:spPr/>
          <c:txPr>
            <a:bodyPr/>
            <a:lstStyle/>
            <a:p>
              <a:pPr>
                <a:defRPr/>
              </a:pPr>
              <a:endParaRPr lang="ja-JP"/>
            </a:p>
          </c:txPr>
          <c:showLegendKey val="0"/>
          <c:showVal val="0"/>
          <c:showCatName val="1"/>
          <c:showSerName val="0"/>
          <c:showPercent val="1"/>
          <c:showBubbleSize val="0"/>
          <c:extLst>
            <c:ext xmlns:c15="http://schemas.microsoft.com/office/drawing/2012/chart" uri="{CE6537A1-D6FC-4f65-9D91-7224C49458BB}"/>
          </c:extLst>
        </c:dLbl>
      </c:pivotFmt>
      <c:pivotFmt>
        <c:idx val="8"/>
        <c:marker>
          <c:symbol val="none"/>
        </c:marker>
        <c:dLbl>
          <c:idx val="0"/>
          <c:spPr/>
          <c:txPr>
            <a:bodyPr/>
            <a:lstStyle/>
            <a:p>
              <a:pPr>
                <a:defRPr/>
              </a:pPr>
              <a:endParaRPr lang="ja-JP"/>
            </a:p>
          </c:txPr>
          <c:showLegendKey val="0"/>
          <c:showVal val="0"/>
          <c:showCatName val="1"/>
          <c:showSerName val="0"/>
          <c:showPercent val="1"/>
          <c:showBubbleSize val="0"/>
          <c:extLst>
            <c:ext xmlns:c15="http://schemas.microsoft.com/office/drawing/2012/chart" uri="{CE6537A1-D6FC-4f65-9D91-7224C49458BB}"/>
          </c:extLst>
        </c:dLbl>
      </c:pivotFmt>
      <c:pivotFmt>
        <c:idx val="9"/>
        <c:marker>
          <c:symbol val="none"/>
        </c:marker>
        <c:dLbl>
          <c:idx val="0"/>
          <c:spPr/>
          <c:txPr>
            <a:bodyPr/>
            <a:lstStyle/>
            <a:p>
              <a:pPr>
                <a:defRPr/>
              </a:pPr>
              <a:endParaRPr lang="ja-JP"/>
            </a:p>
          </c:txPr>
          <c:showLegendKey val="0"/>
          <c:showVal val="0"/>
          <c:showCatName val="1"/>
          <c:showSerName val="0"/>
          <c:showPercent val="1"/>
          <c:showBubbleSize val="0"/>
          <c:separator>
</c:separator>
          <c:extLst>
            <c:ext xmlns:c15="http://schemas.microsoft.com/office/drawing/2012/chart" uri="{CE6537A1-D6FC-4f65-9D91-7224C49458BB}"/>
          </c:extLst>
        </c:dLbl>
      </c:pivotFmt>
      <c:pivotFmt>
        <c:idx val="10"/>
        <c:marker>
          <c:symbol val="none"/>
        </c:marker>
        <c:dLbl>
          <c:idx val="0"/>
          <c:spPr/>
          <c:txPr>
            <a:bodyPr/>
            <a:lstStyle/>
            <a:p>
              <a:pPr>
                <a:defRPr/>
              </a:pPr>
              <a:endParaRPr lang="ja-JP"/>
            </a:p>
          </c:txPr>
          <c:showLegendKey val="0"/>
          <c:showVal val="0"/>
          <c:showCatName val="1"/>
          <c:showSerName val="0"/>
          <c:showPercent val="1"/>
          <c:showBubbleSize val="0"/>
          <c:separator>
</c:separator>
          <c:extLst>
            <c:ext xmlns:c15="http://schemas.microsoft.com/office/drawing/2012/chart" uri="{CE6537A1-D6FC-4f65-9D91-7224C49458BB}"/>
          </c:extLst>
        </c:dLbl>
      </c:pivotFmt>
      <c:pivotFmt>
        <c:idx val="11"/>
        <c:marker>
          <c:symbol val="none"/>
        </c:marker>
        <c:dLbl>
          <c:idx val="0"/>
          <c:spPr/>
          <c:txPr>
            <a:bodyPr/>
            <a:lstStyle/>
            <a:p>
              <a:pPr>
                <a:defRPr/>
              </a:pPr>
              <a:endParaRPr lang="ja-JP"/>
            </a:p>
          </c:txPr>
          <c:dLblPos val="ctr"/>
          <c:showLegendKey val="0"/>
          <c:showVal val="1"/>
          <c:showCatName val="0"/>
          <c:showSerName val="0"/>
          <c:showPercent val="0"/>
          <c:showBubbleSize val="0"/>
          <c:separator>
</c:separator>
          <c:extLst>
            <c:ext xmlns:c15="http://schemas.microsoft.com/office/drawing/2012/chart" uri="{CE6537A1-D6FC-4f65-9D91-7224C49458BB}"/>
          </c:extLst>
        </c:dLbl>
      </c:pivotFmt>
      <c:pivotFmt>
        <c:idx val="12"/>
      </c:pivotFmt>
      <c:pivotFmt>
        <c:idx val="13"/>
        <c:dLbl>
          <c:idx val="0"/>
          <c:spPr/>
          <c:txPr>
            <a:bodyPr/>
            <a:lstStyle/>
            <a:p>
              <a:pPr>
                <a:defRPr/>
              </a:pPr>
              <a:endParaRPr lang="ja-JP"/>
            </a:p>
          </c:txPr>
          <c:dLblPos val="ctr"/>
          <c:showLegendKey val="0"/>
          <c:showVal val="1"/>
          <c:showCatName val="0"/>
          <c:showSerName val="0"/>
          <c:showPercent val="0"/>
          <c:showBubbleSize val="0"/>
          <c:separator>
</c:separator>
          <c:extLst>
            <c:ext xmlns:c15="http://schemas.microsoft.com/office/drawing/2012/chart" uri="{CE6537A1-D6FC-4f65-9D91-7224C49458BB}">
              <c15:layout>
                <c:manualLayout>
                  <c:w val="9.7376685832221005E-2"/>
                  <c:h val="0.10595931137760474"/>
                </c:manualLayout>
              </c15:layout>
            </c:ext>
          </c:extLst>
        </c:dLbl>
      </c:pivotFmt>
    </c:pivotFmts>
    <c:plotArea>
      <c:layout/>
      <c:barChart>
        <c:barDir val="bar"/>
        <c:grouping val="clustered"/>
        <c:varyColors val="0"/>
        <c:ser>
          <c:idx val="0"/>
          <c:order val="0"/>
          <c:tx>
            <c:strRef>
              <c:f>'W_Chart data'!$B$6</c:f>
              <c:strCache>
                <c:ptCount val="1"/>
                <c:pt idx="0">
                  <c:v>集計</c:v>
                </c:pt>
              </c:strCache>
            </c:strRef>
          </c:tx>
          <c:invertIfNegative val="0"/>
          <c:dLbls>
            <c:spPr/>
            <c:txPr>
              <a:bodyPr/>
              <a:lstStyle/>
              <a:p>
                <a:pPr>
                  <a:defRPr/>
                </a:pPr>
                <a:endParaRPr lang="ja-JP"/>
              </a:p>
            </c:txPr>
            <c:dLblPos val="ctr"/>
            <c:showLegendKey val="0"/>
            <c:showVal val="1"/>
            <c:showCatName val="0"/>
            <c:showSerName val="0"/>
            <c:showPercent val="0"/>
            <c:showBubbleSize val="0"/>
            <c:separator>
</c:separator>
            <c:showLeaderLines val="0"/>
            <c:extLst>
              <c:ext xmlns:c15="http://schemas.microsoft.com/office/drawing/2012/chart" uri="{CE6537A1-D6FC-4f65-9D91-7224C49458BB}">
                <c15:showLeaderLines val="1"/>
              </c:ext>
            </c:extLst>
          </c:dLbls>
          <c:cat>
            <c:strRef>
              <c:f>'W_Chart data'!$A$7</c:f>
              <c:strCache>
                <c:ptCount val="1"/>
                <c:pt idx="0">
                  <c:v>総計</c:v>
                </c:pt>
              </c:strCache>
            </c:strRef>
          </c:cat>
          <c:val>
            <c:numRef>
              <c:f>'W_Chart data'!$B$7</c:f>
              <c:numCache>
                <c:formatCode>General</c:formatCode>
                <c:ptCount val="1"/>
              </c:numCache>
            </c:numRef>
          </c:val>
          <c:extLst>
            <c:ext xmlns:c16="http://schemas.microsoft.com/office/drawing/2014/chart" uri="{C3380CC4-5D6E-409C-BE32-E72D297353CC}">
              <c16:uniqueId val="{00000000-F679-4D27-A522-751D01BF4E52}"/>
            </c:ext>
          </c:extLst>
        </c:ser>
        <c:dLbls>
          <c:showLegendKey val="0"/>
          <c:showVal val="0"/>
          <c:showCatName val="0"/>
          <c:showSerName val="0"/>
          <c:showPercent val="0"/>
          <c:showBubbleSize val="0"/>
        </c:dLbls>
        <c:gapWidth val="100"/>
        <c:axId val="1276754303"/>
        <c:axId val="1276754783"/>
      </c:barChart>
      <c:valAx>
        <c:axId val="1276754783"/>
        <c:scaling>
          <c:orientation val="minMax"/>
        </c:scaling>
        <c:delete val="0"/>
        <c:axPos val="b"/>
        <c:majorGridlines/>
        <c:numFmt formatCode="General" sourceLinked="1"/>
        <c:majorTickMark val="out"/>
        <c:minorTickMark val="none"/>
        <c:tickLblPos val="nextTo"/>
        <c:crossAx val="1276754303"/>
        <c:crosses val="autoZero"/>
        <c:crossBetween val="between"/>
      </c:valAx>
      <c:catAx>
        <c:axId val="1276754303"/>
        <c:scaling>
          <c:orientation val="minMax"/>
        </c:scaling>
        <c:delete val="0"/>
        <c:axPos val="l"/>
        <c:numFmt formatCode="General" sourceLinked="1"/>
        <c:majorTickMark val="out"/>
        <c:minorTickMark val="none"/>
        <c:tickLblPos val="nextTo"/>
        <c:crossAx val="1276754783"/>
        <c:crosses val="autoZero"/>
        <c:auto val="1"/>
        <c:lblAlgn val="ctr"/>
        <c:lblOffset val="100"/>
        <c:noMultiLvlLbl val="0"/>
      </c:catAx>
    </c:plotArea>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Lst>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8" Type="http://schemas.openxmlformats.org/officeDocument/2006/relationships/chart" Target="../charts/chart7.xml"/><Relationship Id="rId3" Type="http://schemas.openxmlformats.org/officeDocument/2006/relationships/chart" Target="../charts/chart3.xml"/><Relationship Id="rId7" Type="http://schemas.openxmlformats.org/officeDocument/2006/relationships/image" Target="../media/image5.emf"/><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xdr:colOff>
          <xdr:row>0</xdr:row>
          <xdr:rowOff>95250</xdr:rowOff>
        </xdr:from>
        <xdr:to>
          <xdr:col>2</xdr:col>
          <xdr:colOff>371475</xdr:colOff>
          <xdr:row>0</xdr:row>
          <xdr:rowOff>266700</xdr:rowOff>
        </xdr:to>
        <xdr:sp macro="" textlink="">
          <xdr:nvSpPr>
            <xdr:cNvPr id="2049" name="Button1" descr="Import"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Import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xdr:row>
          <xdr:rowOff>0</xdr:rowOff>
        </xdr:from>
        <xdr:to>
          <xdr:col>9</xdr:col>
          <xdr:colOff>226794</xdr:colOff>
          <xdr:row>5</xdr:row>
          <xdr:rowOff>0</xdr:rowOff>
        </xdr:to>
        <xdr:pic>
          <xdr:nvPicPr>
            <xdr:cNvPr id="2907" name="Pict3">
              <a:extLst>
                <a:ext uri="{FF2B5EF4-FFF2-40B4-BE49-F238E27FC236}">
                  <a16:creationId xmlns:a16="http://schemas.microsoft.com/office/drawing/2014/main" id="{00000000-0008-0000-0100-00005B0B0000}"/>
                </a:ext>
              </a:extLst>
            </xdr:cNvPr>
            <xdr:cNvPicPr>
              <a:picLocks noChangeAspect="1" noChangeArrowheads="1"/>
              <a:extLst>
                <a:ext uri="{84589F7E-364E-4C9E-8A38-B11213B215E9}">
                  <a14:cameraTool cellRange="W_Header!$A$1:$E$4" spid="_x0000_s2015828"/>
                </a:ext>
              </a:extLst>
            </xdr:cNvPicPr>
          </xdr:nvPicPr>
          <xdr:blipFill>
            <a:blip xmlns:r="http://schemas.openxmlformats.org/officeDocument/2006/relationships" r:embed="rId1"/>
            <a:srcRect/>
            <a:stretch>
              <a:fillRect/>
            </a:stretch>
          </xdr:blipFill>
          <xdr:spPr bwMode="auto">
            <a:xfrm>
              <a:off x="171450" y="352425"/>
              <a:ext cx="10420350" cy="723900"/>
            </a:xfrm>
            <a:prstGeom prst="rect">
              <a:avLst/>
            </a:prstGeom>
            <a:solidFill>
              <a:srgbClr val="FFFFFF" mc:Ignorable="a14" a14:legacySpreadsheetColorIndex="9"/>
            </a:solidFill>
            <a:ln>
              <a:noFill/>
            </a:ln>
            <a:extLst>
              <a:ext uri="{91240B29-F687-4F45-9708-019B960494DF}">
                <a14:hiddenLine w="9525">
                  <a:solidFill>
                    <a:srgbClr val="000000"/>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264589</xdr:colOff>
          <xdr:row>1</xdr:row>
          <xdr:rowOff>1</xdr:rowOff>
        </xdr:from>
        <xdr:to>
          <xdr:col>29</xdr:col>
          <xdr:colOff>1449917</xdr:colOff>
          <xdr:row>5</xdr:row>
          <xdr:rowOff>0</xdr:rowOff>
        </xdr:to>
        <xdr:pic>
          <xdr:nvPicPr>
            <xdr:cNvPr id="5" name="Pict4">
              <a:extLst>
                <a:ext uri="{FF2B5EF4-FFF2-40B4-BE49-F238E27FC236}">
                  <a16:creationId xmlns:a16="http://schemas.microsoft.com/office/drawing/2014/main" id="{00000000-0008-0000-0100-000005000000}"/>
                </a:ext>
              </a:extLst>
            </xdr:cNvPr>
            <xdr:cNvPicPr>
              <a:picLocks noChangeAspect="1" noChangeArrowheads="1"/>
              <a:extLst>
                <a:ext uri="{84589F7E-364E-4C9E-8A38-B11213B215E9}">
                  <a14:cameraTool cellRange="W_Header!$G$1:$M$4" spid="_x0000_s2015829"/>
                </a:ext>
              </a:extLst>
            </xdr:cNvPicPr>
          </xdr:nvPicPr>
          <xdr:blipFill>
            <a:blip xmlns:r="http://schemas.openxmlformats.org/officeDocument/2006/relationships" r:embed="rId2"/>
            <a:srcRect/>
            <a:stretch>
              <a:fillRect/>
            </a:stretch>
          </xdr:blipFill>
          <xdr:spPr bwMode="auto">
            <a:xfrm>
              <a:off x="16859256" y="349251"/>
              <a:ext cx="3958162" cy="719666"/>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xdr:from>
      <xdr:col>0</xdr:col>
      <xdr:colOff>325438</xdr:colOff>
      <xdr:row>0</xdr:row>
      <xdr:rowOff>36885</xdr:rowOff>
    </xdr:from>
    <xdr:to>
      <xdr:col>2</xdr:col>
      <xdr:colOff>602783</xdr:colOff>
      <xdr:row>0</xdr:row>
      <xdr:rowOff>239151</xdr:rowOff>
    </xdr:to>
    <xdr:sp macro="" textlink="">
      <xdr:nvSpPr>
        <xdr:cNvPr id="2" name="正方形/長方形 1">
          <a:extLst>
            <a:ext uri="{FF2B5EF4-FFF2-40B4-BE49-F238E27FC236}">
              <a16:creationId xmlns:a16="http://schemas.microsoft.com/office/drawing/2014/main" id="{4C4CB6E0-2D34-FF4B-5ED5-FCFA529C4AEE}"/>
            </a:ext>
          </a:extLst>
        </xdr:cNvPr>
        <xdr:cNvSpPr/>
      </xdr:nvSpPr>
      <xdr:spPr>
        <a:xfrm>
          <a:off x="325438" y="36885"/>
          <a:ext cx="1317158" cy="202266"/>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168088</xdr:colOff>
      <xdr:row>60</xdr:row>
      <xdr:rowOff>63499</xdr:rowOff>
    </xdr:from>
    <xdr:to>
      <xdr:col>13</xdr:col>
      <xdr:colOff>44824</xdr:colOff>
      <xdr:row>85</xdr:row>
      <xdr:rowOff>161925</xdr:rowOff>
    </xdr:to>
    <xdr:sp macro="" textlink="">
      <xdr:nvSpPr>
        <xdr:cNvPr id="41" name="Box40">
          <a:extLst>
            <a:ext uri="{FF2B5EF4-FFF2-40B4-BE49-F238E27FC236}">
              <a16:creationId xmlns:a16="http://schemas.microsoft.com/office/drawing/2014/main" id="{00000000-0008-0000-0400-000029000000}"/>
            </a:ext>
          </a:extLst>
        </xdr:cNvPr>
        <xdr:cNvSpPr/>
      </xdr:nvSpPr>
      <xdr:spPr>
        <a:xfrm>
          <a:off x="282388" y="10093324"/>
          <a:ext cx="8325411" cy="4384676"/>
        </a:xfrm>
        <a:prstGeom prst="rect">
          <a:avLst/>
        </a:prstGeom>
        <a:solidFill>
          <a:schemeClr val="bg1"/>
        </a:solidFill>
        <a:ln w="9525">
          <a:solidFill>
            <a:schemeClr val="bg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kumimoji="1" lang="en-US" altLang="ja-JP" sz="1000" u="none">
              <a:solidFill>
                <a:sysClr val="windowText" lastClr="000000"/>
              </a:solidFill>
              <a:effectLst/>
              <a:latin typeface="+mn-lt"/>
              <a:ea typeface="+mn-ea"/>
              <a:cs typeface="+mn-cs"/>
            </a:rPr>
            <a:t>【</a:t>
          </a:r>
          <a:r>
            <a:rPr kumimoji="1" lang="ja-JP" altLang="ja-JP" sz="1000" u="none">
              <a:solidFill>
                <a:sysClr val="windowText" lastClr="000000"/>
              </a:solidFill>
              <a:effectLst/>
              <a:latin typeface="+mn-lt"/>
              <a:ea typeface="+mn-ea"/>
              <a:cs typeface="+mn-cs"/>
            </a:rPr>
            <a:t>サマリ</a:t>
          </a:r>
          <a:r>
            <a:rPr kumimoji="1" lang="en-US" altLang="ja-JP" sz="1000" u="none">
              <a:solidFill>
                <a:sysClr val="windowText" lastClr="000000"/>
              </a:solidFill>
              <a:effectLst/>
              <a:latin typeface="+mn-lt"/>
              <a:ea typeface="+mn-ea"/>
              <a:cs typeface="+mn-cs"/>
            </a:rPr>
            <a:t>】</a:t>
          </a:r>
          <a:endParaRPr lang="ja-JP" altLang="ja-JP" sz="1000" u="none">
            <a:solidFill>
              <a:sysClr val="windowText" lastClr="000000"/>
            </a:solidFill>
            <a:effectLst/>
          </a:endParaRPr>
        </a:p>
        <a:p>
          <a:r>
            <a:rPr kumimoji="1" lang="ja-JP" altLang="ja-JP" sz="1000" u="none">
              <a:solidFill>
                <a:sysClr val="windowText" lastClr="000000"/>
              </a:solidFill>
              <a:effectLst/>
              <a:latin typeface="+mn-lt"/>
              <a:ea typeface="+mn-ea"/>
              <a:cs typeface="+mn-cs"/>
            </a:rPr>
            <a:t>　テスト密度</a:t>
          </a:r>
          <a:r>
            <a:rPr kumimoji="1" lang="ja-JP" altLang="en-US" sz="1000" u="none">
              <a:solidFill>
                <a:sysClr val="windowText" lastClr="000000"/>
              </a:solidFill>
              <a:effectLst/>
              <a:latin typeface="+mn-lt"/>
              <a:ea typeface="+mn-ea"/>
              <a:cs typeface="+mn-cs"/>
            </a:rPr>
            <a:t>：テスト規模の見直しに伴い閾値の上限越えとなった。カスタマイズ開発であり、結合試験に重点を置く必要がある観点から妥当と判断。</a:t>
          </a:r>
          <a:endParaRPr kumimoji="1" lang="en-US" altLang="ja-JP" sz="1000" u="none">
            <a:solidFill>
              <a:sysClr val="windowText" lastClr="000000"/>
            </a:solidFill>
            <a:effectLst/>
            <a:latin typeface="+mn-lt"/>
            <a:ea typeface="+mn-ea"/>
            <a:cs typeface="+mn-cs"/>
          </a:endParaRPr>
        </a:p>
        <a:p>
          <a:r>
            <a:rPr kumimoji="1" lang="ja-JP" altLang="ja-JP" sz="1000" u="none">
              <a:solidFill>
                <a:sysClr val="windowText" lastClr="000000"/>
              </a:solidFill>
              <a:effectLst/>
              <a:latin typeface="+mn-lt"/>
              <a:ea typeface="+mn-ea"/>
              <a:cs typeface="+mn-cs"/>
            </a:rPr>
            <a:t>　バグ密度</a:t>
          </a:r>
          <a:r>
            <a:rPr kumimoji="1" lang="ja-JP" altLang="en-US" sz="1000" u="none">
              <a:solidFill>
                <a:sysClr val="windowText" lastClr="000000"/>
              </a:solidFill>
              <a:effectLst/>
              <a:latin typeface="+mn-lt"/>
              <a:ea typeface="+mn-ea"/>
              <a:cs typeface="+mn-cs"/>
            </a:rPr>
            <a:t>：下限値割れ。カスタマイズ開発であることから、バグの無い既存機能を試験範囲とする関係から下限寄りになることは想定通り。</a:t>
          </a:r>
          <a:endParaRPr kumimoji="1" lang="en-US" altLang="ja-JP" sz="1000" u="none">
            <a:solidFill>
              <a:sysClr val="windowText" lastClr="000000"/>
            </a:solidFill>
            <a:effectLst/>
            <a:latin typeface="+mn-lt"/>
            <a:ea typeface="+mn-ea"/>
            <a:cs typeface="+mn-cs"/>
          </a:endParaRPr>
        </a:p>
        <a:p>
          <a:r>
            <a:rPr kumimoji="1" lang="ja-JP" altLang="ja-JP" sz="1000" u="none">
              <a:solidFill>
                <a:sysClr val="windowText" lastClr="000000"/>
              </a:solidFill>
              <a:effectLst/>
              <a:latin typeface="+mn-lt"/>
              <a:ea typeface="+mn-ea"/>
              <a:cs typeface="+mn-cs"/>
            </a:rPr>
            <a:t>　現状発生している故障に偏りは無く、また全体的に影響を及ぼすようなものは発生しておらず、品質に問題は無いと判断する。</a:t>
          </a:r>
          <a:endParaRPr kumimoji="1" lang="en-US" altLang="ja-JP" sz="1000" u="none">
            <a:solidFill>
              <a:sysClr val="windowText" lastClr="000000"/>
            </a:solidFill>
            <a:effectLst/>
            <a:latin typeface="+mn-lt"/>
            <a:ea typeface="+mn-ea"/>
            <a:cs typeface="+mn-cs"/>
          </a:endParaRPr>
        </a:p>
        <a:p>
          <a:r>
            <a:rPr kumimoji="1" lang="en-US" altLang="ja-JP" sz="1000" u="none">
              <a:solidFill>
                <a:sysClr val="windowText" lastClr="000000"/>
              </a:solidFill>
              <a:effectLst/>
              <a:latin typeface="+mn-lt"/>
              <a:ea typeface="+mn-ea"/>
              <a:cs typeface="+mn-cs"/>
            </a:rPr>
            <a:t>【</a:t>
          </a:r>
          <a:r>
            <a:rPr kumimoji="1" lang="ja-JP" altLang="ja-JP" sz="1000" u="none">
              <a:solidFill>
                <a:sysClr val="windowText" lastClr="000000"/>
              </a:solidFill>
              <a:effectLst/>
              <a:latin typeface="+mn-lt"/>
              <a:ea typeface="+mn-ea"/>
              <a:cs typeface="+mn-cs"/>
            </a:rPr>
            <a:t>特記事項</a:t>
          </a:r>
          <a:r>
            <a:rPr kumimoji="1" lang="en-US" altLang="ja-JP" sz="1000" u="none">
              <a:solidFill>
                <a:sysClr val="windowText" lastClr="000000"/>
              </a:solidFill>
              <a:effectLst/>
              <a:latin typeface="+mn-lt"/>
              <a:ea typeface="+mn-ea"/>
              <a:cs typeface="+mn-cs"/>
            </a:rPr>
            <a:t>】</a:t>
          </a:r>
          <a:endParaRPr lang="ja-JP" altLang="ja-JP" sz="1000" u="none">
            <a:solidFill>
              <a:sysClr val="windowText" lastClr="000000"/>
            </a:solidFill>
            <a:effectLst/>
          </a:endParaRPr>
        </a:p>
        <a:p>
          <a:r>
            <a:rPr kumimoji="1" lang="ja-JP" altLang="ja-JP" sz="1000" u="none">
              <a:solidFill>
                <a:sysClr val="windowText" lastClr="000000"/>
              </a:solidFill>
              <a:effectLst/>
              <a:latin typeface="+mn-lt"/>
              <a:ea typeface="+mn-ea"/>
              <a:cs typeface="+mn-cs"/>
            </a:rPr>
            <a:t>・</a:t>
          </a:r>
          <a:r>
            <a:rPr kumimoji="1" lang="ja-JP" altLang="en-US" sz="1000" u="none">
              <a:solidFill>
                <a:sysClr val="windowText" lastClr="000000"/>
              </a:solidFill>
              <a:effectLst/>
              <a:latin typeface="+mn-lt"/>
              <a:ea typeface="+mn-ea"/>
              <a:cs typeface="+mn-cs"/>
            </a:rPr>
            <a:t>顧客管理業務に不具合が多い</a:t>
          </a:r>
          <a:endParaRPr lang="ja-JP" altLang="ja-JP" sz="1000" u="none">
            <a:solidFill>
              <a:sysClr val="windowText" lastClr="000000"/>
            </a:solidFill>
            <a:effectLst/>
          </a:endParaRPr>
        </a:p>
        <a:p>
          <a:r>
            <a:rPr kumimoji="1" lang="ja-JP" altLang="ja-JP" sz="1000" u="none">
              <a:solidFill>
                <a:sysClr val="windowText" lastClr="000000"/>
              </a:solidFill>
              <a:effectLst/>
              <a:latin typeface="+mn-lt"/>
              <a:ea typeface="+mn-ea"/>
              <a:cs typeface="+mn-cs"/>
            </a:rPr>
            <a:t>　</a:t>
          </a:r>
          <a:r>
            <a:rPr kumimoji="1" lang="ja-JP" altLang="en-US" sz="1000" u="none">
              <a:solidFill>
                <a:sysClr val="windowText" lastClr="000000"/>
              </a:solidFill>
              <a:effectLst/>
              <a:latin typeface="+mn-lt"/>
              <a:ea typeface="+mn-ea"/>
              <a:cs typeface="+mn-cs"/>
            </a:rPr>
            <a:t>顧客管理業務で多くの不具合が見つかっている。元々改修・開発規模が大きい業務のため、多く検出されることは想定の通りだが、不具合の内容が改修箇所と既存の連携させる所に考慮漏れがありプログラムを修正する必要のあるケースが多く検知されている。</a:t>
          </a:r>
          <a:r>
            <a:rPr kumimoji="1" lang="ja-JP" altLang="en-US" sz="1000" b="0" u="none">
              <a:solidFill>
                <a:sysClr val="windowText" lastClr="000000"/>
              </a:solidFill>
              <a:effectLst/>
              <a:latin typeface="+mn-lt"/>
              <a:ea typeface="+mn-ea"/>
              <a:cs typeface="+mn-cs"/>
            </a:rPr>
            <a:t>原因を分析した結果、特定の担当者で製造されたプログラムに集中している。製造時に既存との連動箇所の確認が不十分であったことが起因であることが判明しているが、現状は結合試験の観点を全て消化することで発見可能な見込みとなっている。また、不具合自体も結合試験で発見すべき内容のみであり、発生した不具合を全て解消することで品質は担保されると判断している。</a:t>
          </a:r>
          <a:endParaRPr lang="ja-JP" altLang="ja-JP" sz="1000" b="0" u="none">
            <a:solidFill>
              <a:sysClr val="windowText" lastClr="000000"/>
            </a:solidFill>
            <a:effectLst/>
          </a:endParaRPr>
        </a:p>
        <a:p>
          <a:r>
            <a:rPr kumimoji="1" lang="ja-JP" altLang="ja-JP" sz="1000" u="none">
              <a:solidFill>
                <a:sysClr val="windowText" lastClr="000000"/>
              </a:solidFill>
              <a:effectLst/>
              <a:latin typeface="+mn-lt"/>
              <a:ea typeface="+mn-ea"/>
              <a:cs typeface="+mn-cs"/>
            </a:rPr>
            <a:t>・</a:t>
          </a:r>
          <a:r>
            <a:rPr kumimoji="1" lang="ja-JP" altLang="en-US" sz="1000" u="none">
              <a:solidFill>
                <a:sysClr val="windowText" lastClr="000000"/>
              </a:solidFill>
              <a:effectLst/>
              <a:latin typeface="+mn-lt"/>
              <a:ea typeface="+mn-ea"/>
              <a:cs typeface="+mn-cs"/>
            </a:rPr>
            <a:t>契約管理</a:t>
          </a:r>
          <a:r>
            <a:rPr kumimoji="1" lang="en-US" altLang="ja-JP" sz="1000" u="none">
              <a:solidFill>
                <a:sysClr val="windowText" lastClr="000000"/>
              </a:solidFill>
              <a:effectLst/>
              <a:latin typeface="+mn-lt"/>
              <a:ea typeface="+mn-ea"/>
              <a:cs typeface="+mn-cs"/>
            </a:rPr>
            <a:t>(</a:t>
          </a:r>
          <a:r>
            <a:rPr kumimoji="1" lang="ja-JP" altLang="en-US" sz="1000" u="none">
              <a:solidFill>
                <a:sysClr val="windowText" lastClr="000000"/>
              </a:solidFill>
              <a:effectLst/>
              <a:latin typeface="+mn-lt"/>
              <a:ea typeface="+mn-ea"/>
              <a:cs typeface="+mn-cs"/>
            </a:rPr>
            <a:t>アドオン</a:t>
          </a:r>
          <a:r>
            <a:rPr kumimoji="1" lang="en-US" altLang="ja-JP" sz="1000" u="none">
              <a:solidFill>
                <a:sysClr val="windowText" lastClr="000000"/>
              </a:solidFill>
              <a:effectLst/>
              <a:latin typeface="+mn-lt"/>
              <a:ea typeface="+mn-ea"/>
              <a:cs typeface="+mn-cs"/>
            </a:rPr>
            <a:t>)</a:t>
          </a:r>
          <a:r>
            <a:rPr kumimoji="1" lang="ja-JP" altLang="en-US" sz="1000" u="none">
              <a:solidFill>
                <a:sysClr val="windowText" lastClr="000000"/>
              </a:solidFill>
              <a:effectLst/>
              <a:latin typeface="+mn-lt"/>
              <a:ea typeface="+mn-ea"/>
              <a:cs typeface="+mn-cs"/>
            </a:rPr>
            <a:t>に不具合が多い</a:t>
          </a:r>
          <a:endParaRPr lang="ja-JP" altLang="ja-JP" sz="1000" u="none">
            <a:solidFill>
              <a:sysClr val="windowText" lastClr="000000"/>
            </a:solidFill>
            <a:effectLst/>
          </a:endParaRPr>
        </a:p>
        <a:p>
          <a:r>
            <a:rPr kumimoji="1" lang="ja-JP" altLang="ja-JP" sz="1000" u="none">
              <a:solidFill>
                <a:sysClr val="windowText" lastClr="000000"/>
              </a:solidFill>
              <a:effectLst/>
              <a:latin typeface="+mn-lt"/>
              <a:ea typeface="+mn-ea"/>
              <a:cs typeface="+mn-cs"/>
            </a:rPr>
            <a:t>　</a:t>
          </a:r>
          <a:r>
            <a:rPr kumimoji="1" lang="ja-JP" altLang="en-US" sz="1000" u="none">
              <a:solidFill>
                <a:sysClr val="windowText" lastClr="000000"/>
              </a:solidFill>
              <a:effectLst/>
              <a:latin typeface="+mn-lt"/>
              <a:ea typeface="+mn-ea"/>
              <a:cs typeface="+mn-cs"/>
            </a:rPr>
            <a:t>新照会側のフレームワーク機能を移植した部分に不具合が多めに出ている。この機能は設計情報としては無く、ソースから読み解き、弊社側のフレームワークへ移植をしているが、ソースを読み解いただけでは把握しきれない連動部分などが、実際に動作させることで見つけている。これは想定通りのことであり、本試験にて十分に確認をすることで品質は確保できると判断している。</a:t>
          </a:r>
          <a:endParaRPr kumimoji="1" lang="en-US" altLang="ja-JP" sz="1000" u="none">
            <a:solidFill>
              <a:sysClr val="windowText" lastClr="000000"/>
            </a:solidFill>
            <a:effectLst/>
            <a:latin typeface="+mn-lt"/>
            <a:ea typeface="+mn-ea"/>
            <a:cs typeface="+mn-cs"/>
          </a:endParaRPr>
        </a:p>
        <a:p>
          <a:r>
            <a:rPr kumimoji="1" lang="ja-JP" altLang="en-US" sz="1000" u="none">
              <a:solidFill>
                <a:sysClr val="windowText" lastClr="000000"/>
              </a:solidFill>
              <a:effectLst/>
              <a:latin typeface="+mn-lt"/>
              <a:ea typeface="+mn-ea"/>
              <a:cs typeface="+mn-cs"/>
            </a:rPr>
            <a:t>・バッチ処理（</a:t>
          </a:r>
          <a:r>
            <a:rPr kumimoji="1" lang="en-US" altLang="ja-JP" sz="1000" u="none">
              <a:solidFill>
                <a:sysClr val="windowText" lastClr="000000"/>
              </a:solidFill>
              <a:effectLst/>
              <a:latin typeface="+mn-lt"/>
              <a:ea typeface="+mn-ea"/>
              <a:cs typeface="+mn-cs"/>
            </a:rPr>
            <a:t>GAIA</a:t>
          </a:r>
          <a:r>
            <a:rPr kumimoji="1" lang="ja-JP" altLang="en-US" sz="1000" u="none">
              <a:solidFill>
                <a:sysClr val="windowText" lastClr="000000"/>
              </a:solidFill>
              <a:effectLst/>
              <a:latin typeface="+mn-lt"/>
              <a:ea typeface="+mn-ea"/>
              <a:cs typeface="+mn-cs"/>
            </a:rPr>
            <a:t>保険顧客データ取込）で不具合が多い</a:t>
          </a:r>
          <a:endParaRPr kumimoji="1" lang="en-US" altLang="ja-JP" sz="1000" u="none">
            <a:solidFill>
              <a:sysClr val="windowText" lastClr="000000"/>
            </a:solidFill>
            <a:effectLst/>
            <a:latin typeface="+mn-lt"/>
            <a:ea typeface="+mn-ea"/>
            <a:cs typeface="+mn-cs"/>
          </a:endParaRPr>
        </a:p>
        <a:p>
          <a:r>
            <a:rPr kumimoji="1" lang="ja-JP" altLang="en-US" sz="1000" u="none">
              <a:solidFill>
                <a:sysClr val="windowText" lastClr="000000"/>
              </a:solidFill>
              <a:effectLst/>
              <a:latin typeface="+mn-lt"/>
              <a:ea typeface="+mn-ea"/>
              <a:cs typeface="+mn-cs"/>
            </a:rPr>
            <a:t>　当処理で、特に入力チェックエラーの実装漏れ・誤りが多発している。本不具合を検知するのは結合試験であるため、すり抜けには該当しないが、件数が多くなっている。これは、バッチ処理はフレームワークの機能を利用したチェックの実装が多いが、製造担当者がフレームワークの経験の浅い者であったため、十分な実装をすることができなかったと推測される。入力チェックエラーの試験観点は結合試験で網羅でき、かつ本試験はベテランメンバで実施をしているため、本事象に関するエラーは結合試験をやり切ることで全て解消することができると判断している。</a:t>
          </a:r>
          <a:endParaRPr kumimoji="1" lang="en-US" altLang="ja-JP" sz="1000" u="none">
            <a:solidFill>
              <a:sysClr val="windowText" lastClr="000000"/>
            </a:solidFill>
            <a:effectLst/>
            <a:latin typeface="+mn-lt"/>
            <a:ea typeface="+mn-ea"/>
            <a:cs typeface="+mn-cs"/>
          </a:endParaRPr>
        </a:p>
        <a:p>
          <a:r>
            <a:rPr kumimoji="1" lang="ja-JP" altLang="en-US" sz="1000" u="none">
              <a:solidFill>
                <a:sysClr val="windowText" lastClr="000000"/>
              </a:solidFill>
              <a:effectLst/>
              <a:latin typeface="+mn-lt"/>
              <a:ea typeface="+mn-ea"/>
              <a:cs typeface="+mn-cs"/>
            </a:rPr>
            <a:t>・詳細設計書の記述漏れや記述誤りが存在する</a:t>
          </a:r>
          <a:endParaRPr kumimoji="1" lang="en-US" altLang="ja-JP" sz="1000" u="none">
            <a:solidFill>
              <a:sysClr val="windowText" lastClr="000000"/>
            </a:solidFill>
            <a:effectLst/>
            <a:latin typeface="+mn-lt"/>
            <a:ea typeface="+mn-ea"/>
            <a:cs typeface="+mn-cs"/>
          </a:endParaRPr>
        </a:p>
        <a:p>
          <a:r>
            <a:rPr kumimoji="1" lang="ja-JP" altLang="en-US" sz="1000" u="none">
              <a:solidFill>
                <a:sysClr val="windowText" lastClr="000000"/>
              </a:solidFill>
              <a:effectLst/>
              <a:latin typeface="+mn-lt"/>
              <a:ea typeface="+mn-ea"/>
              <a:cs typeface="+mn-cs"/>
            </a:rPr>
            <a:t>　詳細設計書の漏れや誤りが散見されるが、主に上記のフレームワークの移植に該当する不具合が主である。ただし、それ以外の漏れや誤りも発見しており、設計書を修正しつつ、必要に応じて横展開も実施している。基本設計まで修正が及ぶ場合は、</a:t>
          </a:r>
          <a:r>
            <a:rPr kumimoji="1" lang="en-US" altLang="ja-JP" sz="1000" u="none">
              <a:solidFill>
                <a:sysClr val="windowText" lastClr="000000"/>
              </a:solidFill>
              <a:effectLst/>
              <a:latin typeface="+mn-lt"/>
              <a:ea typeface="+mn-ea"/>
              <a:cs typeface="+mn-cs"/>
            </a:rPr>
            <a:t>QA</a:t>
          </a:r>
          <a:r>
            <a:rPr kumimoji="1" lang="ja-JP" altLang="en-US" sz="1000" u="none">
              <a:solidFill>
                <a:sysClr val="windowText" lastClr="000000"/>
              </a:solidFill>
              <a:effectLst/>
              <a:latin typeface="+mn-lt"/>
              <a:ea typeface="+mn-ea"/>
              <a:cs typeface="+mn-cs"/>
            </a:rPr>
            <a:t>などで随時相談させていただく。</a:t>
          </a:r>
          <a:endParaRPr kumimoji="1" lang="en-US" altLang="ja-JP" sz="1000" u="none">
            <a:solidFill>
              <a:sysClr val="windowText" lastClr="000000"/>
            </a:solidFill>
            <a:effectLst/>
            <a:latin typeface="+mn-lt"/>
            <a:ea typeface="+mn-ea"/>
            <a:cs typeface="+mn-cs"/>
          </a:endParaRPr>
        </a:p>
        <a:p>
          <a:r>
            <a:rPr kumimoji="1" lang="ja-JP" altLang="ja-JP" sz="1000" u="none">
              <a:solidFill>
                <a:sysClr val="windowText" lastClr="000000"/>
              </a:solidFill>
              <a:effectLst/>
              <a:latin typeface="+mn-lt"/>
              <a:ea typeface="+mn-ea"/>
              <a:cs typeface="+mn-cs"/>
            </a:rPr>
            <a:t>・</a:t>
          </a:r>
          <a:r>
            <a:rPr kumimoji="1" lang="en-US" altLang="ja-JP" sz="1000" u="none">
              <a:solidFill>
                <a:sysClr val="windowText" lastClr="000000"/>
              </a:solidFill>
              <a:effectLst/>
              <a:latin typeface="+mn-lt"/>
              <a:ea typeface="+mn-ea"/>
              <a:cs typeface="+mn-cs"/>
            </a:rPr>
            <a:t>SI2/3</a:t>
          </a:r>
          <a:r>
            <a:rPr kumimoji="1" lang="ja-JP" altLang="ja-JP" sz="1000" u="none">
              <a:solidFill>
                <a:sysClr val="windowText" lastClr="000000"/>
              </a:solidFill>
              <a:effectLst/>
              <a:latin typeface="+mn-lt"/>
              <a:ea typeface="+mn-ea"/>
              <a:cs typeface="+mn-cs"/>
            </a:rPr>
            <a:t>の状況について</a:t>
          </a:r>
          <a:endParaRPr lang="ja-JP" altLang="ja-JP" sz="1000" u="none">
            <a:solidFill>
              <a:sysClr val="windowText" lastClr="000000"/>
            </a:solidFill>
            <a:effectLst/>
          </a:endParaRPr>
        </a:p>
        <a:p>
          <a:r>
            <a:rPr kumimoji="1" lang="ja-JP" altLang="ja-JP" sz="1000" u="none">
              <a:solidFill>
                <a:sysClr val="windowText" lastClr="000000"/>
              </a:solidFill>
              <a:effectLst/>
              <a:latin typeface="+mn-lt"/>
              <a:ea typeface="+mn-ea"/>
              <a:cs typeface="+mn-cs"/>
            </a:rPr>
            <a:t>　不具合は発生しているが、致命的なものは発生していない。バッチ→オンラインの機能で不具合が発生しているが、機能間結合として発見すべきものであり、問題は無いと判断している。</a:t>
          </a:r>
          <a:endParaRPr lang="ja-JP" altLang="ja-JP" sz="1000" u="none">
            <a:solidFill>
              <a:sysClr val="windowText" lastClr="000000"/>
            </a:solidFill>
            <a:effectLst/>
          </a:endParaRPr>
        </a:p>
        <a:p>
          <a:endParaRPr lang="ja-JP" altLang="ja-JP" sz="1000" u="none">
            <a:solidFill>
              <a:sysClr val="windowText" lastClr="000000"/>
            </a:solidFill>
            <a:effectLst/>
          </a:endParaRPr>
        </a:p>
      </xdr:txBody>
    </xdr:sp>
    <xdr:clientData/>
  </xdr:twoCellAnchor>
  <xdr:twoCellAnchor>
    <xdr:from>
      <xdr:col>1</xdr:col>
      <xdr:colOff>161925</xdr:colOff>
      <xdr:row>16</xdr:row>
      <xdr:rowOff>11206</xdr:rowOff>
    </xdr:from>
    <xdr:to>
      <xdr:col>13</xdr:col>
      <xdr:colOff>85725</xdr:colOff>
      <xdr:row>31</xdr:row>
      <xdr:rowOff>134469</xdr:rowOff>
    </xdr:to>
    <xdr:graphicFrame macro="">
      <xdr:nvGraphicFramePr>
        <xdr:cNvPr id="1944503" name="Chart1">
          <a:extLst>
            <a:ext uri="{FF2B5EF4-FFF2-40B4-BE49-F238E27FC236}">
              <a16:creationId xmlns:a16="http://schemas.microsoft.com/office/drawing/2014/main" id="{00000000-0008-0000-0400-0000B7AB1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167219</xdr:colOff>
      <xdr:row>46</xdr:row>
      <xdr:rowOff>5912</xdr:rowOff>
    </xdr:from>
    <xdr:to>
      <xdr:col>7</xdr:col>
      <xdr:colOff>317519</xdr:colOff>
      <xdr:row>58</xdr:row>
      <xdr:rowOff>51653</xdr:rowOff>
    </xdr:to>
    <xdr:graphicFrame macro="">
      <xdr:nvGraphicFramePr>
        <xdr:cNvPr id="14" name="Chart13">
          <a:extLst>
            <a:ext uri="{FF2B5EF4-FFF2-40B4-BE49-F238E27FC236}">
              <a16:creationId xmlns:a16="http://schemas.microsoft.com/office/drawing/2014/main" id="{00000000-0008-0000-04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154997</xdr:colOff>
      <xdr:row>41</xdr:row>
      <xdr:rowOff>123824</xdr:rowOff>
    </xdr:from>
    <xdr:to>
      <xdr:col>26</xdr:col>
      <xdr:colOff>476250</xdr:colOff>
      <xdr:row>88</xdr:row>
      <xdr:rowOff>0</xdr:rowOff>
    </xdr:to>
    <xdr:graphicFrame macro="">
      <xdr:nvGraphicFramePr>
        <xdr:cNvPr id="15" name="Chart14">
          <a:extLst>
            <a:ext uri="{FF2B5EF4-FFF2-40B4-BE49-F238E27FC236}">
              <a16:creationId xmlns:a16="http://schemas.microsoft.com/office/drawing/2014/main" id="{00000000-0008-0000-04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119594</xdr:colOff>
      <xdr:row>33</xdr:row>
      <xdr:rowOff>30725</xdr:rowOff>
    </xdr:from>
    <xdr:to>
      <xdr:col>7</xdr:col>
      <xdr:colOff>269894</xdr:colOff>
      <xdr:row>45</xdr:row>
      <xdr:rowOff>77434</xdr:rowOff>
    </xdr:to>
    <xdr:graphicFrame macro="">
      <xdr:nvGraphicFramePr>
        <xdr:cNvPr id="16" name="Chart15">
          <a:extLst>
            <a:ext uri="{FF2B5EF4-FFF2-40B4-BE49-F238E27FC236}">
              <a16:creationId xmlns:a16="http://schemas.microsoft.com/office/drawing/2014/main" id="{00000000-0008-0000-04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369793</xdr:colOff>
      <xdr:row>33</xdr:row>
      <xdr:rowOff>40250</xdr:rowOff>
    </xdr:from>
    <xdr:to>
      <xdr:col>13</xdr:col>
      <xdr:colOff>60652</xdr:colOff>
      <xdr:row>45</xdr:row>
      <xdr:rowOff>86960</xdr:rowOff>
    </xdr:to>
    <xdr:graphicFrame macro="">
      <xdr:nvGraphicFramePr>
        <xdr:cNvPr id="17" name="Chart16">
          <a:extLst>
            <a:ext uri="{FF2B5EF4-FFF2-40B4-BE49-F238E27FC236}">
              <a16:creationId xmlns:a16="http://schemas.microsoft.com/office/drawing/2014/main" id="{00000000-0008-0000-04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xdr:from>
          <xdr:col>10</xdr:col>
          <xdr:colOff>123825</xdr:colOff>
          <xdr:row>26</xdr:row>
          <xdr:rowOff>76200</xdr:rowOff>
        </xdr:from>
        <xdr:to>
          <xdr:col>12</xdr:col>
          <xdr:colOff>466725</xdr:colOff>
          <xdr:row>29</xdr:row>
          <xdr:rowOff>38100</xdr:rowOff>
        </xdr:to>
        <xdr:sp macro="" textlink="">
          <xdr:nvSpPr>
            <xdr:cNvPr id="1944543" name="Button4063" hidden="1">
              <a:extLst>
                <a:ext uri="{63B3BB69-23CF-44E3-9099-C40C66FF867C}">
                  <a14:compatExt spid="_x0000_s1944543"/>
                </a:ext>
                <a:ext uri="{FF2B5EF4-FFF2-40B4-BE49-F238E27FC236}">
                  <a16:creationId xmlns:a16="http://schemas.microsoft.com/office/drawing/2014/main" id="{00000000-0008-0000-0200-0000DFAB1D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不具合予測</a:t>
              </a:r>
            </a:p>
            <a:p>
              <a:pPr algn="ctr" rtl="0">
                <a:defRPr sz="1000"/>
              </a:pPr>
              <a:r>
                <a:rPr lang="ja-JP" altLang="en-US" sz="1100" b="0" i="0" u="none" strike="noStrike" baseline="0">
                  <a:solidFill>
                    <a:srgbClr val="000000"/>
                  </a:solidFill>
                  <a:latin typeface="ＭＳ Ｐゴシック"/>
                  <a:ea typeface="ＭＳ Ｐゴシック"/>
                </a:rPr>
                <a:t>計算ボタン</a:t>
              </a:r>
            </a:p>
          </xdr:txBody>
        </xdr:sp>
        <xdr:clientData fPrintsWithSheet="0"/>
      </xdr:twoCellAnchor>
    </mc:Choice>
    <mc:Fallback/>
  </mc:AlternateContent>
  <xdr:twoCellAnchor>
    <xdr:from>
      <xdr:col>10</xdr:col>
      <xdr:colOff>127001</xdr:colOff>
      <xdr:row>29</xdr:row>
      <xdr:rowOff>31751</xdr:rowOff>
    </xdr:from>
    <xdr:to>
      <xdr:col>13</xdr:col>
      <xdr:colOff>158750</xdr:colOff>
      <xdr:row>31</xdr:row>
      <xdr:rowOff>137584</xdr:rowOff>
    </xdr:to>
    <xdr:sp macro="" textlink="">
      <xdr:nvSpPr>
        <xdr:cNvPr id="2" name="Rectangle1">
          <a:extLst>
            <a:ext uri="{FF2B5EF4-FFF2-40B4-BE49-F238E27FC236}">
              <a16:creationId xmlns:a16="http://schemas.microsoft.com/office/drawing/2014/main" id="{00000000-0008-0000-0400-000002000000}"/>
            </a:ext>
          </a:extLst>
        </xdr:cNvPr>
        <xdr:cNvSpPr/>
      </xdr:nvSpPr>
      <xdr:spPr>
        <a:xfrm>
          <a:off x="6783918" y="5228168"/>
          <a:ext cx="1947332" cy="44449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800">
              <a:solidFill>
                <a:sysClr val="windowText" lastClr="000000"/>
              </a:solidFill>
            </a:rPr>
            <a:t>(</a:t>
          </a:r>
          <a:r>
            <a:rPr kumimoji="1" lang="ja-JP" altLang="en-US" sz="800">
              <a:solidFill>
                <a:sysClr val="windowText" lastClr="000000"/>
              </a:solidFill>
            </a:rPr>
            <a:t>不具合予測は</a:t>
          </a:r>
          <a:r>
            <a:rPr kumimoji="1" lang="en-US" altLang="ja-JP" sz="800">
              <a:solidFill>
                <a:sysClr val="windowText" lastClr="000000"/>
              </a:solidFill>
            </a:rPr>
            <a:t>5</a:t>
          </a:r>
          <a:r>
            <a:rPr kumimoji="1" lang="ja-JP" altLang="en-US" sz="800">
              <a:solidFill>
                <a:sysClr val="windowText" lastClr="000000"/>
              </a:solidFill>
            </a:rPr>
            <a:t>週目以降から有効</a:t>
          </a:r>
          <a:r>
            <a:rPr kumimoji="1" lang="en-US" altLang="ja-JP" sz="800">
              <a:solidFill>
                <a:sysClr val="windowText" lastClr="000000"/>
              </a:solidFill>
            </a:rPr>
            <a:t>)</a:t>
          </a:r>
        </a:p>
        <a:p>
          <a:pPr algn="l"/>
          <a:r>
            <a:rPr kumimoji="1" lang="en-US" altLang="ja-JP" sz="800">
              <a:solidFill>
                <a:sysClr val="windowText" lastClr="000000"/>
              </a:solidFill>
            </a:rPr>
            <a:t>※</a:t>
          </a:r>
          <a:r>
            <a:rPr kumimoji="1" lang="ja-JP" altLang="en-US" sz="800">
              <a:solidFill>
                <a:sysClr val="windowText" lastClr="000000"/>
              </a:solidFill>
            </a:rPr>
            <a:t>ﾏｽﾀにて設定</a:t>
          </a:r>
        </a:p>
      </xdr:txBody>
    </xdr:sp>
    <xdr:clientData/>
  </xdr:twoCellAnchor>
  <xdr:twoCellAnchor>
    <xdr:from>
      <xdr:col>7</xdr:col>
      <xdr:colOff>370415</xdr:colOff>
      <xdr:row>46</xdr:row>
      <xdr:rowOff>10584</xdr:rowOff>
    </xdr:from>
    <xdr:to>
      <xdr:col>13</xdr:col>
      <xdr:colOff>63499</xdr:colOff>
      <xdr:row>58</xdr:row>
      <xdr:rowOff>42334</xdr:rowOff>
    </xdr:to>
    <xdr:graphicFrame macro="">
      <xdr:nvGraphicFramePr>
        <xdr:cNvPr id="12" name="Chart11">
          <a:extLst>
            <a:ext uri="{FF2B5EF4-FFF2-40B4-BE49-F238E27FC236}">
              <a16:creationId xmlns:a16="http://schemas.microsoft.com/office/drawing/2014/main" id="{00000000-0008-0000-04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169333</xdr:colOff>
          <xdr:row>9</xdr:row>
          <xdr:rowOff>48713</xdr:rowOff>
        </xdr:from>
        <xdr:to>
          <xdr:col>12</xdr:col>
          <xdr:colOff>677334</xdr:colOff>
          <xdr:row>14</xdr:row>
          <xdr:rowOff>6369</xdr:rowOff>
        </xdr:to>
        <xdr:pic>
          <xdr:nvPicPr>
            <xdr:cNvPr id="13" name="Pict12">
              <a:extLst>
                <a:ext uri="{FF2B5EF4-FFF2-40B4-BE49-F238E27FC236}">
                  <a16:creationId xmlns:a16="http://schemas.microsoft.com/office/drawing/2014/main" id="{00000000-0008-0000-0400-00000D000000}"/>
                </a:ext>
              </a:extLst>
            </xdr:cNvPr>
            <xdr:cNvPicPr>
              <a:picLocks noChangeAspect="1" noChangeArrowheads="1"/>
              <a:extLst>
                <a:ext uri="{84589F7E-364E-4C9E-8A38-B11213B215E9}">
                  <a14:cameraTool cellRange="analysis_chart_TEST" spid="_x0000_s1992657"/>
                </a:ext>
              </a:extLst>
            </xdr:cNvPicPr>
          </xdr:nvPicPr>
          <xdr:blipFill>
            <a:blip xmlns:r="http://schemas.openxmlformats.org/officeDocument/2006/relationships" r:embed="rId7"/>
            <a:srcRect/>
            <a:stretch>
              <a:fillRect/>
            </a:stretch>
          </xdr:blipFill>
          <xdr:spPr bwMode="auto">
            <a:xfrm>
              <a:off x="6826250" y="1625630"/>
              <a:ext cx="1735667" cy="937673"/>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1</xdr:col>
      <xdr:colOff>168088</xdr:colOff>
      <xdr:row>86</xdr:row>
      <xdr:rowOff>47626</xdr:rowOff>
    </xdr:from>
    <xdr:to>
      <xdr:col>13</xdr:col>
      <xdr:colOff>44824</xdr:colOff>
      <xdr:row>97</xdr:row>
      <xdr:rowOff>85725</xdr:rowOff>
    </xdr:to>
    <xdr:sp macro="" textlink="">
      <xdr:nvSpPr>
        <xdr:cNvPr id="18" name="Box40">
          <a:extLst>
            <a:ext uri="{FF2B5EF4-FFF2-40B4-BE49-F238E27FC236}">
              <a16:creationId xmlns:a16="http://schemas.microsoft.com/office/drawing/2014/main" id="{00000000-0008-0000-0400-000012000000}"/>
            </a:ext>
          </a:extLst>
        </xdr:cNvPr>
        <xdr:cNvSpPr/>
      </xdr:nvSpPr>
      <xdr:spPr>
        <a:xfrm>
          <a:off x="282388" y="14535151"/>
          <a:ext cx="8325411" cy="1924049"/>
        </a:xfrm>
        <a:prstGeom prst="rect">
          <a:avLst/>
        </a:prstGeom>
        <a:solidFill>
          <a:schemeClr val="bg1"/>
        </a:solidFill>
        <a:ln w="9525">
          <a:solidFill>
            <a:schemeClr val="bg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kumimoji="1" lang="en-US" altLang="ja-JP" sz="1000" u="none">
              <a:solidFill>
                <a:sysClr val="windowText" lastClr="000000"/>
              </a:solidFill>
              <a:effectLst/>
              <a:latin typeface="+mn-lt"/>
              <a:ea typeface="+mn-ea"/>
              <a:cs typeface="+mn-cs"/>
            </a:rPr>
            <a:t>【</a:t>
          </a:r>
          <a:r>
            <a:rPr kumimoji="1" lang="ja-JP" altLang="ja-JP" sz="1000" u="none">
              <a:solidFill>
                <a:sysClr val="windowText" lastClr="000000"/>
              </a:solidFill>
              <a:effectLst/>
              <a:latin typeface="+mn-lt"/>
              <a:ea typeface="+mn-ea"/>
              <a:cs typeface="+mn-cs"/>
            </a:rPr>
            <a:t>特記事項</a:t>
          </a:r>
          <a:r>
            <a:rPr kumimoji="1" lang="en-US" altLang="ja-JP" sz="1000" u="none">
              <a:solidFill>
                <a:sysClr val="windowText" lastClr="000000"/>
              </a:solidFill>
              <a:effectLst/>
              <a:latin typeface="+mn-lt"/>
              <a:ea typeface="+mn-ea"/>
              <a:cs typeface="+mn-cs"/>
            </a:rPr>
            <a:t>】</a:t>
          </a:r>
          <a:r>
            <a:rPr kumimoji="1" lang="ja-JP" altLang="en-US" sz="1000" u="none">
              <a:solidFill>
                <a:sysClr val="windowText" lastClr="000000"/>
              </a:solidFill>
              <a:effectLst/>
              <a:latin typeface="+mn-lt"/>
              <a:ea typeface="+mn-ea"/>
              <a:cs typeface="+mn-cs"/>
            </a:rPr>
            <a:t>（続き）</a:t>
          </a:r>
          <a:endParaRPr lang="ja-JP" altLang="ja-JP" sz="1000" u="none">
            <a:solidFill>
              <a:sysClr val="windowText" lastClr="000000"/>
            </a:solidFill>
            <a:effectLst/>
          </a:endParaRPr>
        </a:p>
        <a:p>
          <a:r>
            <a:rPr kumimoji="1" lang="ja-JP" altLang="en-US" sz="1000" u="none">
              <a:solidFill>
                <a:sysClr val="windowText" lastClr="000000"/>
              </a:solidFill>
              <a:effectLst/>
              <a:latin typeface="+mn-lt"/>
              <a:ea typeface="+mn-ea"/>
              <a:cs typeface="+mn-cs"/>
            </a:rPr>
            <a:t>・アドオン開発にのみ焦点を当てた場合</a:t>
          </a:r>
          <a:endParaRPr kumimoji="1" lang="en-US" altLang="ja-JP" sz="1000" u="none">
            <a:solidFill>
              <a:sysClr val="windowText" lastClr="000000"/>
            </a:solidFill>
            <a:effectLst/>
            <a:latin typeface="+mn-lt"/>
            <a:ea typeface="+mn-ea"/>
            <a:cs typeface="+mn-cs"/>
          </a:endParaRPr>
        </a:p>
        <a:p>
          <a:r>
            <a:rPr kumimoji="1" lang="ja-JP" altLang="en-US" sz="1000" u="none">
              <a:solidFill>
                <a:sysClr val="windowText" lastClr="000000"/>
              </a:solidFill>
              <a:effectLst/>
              <a:latin typeface="+mn-lt"/>
              <a:ea typeface="+mn-ea"/>
              <a:cs typeface="+mn-cs"/>
            </a:rPr>
            <a:t>　試験規模：</a:t>
          </a:r>
          <a:r>
            <a:rPr kumimoji="1" lang="en-US" altLang="ja-JP" sz="1000" u="none">
              <a:solidFill>
                <a:sysClr val="windowText" lastClr="000000"/>
              </a:solidFill>
              <a:effectLst/>
              <a:latin typeface="+mn-lt"/>
              <a:ea typeface="+mn-ea"/>
              <a:cs typeface="+mn-cs"/>
            </a:rPr>
            <a:t>41.1KL</a:t>
          </a:r>
          <a:r>
            <a:rPr kumimoji="1" lang="ja-JP" altLang="en-US" sz="1000" u="none">
              <a:solidFill>
                <a:sysClr val="windowText" lastClr="000000"/>
              </a:solidFill>
              <a:effectLst/>
              <a:latin typeface="+mn-lt"/>
              <a:ea typeface="+mn-ea"/>
              <a:cs typeface="+mn-cs"/>
            </a:rPr>
            <a:t>、試験項目数：</a:t>
          </a:r>
          <a:r>
            <a:rPr kumimoji="1" lang="en-US" altLang="ja-JP" sz="1000" u="none">
              <a:solidFill>
                <a:sysClr val="windowText" lastClr="000000"/>
              </a:solidFill>
              <a:effectLst/>
              <a:latin typeface="+mn-lt"/>
              <a:ea typeface="+mn-ea"/>
              <a:cs typeface="+mn-cs"/>
            </a:rPr>
            <a:t>1,585</a:t>
          </a:r>
          <a:r>
            <a:rPr kumimoji="1" lang="ja-JP" altLang="en-US" sz="1000" u="none">
              <a:solidFill>
                <a:sysClr val="windowText" lastClr="000000"/>
              </a:solidFill>
              <a:effectLst/>
              <a:latin typeface="+mn-lt"/>
              <a:ea typeface="+mn-ea"/>
              <a:cs typeface="+mn-cs"/>
            </a:rPr>
            <a:t>件、試験密度：</a:t>
          </a:r>
          <a:r>
            <a:rPr kumimoji="1" lang="en-US" altLang="ja-JP" sz="1000" u="none">
              <a:solidFill>
                <a:sysClr val="windowText" lastClr="000000"/>
              </a:solidFill>
              <a:effectLst/>
              <a:latin typeface="+mn-lt"/>
              <a:ea typeface="+mn-ea"/>
              <a:cs typeface="+mn-cs"/>
            </a:rPr>
            <a:t>38.6(</a:t>
          </a:r>
          <a:r>
            <a:rPr kumimoji="1" lang="ja-JP" altLang="en-US" sz="1000" u="none">
              <a:solidFill>
                <a:sysClr val="windowText" lastClr="000000"/>
              </a:solidFill>
              <a:effectLst/>
              <a:latin typeface="+mn-lt"/>
              <a:ea typeface="+mn-ea"/>
              <a:cs typeface="+mn-cs"/>
            </a:rPr>
            <a:t>上限越え</a:t>
          </a:r>
          <a:r>
            <a:rPr kumimoji="1" lang="en-US" altLang="ja-JP" sz="1000" u="none">
              <a:solidFill>
                <a:sysClr val="windowText" lastClr="000000"/>
              </a:solidFill>
              <a:effectLst/>
              <a:latin typeface="+mn-lt"/>
              <a:ea typeface="+mn-ea"/>
              <a:cs typeface="+mn-cs"/>
            </a:rPr>
            <a:t>)</a:t>
          </a:r>
          <a:r>
            <a:rPr kumimoji="1" lang="ja-JP" altLang="en-US" sz="1000" u="none">
              <a:solidFill>
                <a:sysClr val="windowText" lastClr="000000"/>
              </a:solidFill>
              <a:effectLst/>
              <a:latin typeface="+mn-lt"/>
              <a:ea typeface="+mn-ea"/>
              <a:cs typeface="+mn-cs"/>
            </a:rPr>
            <a:t>、不具合数：</a:t>
          </a:r>
          <a:r>
            <a:rPr kumimoji="1" lang="en-US" altLang="ja-JP" sz="1000" u="none">
              <a:solidFill>
                <a:sysClr val="windowText" lastClr="000000"/>
              </a:solidFill>
              <a:effectLst/>
              <a:latin typeface="+mn-lt"/>
              <a:ea typeface="+mn-ea"/>
              <a:cs typeface="+mn-cs"/>
            </a:rPr>
            <a:t>78</a:t>
          </a:r>
          <a:r>
            <a:rPr kumimoji="1" lang="ja-JP" altLang="en-US" sz="1000" u="none">
              <a:solidFill>
                <a:sysClr val="windowText" lastClr="000000"/>
              </a:solidFill>
              <a:effectLst/>
              <a:latin typeface="+mn-lt"/>
              <a:ea typeface="+mn-ea"/>
              <a:cs typeface="+mn-cs"/>
            </a:rPr>
            <a:t>件、不具合密度：</a:t>
          </a:r>
          <a:r>
            <a:rPr kumimoji="1" lang="en-US" altLang="ja-JP" sz="1000" u="none">
              <a:solidFill>
                <a:sysClr val="windowText" lastClr="000000"/>
              </a:solidFill>
              <a:effectLst/>
              <a:latin typeface="+mn-lt"/>
              <a:ea typeface="+mn-ea"/>
              <a:cs typeface="+mn-cs"/>
            </a:rPr>
            <a:t>1.90(</a:t>
          </a:r>
          <a:r>
            <a:rPr kumimoji="1" lang="ja-JP" altLang="en-US" sz="1000" u="none">
              <a:solidFill>
                <a:sysClr val="windowText" lastClr="000000"/>
              </a:solidFill>
              <a:effectLst/>
              <a:latin typeface="+mn-lt"/>
              <a:ea typeface="+mn-ea"/>
              <a:cs typeface="+mn-cs"/>
            </a:rPr>
            <a:t>指標値内</a:t>
          </a:r>
          <a:r>
            <a:rPr kumimoji="1" lang="en-US" altLang="ja-JP" sz="1000" u="none">
              <a:solidFill>
                <a:sysClr val="windowText" lastClr="000000"/>
              </a:solidFill>
              <a:effectLst/>
              <a:latin typeface="+mn-lt"/>
              <a:ea typeface="+mn-ea"/>
              <a:cs typeface="+mn-cs"/>
            </a:rPr>
            <a:t>)</a:t>
          </a:r>
        </a:p>
        <a:p>
          <a:r>
            <a:rPr kumimoji="1" lang="ja-JP" altLang="en-US" sz="1000" u="none">
              <a:solidFill>
                <a:sysClr val="windowText" lastClr="000000"/>
              </a:solidFill>
              <a:effectLst/>
              <a:latin typeface="+mn-lt"/>
              <a:ea typeface="+mn-ea"/>
              <a:cs typeface="+mn-cs"/>
            </a:rPr>
            <a:t>　試験は十分に実施できており、また不具合も指標値内に収まっており、問題はないと判断できる。</a:t>
          </a:r>
          <a:endParaRPr kumimoji="1" lang="en-US" altLang="ja-JP" sz="1000" u="none">
            <a:solidFill>
              <a:sysClr val="windowText" lastClr="000000"/>
            </a:solidFill>
            <a:effectLst/>
            <a:latin typeface="+mn-lt"/>
            <a:ea typeface="+mn-ea"/>
            <a:cs typeface="+mn-cs"/>
          </a:endParaRPr>
        </a:p>
        <a:p>
          <a:r>
            <a:rPr kumimoji="1" lang="ja-JP" altLang="en-US" sz="1000" u="none">
              <a:solidFill>
                <a:sysClr val="windowText" lastClr="000000"/>
              </a:solidFill>
              <a:effectLst/>
              <a:latin typeface="+mn-lt"/>
              <a:ea typeface="+mn-ea"/>
              <a:cs typeface="+mn-cs"/>
            </a:rPr>
            <a:t>　定量分析としては特段問題はなく、定性分析は上記に包含されるため、割愛。</a:t>
          </a:r>
          <a:endParaRPr kumimoji="1" lang="en-US" altLang="ja-JP" sz="1000" u="none">
            <a:solidFill>
              <a:sysClr val="windowText" lastClr="000000"/>
            </a:solidFill>
            <a:effectLst/>
            <a:latin typeface="+mn-lt"/>
            <a:ea typeface="+mn-ea"/>
            <a:cs typeface="+mn-cs"/>
          </a:endParaRPr>
        </a:p>
        <a:p>
          <a:r>
            <a:rPr kumimoji="1" lang="ja-JP" altLang="en-US" sz="1000" u="none">
              <a:solidFill>
                <a:sysClr val="windowText" lastClr="000000"/>
              </a:solidFill>
              <a:effectLst/>
              <a:latin typeface="+mn-lt"/>
              <a:ea typeface="+mn-ea"/>
              <a:cs typeface="+mn-cs"/>
            </a:rPr>
            <a:t>・バグ密度の下限割れについて</a:t>
          </a:r>
          <a:endParaRPr kumimoji="1" lang="en-US" altLang="ja-JP" sz="1000" u="none">
            <a:solidFill>
              <a:sysClr val="windowText" lastClr="000000"/>
            </a:solidFill>
            <a:effectLst/>
            <a:latin typeface="+mn-lt"/>
            <a:ea typeface="+mn-ea"/>
            <a:cs typeface="+mn-cs"/>
          </a:endParaRPr>
        </a:p>
        <a:p>
          <a:r>
            <a:rPr kumimoji="1" lang="ja-JP" altLang="en-US" sz="1000" u="none">
              <a:solidFill>
                <a:sysClr val="windowText" lastClr="000000"/>
              </a:solidFill>
              <a:effectLst/>
              <a:latin typeface="+mn-lt"/>
              <a:ea typeface="+mn-ea"/>
              <a:cs typeface="+mn-cs"/>
            </a:rPr>
            <a:t>　以下のプロジェクト特性を鑑み、バグ密度が下限割れでも品質的に問題は無いと想定する。</a:t>
          </a:r>
          <a:endParaRPr kumimoji="1" lang="en-US" altLang="ja-JP" sz="1000" u="none">
            <a:solidFill>
              <a:sysClr val="windowText" lastClr="000000"/>
            </a:solidFill>
            <a:effectLst/>
            <a:latin typeface="+mn-lt"/>
            <a:ea typeface="+mn-ea"/>
            <a:cs typeface="+mn-cs"/>
          </a:endParaRPr>
        </a:p>
        <a:p>
          <a:r>
            <a:rPr kumimoji="1" lang="ja-JP" altLang="en-US" sz="1000" u="none">
              <a:solidFill>
                <a:sysClr val="windowText" lastClr="000000"/>
              </a:solidFill>
              <a:effectLst/>
              <a:latin typeface="+mn-lt"/>
              <a:ea typeface="+mn-ea"/>
              <a:cs typeface="+mn-cs"/>
            </a:rPr>
            <a:t>　カスタマイズ開発は、既存機能との結合部分の試験を多く実施する必要があり、その分テスト密度は高くなることが予想されるが、既存機能のバグは無い前提に立つと、カスタマイズ部分にのみバグが発生することになり、指標値よりも低くなることが想定される。</a:t>
          </a:r>
          <a:endParaRPr kumimoji="1" lang="en-US" altLang="ja-JP" sz="1000" u="none">
            <a:solidFill>
              <a:sysClr val="windowText" lastClr="000000"/>
            </a:solidFill>
            <a:effectLst/>
            <a:latin typeface="+mn-lt"/>
            <a:ea typeface="+mn-ea"/>
            <a:cs typeface="+mn-cs"/>
          </a:endParaRPr>
        </a:p>
        <a:p>
          <a:r>
            <a:rPr kumimoji="1" lang="ja-JP" altLang="en-US" sz="1000" u="none">
              <a:solidFill>
                <a:sysClr val="windowText" lastClr="000000"/>
              </a:solidFill>
              <a:effectLst/>
              <a:latin typeface="+mn-lt"/>
              <a:ea typeface="+mn-ea"/>
              <a:cs typeface="+mn-cs"/>
            </a:rPr>
            <a:t>　アドオン開発は、本来であれば指標値に収まることが理想だが、本開発では現行システムの設計書およびプログラムの提供を受け、本システム用に移植する開発手法であることから、業務的なバグは少なくなり移植時のバグに限られることが予測され、指標値の下限寄りとなることが予想される。</a:t>
          </a:r>
          <a:endParaRPr lang="ja-JP" altLang="ja-JP" sz="1000" u="none">
            <a:solidFill>
              <a:sysClr val="windowText" lastClr="000000"/>
            </a:solidFill>
            <a:effectLst/>
          </a:endParaRPr>
        </a:p>
      </xdr:txBody>
    </xdr:sp>
    <xdr:clientData/>
  </xdr:twoCellAnchor>
  <xdr:twoCellAnchor>
    <xdr:from>
      <xdr:col>22</xdr:col>
      <xdr:colOff>682623</xdr:colOff>
      <xdr:row>9</xdr:row>
      <xdr:rowOff>111125</xdr:rowOff>
    </xdr:from>
    <xdr:to>
      <xdr:col>34</xdr:col>
      <xdr:colOff>55562</xdr:colOff>
      <xdr:row>33</xdr:row>
      <xdr:rowOff>150813</xdr:rowOff>
    </xdr:to>
    <xdr:graphicFrame macro="">
      <xdr:nvGraphicFramePr>
        <xdr:cNvPr id="7" name="Chart13">
          <a:extLst>
            <a:ext uri="{FF2B5EF4-FFF2-40B4-BE49-F238E27FC236}">
              <a16:creationId xmlns:a16="http://schemas.microsoft.com/office/drawing/2014/main" id="{81492ED5-45FD-4444-ABC3-C76A92741BE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10</xdr:col>
      <xdr:colOff>190500</xdr:colOff>
      <xdr:row>4</xdr:row>
      <xdr:rowOff>9525</xdr:rowOff>
    </xdr:from>
    <xdr:to>
      <xdr:col>10</xdr:col>
      <xdr:colOff>447675</xdr:colOff>
      <xdr:row>5</xdr:row>
      <xdr:rowOff>104775</xdr:rowOff>
    </xdr:to>
    <xdr:pic>
      <xdr:nvPicPr>
        <xdr:cNvPr id="4" name="Pict3">
          <a:extLst>
            <a:ext uri="{FF2B5EF4-FFF2-40B4-BE49-F238E27FC236}">
              <a16:creationId xmlns:a16="http://schemas.microsoft.com/office/drawing/2014/main" id="{00000000-0008-0000-05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553325" y="704850"/>
          <a:ext cx="257175"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485775</xdr:colOff>
      <xdr:row>11</xdr:row>
      <xdr:rowOff>19050</xdr:rowOff>
    </xdr:from>
    <xdr:to>
      <xdr:col>4</xdr:col>
      <xdr:colOff>733425</xdr:colOff>
      <xdr:row>12</xdr:row>
      <xdr:rowOff>0</xdr:rowOff>
    </xdr:to>
    <xdr:sp macro="" textlink="">
      <xdr:nvSpPr>
        <xdr:cNvPr id="2" name="Pict1">
          <a:extLst>
            <a:ext uri="{FF2B5EF4-FFF2-40B4-BE49-F238E27FC236}">
              <a16:creationId xmlns:a16="http://schemas.microsoft.com/office/drawing/2014/main" id="{00000000-0008-0000-0500-000002000000}"/>
            </a:ext>
          </a:extLst>
        </xdr:cNvPr>
        <xdr:cNvSpPr/>
      </xdr:nvSpPr>
      <xdr:spPr>
        <a:xfrm>
          <a:off x="3724275" y="1924050"/>
          <a:ext cx="247650" cy="152400"/>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21</xdr:col>
      <xdr:colOff>770283</xdr:colOff>
      <xdr:row>2</xdr:row>
      <xdr:rowOff>16565</xdr:rowOff>
    </xdr:from>
    <xdr:to>
      <xdr:col>29</xdr:col>
      <xdr:colOff>554935</xdr:colOff>
      <xdr:row>5</xdr:row>
      <xdr:rowOff>91109</xdr:rowOff>
    </xdr:to>
    <xdr:sp macro="" textlink="">
      <xdr:nvSpPr>
        <xdr:cNvPr id="2" name="テキスト ボックス 1">
          <a:extLst>
            <a:ext uri="{FF2B5EF4-FFF2-40B4-BE49-F238E27FC236}">
              <a16:creationId xmlns:a16="http://schemas.microsoft.com/office/drawing/2014/main" id="{877A1E3C-57D6-8D4A-5BA2-9273DA38EC93}"/>
            </a:ext>
          </a:extLst>
        </xdr:cNvPr>
        <xdr:cNvSpPr txBox="1"/>
      </xdr:nvSpPr>
      <xdr:spPr>
        <a:xfrm>
          <a:off x="23009087" y="414130"/>
          <a:ext cx="6940826" cy="64604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t>機能・テスト観点・テスト内容は各社カスタマイズしてください。</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3</xdr:col>
      <xdr:colOff>533400</xdr:colOff>
      <xdr:row>14</xdr:row>
      <xdr:rowOff>76200</xdr:rowOff>
    </xdr:from>
    <xdr:to>
      <xdr:col>7</xdr:col>
      <xdr:colOff>180975</xdr:colOff>
      <xdr:row>20</xdr:row>
      <xdr:rowOff>66675</xdr:rowOff>
    </xdr:to>
    <xdr:pic>
      <xdr:nvPicPr>
        <xdr:cNvPr id="106582" name="図 2">
          <a:extLst>
            <a:ext uri="{FF2B5EF4-FFF2-40B4-BE49-F238E27FC236}">
              <a16:creationId xmlns:a16="http://schemas.microsoft.com/office/drawing/2014/main" id="{00000000-0008-0000-0800-000056A001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600325" y="2133600"/>
          <a:ext cx="2933700" cy="1019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32</xdr:col>
      <xdr:colOff>95250</xdr:colOff>
      <xdr:row>4</xdr:row>
      <xdr:rowOff>19050</xdr:rowOff>
    </xdr:from>
    <xdr:to>
      <xdr:col>32</xdr:col>
      <xdr:colOff>333375</xdr:colOff>
      <xdr:row>5</xdr:row>
      <xdr:rowOff>0</xdr:rowOff>
    </xdr:to>
    <xdr:sp macro="" textlink="">
      <xdr:nvSpPr>
        <xdr:cNvPr id="2" name="circle">
          <a:extLst>
            <a:ext uri="{FF2B5EF4-FFF2-40B4-BE49-F238E27FC236}">
              <a16:creationId xmlns:a16="http://schemas.microsoft.com/office/drawing/2014/main" id="{00000000-0008-0000-0B00-000002000000}"/>
            </a:ext>
          </a:extLst>
        </xdr:cNvPr>
        <xdr:cNvSpPr>
          <a:spLocks noChangeArrowheads="1"/>
        </xdr:cNvSpPr>
      </xdr:nvSpPr>
      <xdr:spPr bwMode="auto">
        <a:xfrm>
          <a:off x="12049125" y="838200"/>
          <a:ext cx="238125" cy="238125"/>
        </a:xfrm>
        <a:prstGeom prst="ellipse">
          <a:avLst/>
        </a:prstGeom>
        <a:noFill/>
        <a:ln w="28575">
          <a:solidFill>
            <a:srgbClr val="6C0000"/>
          </a:solidFill>
          <a:round/>
          <a:headEnd/>
          <a:tailEnd/>
        </a:ln>
      </xdr:spPr>
    </xdr:sp>
    <xdr:clientData/>
  </xdr:twoCellAnchor>
  <xdr:twoCellAnchor>
    <xdr:from>
      <xdr:col>47</xdr:col>
      <xdr:colOff>47625</xdr:colOff>
      <xdr:row>2</xdr:row>
      <xdr:rowOff>57149</xdr:rowOff>
    </xdr:from>
    <xdr:to>
      <xdr:col>49</xdr:col>
      <xdr:colOff>419101</xdr:colOff>
      <xdr:row>4</xdr:row>
      <xdr:rowOff>209550</xdr:rowOff>
    </xdr:to>
    <xdr:sp macro="" textlink="">
      <xdr:nvSpPr>
        <xdr:cNvPr id="3" name="Rectangle2">
          <a:extLst>
            <a:ext uri="{FF2B5EF4-FFF2-40B4-BE49-F238E27FC236}">
              <a16:creationId xmlns:a16="http://schemas.microsoft.com/office/drawing/2014/main" id="{00000000-0008-0000-0B00-000003000000}"/>
            </a:ext>
          </a:extLst>
        </xdr:cNvPr>
        <xdr:cNvSpPr/>
      </xdr:nvSpPr>
      <xdr:spPr bwMode="auto">
        <a:xfrm>
          <a:off x="17840325" y="361949"/>
          <a:ext cx="1304926" cy="666751"/>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kumimoji="1" lang="ja-JP" altLang="en-US" sz="1000" b="1"/>
            <a:t>開始直後のため</a:t>
          </a:r>
          <a:endParaRPr kumimoji="1" lang="en-US" altLang="ja-JP" sz="1000" b="1"/>
        </a:p>
        <a:p>
          <a:pPr algn="ctr"/>
          <a:r>
            <a:rPr kumimoji="1" lang="ja-JP" altLang="en-US" sz="1000" b="1"/>
            <a:t>未判定</a:t>
          </a:r>
        </a:p>
      </xdr:txBody>
    </xdr:sp>
    <xdr:clientData/>
  </xdr:twoCellAnchor>
  <xdr:twoCellAnchor>
    <xdr:from>
      <xdr:col>29</xdr:col>
      <xdr:colOff>104775</xdr:colOff>
      <xdr:row>3</xdr:row>
      <xdr:rowOff>19050</xdr:rowOff>
    </xdr:from>
    <xdr:to>
      <xdr:col>29</xdr:col>
      <xdr:colOff>342900</xdr:colOff>
      <xdr:row>4</xdr:row>
      <xdr:rowOff>0</xdr:rowOff>
    </xdr:to>
    <xdr:sp macro="" textlink="">
      <xdr:nvSpPr>
        <xdr:cNvPr id="4" name="circle">
          <a:extLst>
            <a:ext uri="{FF2B5EF4-FFF2-40B4-BE49-F238E27FC236}">
              <a16:creationId xmlns:a16="http://schemas.microsoft.com/office/drawing/2014/main" id="{00000000-0008-0000-0B00-000004000000}"/>
            </a:ext>
          </a:extLst>
        </xdr:cNvPr>
        <xdr:cNvSpPr>
          <a:spLocks noChangeArrowheads="1"/>
        </xdr:cNvSpPr>
      </xdr:nvSpPr>
      <xdr:spPr bwMode="auto">
        <a:xfrm>
          <a:off x="11115675" y="581025"/>
          <a:ext cx="238125" cy="238125"/>
        </a:xfrm>
        <a:prstGeom prst="ellipse">
          <a:avLst/>
        </a:prstGeom>
        <a:noFill/>
        <a:ln w="28575">
          <a:solidFill>
            <a:srgbClr val="6C0000"/>
          </a:solidFill>
          <a:round/>
          <a:headEnd/>
          <a:tailEnd/>
        </a:ln>
      </xdr:spPr>
    </xdr:sp>
    <xdr:clientData/>
  </xdr:twoCellAnchor>
  <xdr:twoCellAnchor>
    <xdr:from>
      <xdr:col>38</xdr:col>
      <xdr:colOff>66675</xdr:colOff>
      <xdr:row>4</xdr:row>
      <xdr:rowOff>19050</xdr:rowOff>
    </xdr:from>
    <xdr:to>
      <xdr:col>38</xdr:col>
      <xdr:colOff>304800</xdr:colOff>
      <xdr:row>5</xdr:row>
      <xdr:rowOff>0</xdr:rowOff>
    </xdr:to>
    <xdr:sp macro="" textlink="">
      <xdr:nvSpPr>
        <xdr:cNvPr id="5" name="circle">
          <a:extLst>
            <a:ext uri="{FF2B5EF4-FFF2-40B4-BE49-F238E27FC236}">
              <a16:creationId xmlns:a16="http://schemas.microsoft.com/office/drawing/2014/main" id="{00000000-0008-0000-0B00-000005000000}"/>
            </a:ext>
          </a:extLst>
        </xdr:cNvPr>
        <xdr:cNvSpPr>
          <a:spLocks noChangeArrowheads="1"/>
        </xdr:cNvSpPr>
      </xdr:nvSpPr>
      <xdr:spPr bwMode="auto">
        <a:xfrm>
          <a:off x="14439900" y="838200"/>
          <a:ext cx="238125" cy="238125"/>
        </a:xfrm>
        <a:prstGeom prst="ellipse">
          <a:avLst/>
        </a:prstGeom>
        <a:noFill/>
        <a:ln w="28575">
          <a:solidFill>
            <a:srgbClr val="6C0000"/>
          </a:solidFill>
          <a:round/>
          <a:headEnd/>
          <a:tailEnd/>
        </a:ln>
      </xdr:spPr>
    </xdr:sp>
    <xdr:clientData/>
  </xdr:twoCellAnchor>
  <xdr:twoCellAnchor>
    <xdr:from>
      <xdr:col>44</xdr:col>
      <xdr:colOff>123825</xdr:colOff>
      <xdr:row>4</xdr:row>
      <xdr:rowOff>9525</xdr:rowOff>
    </xdr:from>
    <xdr:to>
      <xdr:col>44</xdr:col>
      <xdr:colOff>361950</xdr:colOff>
      <xdr:row>4</xdr:row>
      <xdr:rowOff>247650</xdr:rowOff>
    </xdr:to>
    <xdr:sp macro="" textlink="">
      <xdr:nvSpPr>
        <xdr:cNvPr id="6" name="circle">
          <a:extLst>
            <a:ext uri="{FF2B5EF4-FFF2-40B4-BE49-F238E27FC236}">
              <a16:creationId xmlns:a16="http://schemas.microsoft.com/office/drawing/2014/main" id="{00000000-0008-0000-0B00-000006000000}"/>
            </a:ext>
          </a:extLst>
        </xdr:cNvPr>
        <xdr:cNvSpPr>
          <a:spLocks noChangeArrowheads="1"/>
        </xdr:cNvSpPr>
      </xdr:nvSpPr>
      <xdr:spPr bwMode="auto">
        <a:xfrm>
          <a:off x="16916400" y="828675"/>
          <a:ext cx="238125" cy="238125"/>
        </a:xfrm>
        <a:prstGeom prst="ellipse">
          <a:avLst/>
        </a:prstGeom>
        <a:noFill/>
        <a:ln w="28575">
          <a:solidFill>
            <a:srgbClr val="6C0000"/>
          </a:solidFill>
          <a:round/>
          <a:headEnd/>
          <a:tailEnd/>
        </a:ln>
      </xdr:spPr>
    </xdr:sp>
    <xdr:clientData/>
  </xdr:twoCellAnchor>
  <xdr:twoCellAnchor>
    <xdr:from>
      <xdr:col>23</xdr:col>
      <xdr:colOff>133350</xdr:colOff>
      <xdr:row>3</xdr:row>
      <xdr:rowOff>9525</xdr:rowOff>
    </xdr:from>
    <xdr:to>
      <xdr:col>23</xdr:col>
      <xdr:colOff>371475</xdr:colOff>
      <xdr:row>3</xdr:row>
      <xdr:rowOff>247650</xdr:rowOff>
    </xdr:to>
    <xdr:sp macro="" textlink="">
      <xdr:nvSpPr>
        <xdr:cNvPr id="7" name="circle">
          <a:extLst>
            <a:ext uri="{FF2B5EF4-FFF2-40B4-BE49-F238E27FC236}">
              <a16:creationId xmlns:a16="http://schemas.microsoft.com/office/drawing/2014/main" id="{00000000-0008-0000-0B00-000007000000}"/>
            </a:ext>
          </a:extLst>
        </xdr:cNvPr>
        <xdr:cNvSpPr>
          <a:spLocks noChangeArrowheads="1"/>
        </xdr:cNvSpPr>
      </xdr:nvSpPr>
      <xdr:spPr bwMode="auto">
        <a:xfrm>
          <a:off x="8763000" y="571500"/>
          <a:ext cx="238125" cy="238125"/>
        </a:xfrm>
        <a:prstGeom prst="ellipse">
          <a:avLst/>
        </a:prstGeom>
        <a:noFill/>
        <a:ln w="28575">
          <a:solidFill>
            <a:srgbClr val="6C0000"/>
          </a:solidFill>
          <a:round/>
          <a:headEnd/>
          <a:tailEnd/>
        </a:ln>
      </xdr:spPr>
    </xdr:sp>
    <xdr:clientData/>
  </xdr:twoCellAnchor>
  <xdr:twoCellAnchor>
    <xdr:from>
      <xdr:col>17</xdr:col>
      <xdr:colOff>76200</xdr:colOff>
      <xdr:row>3</xdr:row>
      <xdr:rowOff>19050</xdr:rowOff>
    </xdr:from>
    <xdr:to>
      <xdr:col>17</xdr:col>
      <xdr:colOff>314325</xdr:colOff>
      <xdr:row>4</xdr:row>
      <xdr:rowOff>0</xdr:rowOff>
    </xdr:to>
    <xdr:sp macro="" textlink="">
      <xdr:nvSpPr>
        <xdr:cNvPr id="8" name="circle">
          <a:extLst>
            <a:ext uri="{FF2B5EF4-FFF2-40B4-BE49-F238E27FC236}">
              <a16:creationId xmlns:a16="http://schemas.microsoft.com/office/drawing/2014/main" id="{00000000-0008-0000-0B00-000008000000}"/>
            </a:ext>
          </a:extLst>
        </xdr:cNvPr>
        <xdr:cNvSpPr>
          <a:spLocks noChangeArrowheads="1"/>
        </xdr:cNvSpPr>
      </xdr:nvSpPr>
      <xdr:spPr bwMode="auto">
        <a:xfrm>
          <a:off x="6353175" y="581025"/>
          <a:ext cx="238125" cy="238125"/>
        </a:xfrm>
        <a:prstGeom prst="ellipse">
          <a:avLst/>
        </a:prstGeom>
        <a:noFill/>
        <a:ln w="28575">
          <a:solidFill>
            <a:srgbClr val="6C0000"/>
          </a:solidFill>
          <a:round/>
          <a:headEnd/>
          <a:tailEnd/>
        </a:ln>
      </xdr:spPr>
    </xdr:sp>
    <xdr:clientData/>
  </xdr:twoCellAnchor>
  <xdr:twoCellAnchor>
    <xdr:from>
      <xdr:col>14</xdr:col>
      <xdr:colOff>171450</xdr:colOff>
      <xdr:row>2</xdr:row>
      <xdr:rowOff>9525</xdr:rowOff>
    </xdr:from>
    <xdr:to>
      <xdr:col>14</xdr:col>
      <xdr:colOff>409575</xdr:colOff>
      <xdr:row>2</xdr:row>
      <xdr:rowOff>247650</xdr:rowOff>
    </xdr:to>
    <xdr:sp macro="" textlink="">
      <xdr:nvSpPr>
        <xdr:cNvPr id="9" name="circle">
          <a:extLst>
            <a:ext uri="{FF2B5EF4-FFF2-40B4-BE49-F238E27FC236}">
              <a16:creationId xmlns:a16="http://schemas.microsoft.com/office/drawing/2014/main" id="{00000000-0008-0000-0B00-000009000000}"/>
            </a:ext>
          </a:extLst>
        </xdr:cNvPr>
        <xdr:cNvSpPr>
          <a:spLocks noChangeArrowheads="1"/>
        </xdr:cNvSpPr>
      </xdr:nvSpPr>
      <xdr:spPr bwMode="auto">
        <a:xfrm>
          <a:off x="5514975" y="314325"/>
          <a:ext cx="238125" cy="238125"/>
        </a:xfrm>
        <a:prstGeom prst="ellipse">
          <a:avLst/>
        </a:prstGeom>
        <a:noFill/>
        <a:ln w="28575">
          <a:solidFill>
            <a:srgbClr val="6C0000"/>
          </a:solidFill>
          <a:round/>
          <a:headEnd/>
          <a:tailEnd/>
        </a:ln>
      </xdr:spPr>
    </xdr:sp>
    <xdr:clientData/>
  </xdr:twoCellAnchor>
  <xdr:twoCellAnchor>
    <xdr:from>
      <xdr:col>8</xdr:col>
      <xdr:colOff>114300</xdr:colOff>
      <xdr:row>2</xdr:row>
      <xdr:rowOff>19050</xdr:rowOff>
    </xdr:from>
    <xdr:to>
      <xdr:col>8</xdr:col>
      <xdr:colOff>352425</xdr:colOff>
      <xdr:row>3</xdr:row>
      <xdr:rowOff>0</xdr:rowOff>
    </xdr:to>
    <xdr:sp macro="" textlink="">
      <xdr:nvSpPr>
        <xdr:cNvPr id="10" name="circle">
          <a:extLst>
            <a:ext uri="{FF2B5EF4-FFF2-40B4-BE49-F238E27FC236}">
              <a16:creationId xmlns:a16="http://schemas.microsoft.com/office/drawing/2014/main" id="{00000000-0008-0000-0B00-00000A000000}"/>
            </a:ext>
          </a:extLst>
        </xdr:cNvPr>
        <xdr:cNvSpPr>
          <a:spLocks noChangeArrowheads="1"/>
        </xdr:cNvSpPr>
      </xdr:nvSpPr>
      <xdr:spPr bwMode="auto">
        <a:xfrm>
          <a:off x="3048000" y="323850"/>
          <a:ext cx="238125" cy="238125"/>
        </a:xfrm>
        <a:prstGeom prst="ellipse">
          <a:avLst/>
        </a:prstGeom>
        <a:noFill/>
        <a:ln w="28575">
          <a:solidFill>
            <a:srgbClr val="6C0000"/>
          </a:solidFill>
          <a:round/>
          <a:headEnd/>
          <a:tailEnd/>
        </a:ln>
      </xdr:spPr>
    </xdr:sp>
    <xdr:clientData/>
  </xdr:twoCellAnchor>
  <xdr:twoCellAnchor>
    <xdr:from>
      <xdr:col>2</xdr:col>
      <xdr:colOff>76200</xdr:colOff>
      <xdr:row>2</xdr:row>
      <xdr:rowOff>9525</xdr:rowOff>
    </xdr:from>
    <xdr:to>
      <xdr:col>2</xdr:col>
      <xdr:colOff>314325</xdr:colOff>
      <xdr:row>2</xdr:row>
      <xdr:rowOff>247650</xdr:rowOff>
    </xdr:to>
    <xdr:sp macro="" textlink="">
      <xdr:nvSpPr>
        <xdr:cNvPr id="11" name="circle">
          <a:extLst>
            <a:ext uri="{FF2B5EF4-FFF2-40B4-BE49-F238E27FC236}">
              <a16:creationId xmlns:a16="http://schemas.microsoft.com/office/drawing/2014/main" id="{00000000-0008-0000-0B00-00000B000000}"/>
            </a:ext>
          </a:extLst>
        </xdr:cNvPr>
        <xdr:cNvSpPr>
          <a:spLocks noChangeArrowheads="1"/>
        </xdr:cNvSpPr>
      </xdr:nvSpPr>
      <xdr:spPr bwMode="auto">
        <a:xfrm>
          <a:off x="676275" y="314325"/>
          <a:ext cx="238125" cy="238125"/>
        </a:xfrm>
        <a:prstGeom prst="ellipse">
          <a:avLst/>
        </a:prstGeom>
        <a:noFill/>
        <a:ln w="28575">
          <a:solidFill>
            <a:srgbClr val="6C0000"/>
          </a:solidFill>
          <a:round/>
          <a:headEnd/>
          <a:tailEnd/>
        </a:ln>
      </xdr:spPr>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張　エン" refreshedDate="46168.643526851854" createdVersion="4" refreshedVersion="8" minRefreshableVersion="3" recordCount="1175" xr:uid="{00000000-000A-0000-FFFF-FFFF11000000}">
  <cacheSource type="worksheet">
    <worksheetSource ref="AQ8:AQ1183" sheet="Failure Management"/>
  </cacheSource>
  <cacheFields count="1">
    <cacheField name="Category" numFmtId="0">
      <sharedItems count="13">
        <e v="#N/A"/>
        <s v="(実)テスト結果不一致" u="1"/>
        <s v="(実)異常終了" u="1"/>
        <s v="(非)仕様改善" u="1"/>
        <s v="(実)構築ミス" u="1"/>
        <s v="(実)性能不良" u="1"/>
        <s v="" u="1"/>
        <s v="入出力結果不良" u="1"/>
        <s v="(非)テスト作業ミス" u="1"/>
        <s v="(非)ドキュメントのみ不良" u="1"/>
        <s v="(非)既存バグ" u="1"/>
        <s v="その他(原則使用禁止)" u="1"/>
        <s v="(非)アプリケーション動作不良" u="1"/>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張　エン" refreshedDate="46168.643527893517" createdVersion="4" refreshedVersion="8" minRefreshableVersion="3" recordCount="1175" xr:uid="{00000000-000A-0000-FFFF-FFFF08000000}">
  <cacheSource type="worksheet">
    <worksheetSource ref="AT8:AT1183" sheet="Failure Management"/>
  </cacheSource>
  <cacheFields count="1">
    <cacheField name="In charge of modification" numFmtId="0">
      <sharedItems containsMixedTypes="1" containsNumber="1" containsInteger="1" minValue="46084" maxValue="46119" count="12">
        <e v="#N/A"/>
        <n v="46084" u="1"/>
        <n v="46085" u="1"/>
        <n v="46098" u="1"/>
        <n v="46094" u="1"/>
        <n v="46093" u="1"/>
        <n v="46097" u="1"/>
        <n v="46100" u="1"/>
        <n v="46091" u="1"/>
        <n v="46092" u="1"/>
        <n v="46115" u="1"/>
        <n v="46119" u="1"/>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張　エン" refreshedDate="46168.643528819448" createdVersion="4" refreshedVersion="8" minRefreshableVersion="3" recordCount="1175" xr:uid="{00000000-000A-0000-FFFF-FFFF0E000000}">
  <cacheSource type="worksheet">
    <worksheetSource ref="AR8:AR1183" sheet="Failure Management"/>
  </cacheSource>
  <cacheFields count="1">
    <cacheField name="Root cause " numFmtId="0">
      <sharedItems count="17">
        <e v="#N/A"/>
        <s v="仕様関連以外の問題点" u="1"/>
        <s v="" u="1"/>
        <s v="仕様からの展開の問題" u="1"/>
        <s v="プログラミング" u="1"/>
        <s v="テスト" u="1"/>
        <s v="仕様書不備の問題" u="1"/>
        <s v="その他" u="1"/>
        <s v="5:修正ミス、修正漏れ" u="1"/>
        <s v="11:画面状態やデータ状態の考慮漏れ" u="1"/>
        <s v="12:非バグ" u="1"/>
        <s v="7:限界値、境界値の考慮漏れ" u="1"/>
        <s v="詳細設計" u="1"/>
        <s v="XCAT 徐" u="1"/>
        <s v="基本設計" u="1"/>
        <s v="環境構築" u="1"/>
        <s v="要件定義" u="1"/>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張　エン" refreshedDate="46168.643529745372" createdVersion="4" refreshedVersion="8" minRefreshableVersion="3" recordCount="1175" xr:uid="{00000000-000A-0000-FFFF-FFFF14000000}">
  <cacheSource type="worksheet">
    <worksheetSource ref="AP8:AP1183" sheet="Failure Management"/>
  </cacheSource>
  <cacheFields count="1">
    <cacheField name="Function" numFmtId="0">
      <sharedItems count="80">
        <e v="#N/A"/>
        <s v="個人顧客登録・更新" u="1"/>
        <s v="担当者付替" u="1"/>
        <s v="名寄せ候補リスト作成" u="1"/>
        <s v="法人顧客登録・更新" u="1"/>
        <s v="顧客情報統合検索" u="1"/>
        <s v="個人顧客詳細" u="1"/>
        <s v="法人顧客詳細" u="1"/>
        <s v="顧客統合" u="1"/>
        <s v="個人顧客詳細（ポップアップ）" u="1"/>
        <s v="案件履歴承認" u="1"/>
        <s v="案件関連情報CSVダウンロード" u="1"/>
        <s v="案件検索" u="1"/>
        <s v="案件関連情報CSV作成条件" u="1"/>
        <s v="案件登録" u="1"/>
        <s v="契約登録・更新（生保）" u="1"/>
        <s v="契約登録・更新（自動車）" u="1"/>
        <s v="担当者振分け" u="1"/>
        <s v="担当者振分け予約確認" u="1"/>
        <s v="契約登録・更新（新種）" u="1"/>
        <s v="契約登録・更新（火災）" u="1"/>
        <s v="契約情報詳細_x000a_（生保）" u="1"/>
        <s v="契約情報詳細（火災）" u="1"/>
        <s v="契約履歴一覧" u="1"/>
        <s v="契約情報詳細（傷害）" u="1"/>
        <s v="契約登録・更新（傷害）" u="1"/>
        <s v="手数料検索" u="1"/>
        <s v="手数料ダウンロード" u="1"/>
        <s v="契約満期検索" u="1"/>
        <s v="事業報告書ダウンロード" u="1"/>
        <s v="早期解約契約ダウンロード画面" u="1"/>
        <s v="残高ダウンロード画面" u="1"/>
        <s v="所属検索" u="1"/>
        <s v="帳票CSVパスワード変更" u="1"/>
        <s v="団体変換マスタ管理" u="1"/>
        <s v="担当者判定マスタ管理" u="1"/>
        <s v="提携代理店マスタ管理" u="1"/>
        <s v="代理店組織マスタ管理" u="1"/>
        <s v="代理店担当者マスタ管理画面" u="1"/>
        <s v="団体変換マスタ管理（登録更新）" u="1"/>
        <s v="提携代理店マスタ管理登録更新" u="1"/>
        <s v="区分値情報マスタ管理" u="1"/>
        <s v="共同保険代理店分担マスタ管理登録更新" u="1"/>
        <s v="共同保険代理店分担マスタ管理" u="1"/>
        <s v="担当者判定マスタCSV出力取込" u="1"/>
        <s v="担当者振分け項目マスタ管理" u="1"/>
        <s v="ロール検索" u="1"/>
        <s v="マーケット検索" u="1"/>
        <s v="送付文書作成" u="1"/>
        <s v="ファイルアップロード" u="1"/>
        <s v="汎用フォーマット取込ジョブ検索" u="1"/>
        <s v="顧客・契約検索" u="1"/>
        <s v="月間スケジュール" u="1"/>
        <s v="ファイルアップロードサイズエラー画面" u="1"/>
        <s v="メニュー" u="1"/>
        <s v="-" u="1"/>
        <s v="IM-08 部門管理機能" u="1"/>
        <s v="WS-13 圧縮暗号化機能" u="1"/>
        <s v="WP-13 検索情報引き込み機能" u="1"/>
        <s v="WS-08 コンタクト履歴出力" u="1"/>
        <s v="IM-10 全代理店用重要なお知らせポータル機能" u="1"/>
        <s v="WP-12 複数画面制御機能" u="1"/>
        <s v="WP-17 ウインドウセッション同期化機能" u="1"/>
        <s v="契約情報ダウンロード" u="1"/>
        <s v="契約情報詳細（生保）" u="1"/>
        <s v="出荷指示機能" u="1"/>
        <s v="03.契約管理(Wise既存)" u="1"/>
        <s v="01.顧客管理" u="1"/>
        <s v="12.バッチ処理" u="1"/>
        <s v="11.共通管理" u="1"/>
        <s v="02.案件管理" u="1"/>
        <s v="04.契約管理(アドオン)" u="1"/>
        <s v="08.分析レポーティング" u="1"/>
        <s v="09.マスタ管理" u="1"/>
        <s v="" u="1"/>
        <s v="○○内示" u="1"/>
        <s v="10.ユーザ管理" u="1"/>
        <s v="△△内示" u="1"/>
        <s v="06.請求管理" u="1"/>
        <s v="05.満期管理"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張　エン" refreshedDate="46168.643530787034" createdVersion="4" refreshedVersion="8" minRefreshableVersion="3" recordCount="1175" xr:uid="{00000000-000A-0000-FFFF-FFFF17000000}">
  <cacheSource type="worksheet">
    <worksheetSource name="ChartArea_SubSystem"/>
  </cacheSource>
  <cacheFields count="1">
    <cacheField name="Sub System" numFmtId="0">
      <sharedItems count="26">
        <e v="#N/A"/>
        <s v="顧客管理" u="1"/>
        <s v="案件管理" u="1"/>
        <s v="契約管理" u="1"/>
        <s v="手数料管理" u="1"/>
        <s v="満期管理" u="1"/>
        <s v="事業報告書ダウンロード" u="1"/>
        <s v="早期解約管理" u="1"/>
        <s v="残高ダウンロード" u="1"/>
        <s v="業務マスタメンテ" u="1"/>
        <s v="営業支援管理" u="1"/>
        <s v="共通" u="1"/>
        <s v="エラー" u="1"/>
        <s v="スマデバ画面" u="1"/>
        <s v="共通SQLの条件網羅" u="1"/>
        <s v="AP基盤【共通部品】" u="1"/>
        <s v="受注出荷" u="1"/>
        <s v="機能要件確認" u="1"/>
        <s v="移行からフィードバック" u="1"/>
        <s v="非機能要件確認" u="1"/>
        <s v="その他(作業中発見)" u="1"/>
        <s v="性能" u="1"/>
        <s v="" u="1"/>
        <s v="内示" u="1"/>
        <s v="顧客・契約管理" u="1"/>
        <s v="その他(お客様個別指摘)"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張　エン" refreshedDate="46168.643531712965" createdVersion="4" refreshedVersion="8" minRefreshableVersion="3" recordCount="1175" xr:uid="{00000000-000A-0000-FFFF-FFFF0B000000}">
  <cacheSource type="worksheet">
    <worksheetSource ref="AS8:AS1183" sheet="Failure Management"/>
  </cacheSource>
  <cacheFields count="1">
    <cacheField name="Cause_x000a_category" numFmtId="0">
      <sharedItems count="93">
        <e v="#N/A"/>
        <s v="12:非バグ" u="1"/>
        <s v="5:修正ミス、修正漏れ" u="1"/>
        <s v="" u="1"/>
        <s v="4:再利用module既存バグ" u="1"/>
        <s v="11:画面状態やデータ状態の考慮漏れ" u="1"/>
        <s v="7:限界値、境界値の考慮漏れ" u="1"/>
        <s v="12非バグ" u="1"/>
        <s v="4:仕様の検討粗漏" u="1"/>
        <s v="1:仕様の見落とし" u="1"/>
        <s v="詳細設計と実装との不整合" u="1"/>
        <s v="テストケース誤り" u="1"/>
        <s v="3:仕様の確認不足" u="1"/>
        <s v="6:ドキュメント間不整合" u="1"/>
        <s v="テスト結果確認ミス" u="1"/>
        <s v="スキル不足(製品：Imart等)" u="1"/>
        <s v="テストデータ不良" u="1"/>
        <s v="2:仕様の理解不足" u="1"/>
        <s v="現行ソースからの展開漏れ(記述なし)" u="1"/>
        <s v="5:仕様から展開時の凡ミス" u="1"/>
        <s v="(非)既存バグ" u="1"/>
        <s v="現行ソースからの展開誤り(記述なし)" u="1"/>
        <s v="(非)テスト作業ミス" u="1"/>
        <s v="8:特殊な値や条件の考慮漏れ" u="1"/>
        <s v="スキル不足(業務知識)" u="1"/>
        <s v="6:その他" u="1"/>
        <s v="・入力チェック実装漏れ" u="1"/>
        <s v="・入力チェック実装ミス" u="1"/>
        <s v="JSPへの torokuKind の定義追加漏れ" u="1"/>
        <s v="契約詳細の JSP コードにエラーがある" u="1"/>
        <s v="fileList が InputStream 型の file_Obj をクリアしていない" u="1"/>
        <s v="非同期処理実行中の操作制御（二重送信防止等）の考慮不足。" u="1"/>
        <s v="UI コードの不備により、画面の表示スタイルが正しく適用されていないため。" u="1"/>
        <s v="契約登録の JSP 実装コードに誤りがあり、顧客情報の表示判定ロジックが不正です。" u="1"/>
        <s v="UI改善後の確認ダイアログの実装不備" u="1"/>
        <s v="削除機能が未実装のため。" u="1"/>
        <s v="テキストの最大長（オーバーフロー）が考慮されていないため。" u="1"/>
        <s v="_x000a_バックエンド側で顧客情報の編集処理（一部項目）が漏れているため。" u="1"/>
        <s v="ツールチップ機能が未実装のため" u="1"/>
        <s v="変数 mailLinkFlg が未定義（宣言漏れ）のため。" u="1"/>
        <s v="対象箇所におけるUI改善対応の適用漏れ。" u="1"/>
        <s v="バックエンド側で顧客情報の編集処理（一部項目）が漏れているため。" u="1"/>
        <s v="ユーザーアカウントの設定に誤りがあるため_x000a_修正不要" u="1"/>
        <s v="Controller層のURLマッピング設定に誤りがあるため。" u="1"/>
        <s v="ボタン位置が変えましたので、全体のボタン数が変わりませんでした。改修なし。" u="1"/>
        <s v="テスト前提条件の未整備。事前に契約登録が完了している必要があるため。" u="1"/>
        <s v="「代分共保を引き込む」ボタンのレイアウト配置ミス" u="1"/>
        <s v="可変長テキスト表示の際、レイアウト崩れの考慮漏れ。" u="1"/>
        <s v="本来閉じられるべき &lt;div&gt; が閉じられない_x000a_HTML の構造が崩れる_x000a_上下のブロックが 1 つの大きなコンテナに吸収される." u="1"/>
        <s v="行番号の変数指定が誤っており、${index} を使用していたため、全ての行が「1」と表示されていました。" u="1"/>
        <s v="JSP 側の「データはありません」表示処理が実装漏れしていたため" u="1"/>
        <s v="再現不可。_x000a__x000a_エビデンスを確認するとき、郵便番号が未入力です。_x000a_\\172.16.1.52\大手町\次期wo\23_FW更改・基盤更改\152_アプリ\10_単体試験\01_オンライン\03_契約\08_契約登録・更新（自動車）\02_不具合エビデンス\registJidousha_x000a_9-1.html" u="1"/>
        <s v="「a1」を入力して、「口数には数字を入力してください。」と表示する" u="1"/>
        <s v="エビデンスに「保険種目」は「自動車保険」を入力されるので、エラーが発生しない。問題ありません。_x000a_\\172.16.1.52\大手町\次期wo\23_FW更改・基盤更改\152_アプリ\10_単体試験\01_オンライン\03_契約\08_契約登録・更新（自動車）\02_不具合エビデンス\registJidousha_x000a_26-1.html" u="1"/>
        <s v="再現不可。_x000a_エビデンスの受取人氏名は未入力です。_x000a_\\172.16.1.52\大手町\次期wo\23_FW更改・基盤更改\152_アプリ\10_単体試験\01_オンライン\03_契約\08_契約登録・更新（自動車）\02_不具合エビデンス\registJidousha_x000a_52-1.html" u="1"/>
        <s v="再現不可。_x000a_エビデンスのタイトルは未入力です。_x000a_\\172.16.1.52\大手町\次期wo\23_FW更改・基盤更改\152_アプリ\10_単体試験\01_オンライン\03_契約\08_契約登録・更新（自動車）\02_不具合エビデンス\registJidousha_x000a_53-1.html" u="1"/>
        <s v="再現不可。_x000a_エビデンスのタイトルは未入力です。_x000a_\\172.16.1.52\大手町\次期wo\23_FW更改・基盤更改\152_アプリ\10_単体試験\01_オンライン\03_契約\08_契約登録・更新（自動車）\02_不具合エビデンス\registJidousha_x000a_54-1.html" u="1"/>
        <s v="「6行目の限定運転者氏名カナには70文字以下で入力してください。」が表示されたので、対応不要です。" u="1"/>
        <s v="「6行目の限定運転者氏名カナにはカナまたは英数字を入力してください。」が表示されたので、対応不要です。" u="1"/>
        <s v="「6行目の限定運転者氏名漢字には15文字以下で入力してください。」が表示されたので、対応不要です。" u="1"/>
        <s v="「6行目の限定運転者生年月日には8文字以下で入力してください。」が表示されたので、対応不要です。" u="1"/>
        <s v="「6行目の限定運転者生年月日には正しい日付を入力してください。」が表示されたので、対応不要です。" u="1"/>
        <s v="「1行目の特約保険金額には6文字以下で入力してください。」が表示されたので、対応不要です。" u="1"/>
        <s v="「1行目の特約保険金額には数字を入力してください。」が表示されたので、対応不要です。" u="1"/>
        <s v="「1行目の特約保険料には7文字以下で入力してください。」が表示されたので、対応不要です。" u="1"/>
        <s v="「1行目の特約保険料には数字を入力してください。」が表示されたので、対応不要です。" u="1"/>
        <s v="「1行目の特約免責、代車コード等には2文字以下で入力してください。」が表示されたので、対応不要です。" u="1"/>
        <s v="「1行目の特約免責、代車コード等には半角英数字で入力してください。」が表示されたので、対応不要です。" u="1"/>
        <s v="テスト作業不良" u="1"/>
        <s v="既存バグ" u="1"/>
        <s v="詳細設計誤り" u="1"/>
        <s v="テストツール不良" u="1"/>
        <s v="Imart起因" u="1"/>
        <s v="スキル不足(言語)" u="1"/>
        <s v="基本設計と詳細設計との不整合" u="1"/>
        <s v="要件定義と基本設計との不整合" u="1"/>
        <s v="詳細設計漏れ(記述なし)" u="1"/>
        <s v="資産のバージョン違い" u="1"/>
        <s v="基本設計誤り" u="1"/>
        <s v="構築作業誤り" u="1"/>
        <s v="基本設計記述不良(曖昧)" u="1"/>
        <s v="基本設計漏れ(記述なし)" u="1"/>
        <s v="その他(原則使用禁止)" u="1"/>
        <s v="詳細設計記述不良(曖昧)" u="1"/>
        <s v="ハードウェアの不良" u="1"/>
        <s v="構築作業漏れ" u="1"/>
        <s v="スキル不足(製品)" u="1"/>
        <s v="標準違反" u="1"/>
        <s v="要件定義記述誤り" u="1"/>
        <s v="テスト手順書不良" u="1"/>
        <s v="開発標準とプログラミングとの不整合" u="1"/>
        <s v="プログラミング漏れ/誤り" u="1"/>
        <s v="詳細設計漏れ/誤り"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175">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175">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175">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175">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175">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175">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900-000004000000}" name="ﾋﾟﾎﾞｯﾄﾃｰﾌﾞﾙ6" cacheId="13" applyNumberFormats="0" applyBorderFormats="0" applyFontFormats="0" applyPatternFormats="0" applyAlignmentFormats="0" applyWidthHeightFormats="1" dataCaption="値" updatedVersion="8" minRefreshableVersion="3" useAutoFormatting="1" itemPrintTitles="1" createdVersion="4" indent="0" outline="1" outlineData="1" multipleFieldFilters="0" chartFormat="3">
  <location ref="U6:V7" firstHeaderRow="1" firstDataRow="1" firstDataCol="1"/>
  <pivotFields count="1">
    <pivotField axis="axisRow" dataField="1" showAll="0" sortType="ascending" defaultSubtotal="0">
      <items count="12">
        <item m="1" x="1"/>
        <item m="1" x="2"/>
        <item m="1" x="8"/>
        <item m="1" x="9"/>
        <item m="1" x="5"/>
        <item m="1" x="4"/>
        <item m="1" x="6"/>
        <item m="1" x="3"/>
        <item m="1" x="7"/>
        <item m="1" x="10"/>
        <item m="1" x="11"/>
        <item x="0"/>
      </items>
    </pivotField>
  </pivotFields>
  <rowFields count="1">
    <field x="0"/>
  </rowFields>
  <rowItems count="1">
    <i t="grand">
      <x/>
    </i>
  </rowItems>
  <colItems count="1">
    <i/>
  </colItems>
  <dataFields count="1">
    <dataField name="データの個数 / In charge of modification" fld="0" subtotal="count" baseField="0" baseItem="0"/>
  </dataFields>
  <pivotTableStyleInfo name="PivotStyleLight16" showRowHeaders="1" showColHeaders="1" showRowStripes="0" showColStripes="0" showLastColumn="1"/>
  <filters count="1">
    <filter fld="0" type="captionNotEqual" evalOrder="-1" id="3" stringValue1="#N/A">
      <autoFilter ref="A1">
        <filterColumn colId="0">
          <customFilters>
            <customFilter operator="notEqual" val="#N/A"/>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900-000003000000}" name="ﾋﾟﾎﾞｯﾄﾃｰﾌﾞﾙ5" cacheId="17" applyNumberFormats="0" applyBorderFormats="0" applyFontFormats="0" applyPatternFormats="0" applyAlignmentFormats="0" applyWidthHeightFormats="1" dataCaption="値" updatedVersion="8" minRefreshableVersion="3" useAutoFormatting="1" itemPrintTitles="1" createdVersion="4" indent="0" outline="1" outlineData="1" multipleFieldFilters="0" chartFormat="19">
  <location ref="Q6:R7" firstHeaderRow="1" firstDataRow="1" firstDataCol="1"/>
  <pivotFields count="1">
    <pivotField axis="axisRow" dataField="1" showAll="0" sortType="ascending" defaultSubtotal="0">
      <items count="93">
        <item m="1" x="3"/>
        <item m="1" x="37"/>
        <item m="1" x="22"/>
        <item m="1" x="20"/>
        <item m="1" x="62"/>
        <item m="1" x="63"/>
        <item m="1" x="64"/>
        <item m="1" x="65"/>
        <item m="1" x="66"/>
        <item m="1" x="67"/>
        <item m="1" x="57"/>
        <item m="1" x="58"/>
        <item m="1" x="59"/>
        <item m="1" x="60"/>
        <item m="1" x="61"/>
        <item m="1" x="52"/>
        <item m="1" x="46"/>
        <item m="1" x="27"/>
        <item m="1" x="26"/>
        <item m="1" x="9"/>
        <item m="1" x="5"/>
        <item m="1" x="1"/>
        <item m="1" x="7"/>
        <item m="1" x="17"/>
        <item m="1" x="12"/>
        <item m="1" x="4"/>
        <item m="1" x="8"/>
        <item m="1" x="19"/>
        <item m="1" x="2"/>
        <item m="1" x="25"/>
        <item m="1" x="13"/>
        <item m="1" x="6"/>
        <item m="1" x="23"/>
        <item m="1" x="43"/>
        <item m="1" x="30"/>
        <item m="1" x="72"/>
        <item m="1" x="50"/>
        <item m="1" x="28"/>
        <item m="1" x="32"/>
        <item m="1" x="34"/>
        <item m="1" x="53"/>
        <item m="1" x="24"/>
        <item m="1" x="73"/>
        <item m="1" x="86"/>
        <item m="1" x="15"/>
        <item m="1" x="82"/>
        <item m="1" x="38"/>
        <item m="1" x="36"/>
        <item m="1" x="11"/>
        <item m="1" x="71"/>
        <item m="1" x="16"/>
        <item m="1" x="14"/>
        <item m="1" x="68"/>
        <item m="1" x="89"/>
        <item m="1" x="45"/>
        <item m="1" x="84"/>
        <item m="1" x="41"/>
        <item m="1" x="91"/>
        <item m="1" x="44"/>
        <item m="1" x="42"/>
        <item m="1" x="47"/>
        <item m="1" x="90"/>
        <item m="1" x="74"/>
        <item m="1" x="80"/>
        <item m="1" x="78"/>
        <item m="1" x="81"/>
        <item m="1" x="69"/>
        <item m="1" x="29"/>
        <item m="1" x="33"/>
        <item m="1" x="21"/>
        <item m="1" x="18"/>
        <item m="1" x="79"/>
        <item m="1" x="85"/>
        <item m="1" x="49"/>
        <item m="1" x="51"/>
        <item m="1" x="55"/>
        <item m="1" x="56"/>
        <item m="1" x="54"/>
        <item m="1" x="35"/>
        <item m="1" x="77"/>
        <item m="1" x="10"/>
        <item m="1" x="83"/>
        <item m="1" x="70"/>
        <item m="1" x="76"/>
        <item m="1" x="92"/>
        <item m="1" x="40"/>
        <item m="1" x="31"/>
        <item m="1" x="87"/>
        <item m="1" x="39"/>
        <item m="1" x="48"/>
        <item m="1" x="75"/>
        <item m="1" x="88"/>
        <item x="0"/>
      </items>
    </pivotField>
  </pivotFields>
  <rowFields count="1">
    <field x="0"/>
  </rowFields>
  <rowItems count="1">
    <i t="grand">
      <x/>
    </i>
  </rowItems>
  <colItems count="1">
    <i/>
  </colItems>
  <dataFields count="1">
    <dataField name="データの個数 / Cause_x000a_category" fld="0" subtotal="count" baseField="0" baseItem="0"/>
  </dataFields>
  <chartFormats count="83">
    <chartFormat chart="18" format="7" series="1">
      <pivotArea type="data" outline="0" fieldPosition="0">
        <references count="1">
          <reference field="4294967294" count="1" selected="0">
            <x v="0"/>
          </reference>
        </references>
      </pivotArea>
    </chartFormat>
    <chartFormat chart="18" format="8">
      <pivotArea type="data" outline="0" fieldPosition="0">
        <references count="2">
          <reference field="4294967294" count="1" selected="0">
            <x v="0"/>
          </reference>
          <reference field="0" count="1" selected="0">
            <x v="41"/>
          </reference>
        </references>
      </pivotArea>
    </chartFormat>
    <chartFormat chart="18" format="9">
      <pivotArea type="data" outline="0" fieldPosition="0">
        <references count="2">
          <reference field="4294967294" count="1" selected="0">
            <x v="0"/>
          </reference>
          <reference field="0" count="1" selected="0">
            <x v="0"/>
          </reference>
        </references>
      </pivotArea>
    </chartFormat>
    <chartFormat chart="18" format="10">
      <pivotArea type="data" outline="0" fieldPosition="0">
        <references count="2">
          <reference field="4294967294" count="1" selected="0">
            <x v="0"/>
          </reference>
          <reference field="0" count="1" selected="0">
            <x v="72"/>
          </reference>
        </references>
      </pivotArea>
    </chartFormat>
    <chartFormat chart="18" format="11">
      <pivotArea type="data" outline="0" fieldPosition="0">
        <references count="2">
          <reference field="4294967294" count="1" selected="0">
            <x v="0"/>
          </reference>
          <reference field="0" count="1" selected="0">
            <x v="71"/>
          </reference>
        </references>
      </pivotArea>
    </chartFormat>
    <chartFormat chart="18" format="12">
      <pivotArea type="data" outline="0" fieldPosition="0">
        <references count="2">
          <reference field="4294967294" count="1" selected="0">
            <x v="0"/>
          </reference>
          <reference field="0" count="1" selected="0">
            <x v="65"/>
          </reference>
        </references>
      </pivotArea>
    </chartFormat>
    <chartFormat chart="18" format="13">
      <pivotArea type="data" outline="0" fieldPosition="0">
        <references count="2">
          <reference field="4294967294" count="1" selected="0">
            <x v="0"/>
          </reference>
          <reference field="0" count="1" selected="0">
            <x v="64"/>
          </reference>
        </references>
      </pivotArea>
    </chartFormat>
    <chartFormat chart="18" format="14">
      <pivotArea type="data" outline="0" fieldPosition="0">
        <references count="2">
          <reference field="4294967294" count="1" selected="0">
            <x v="0"/>
          </reference>
          <reference field="0" count="1" selected="0">
            <x v="62"/>
          </reference>
        </references>
      </pivotArea>
    </chartFormat>
    <chartFormat chart="18" format="15">
      <pivotArea type="data" outline="0" fieldPosition="0">
        <references count="2">
          <reference field="4294967294" count="1" selected="0">
            <x v="0"/>
          </reference>
          <reference field="0" count="1" selected="0">
            <x v="52"/>
          </reference>
        </references>
      </pivotArea>
    </chartFormat>
    <chartFormat chart="18" format="16">
      <pivotArea type="data" outline="0" fieldPosition="0">
        <references count="2">
          <reference field="4294967294" count="1" selected="0">
            <x v="0"/>
          </reference>
          <reference field="0" count="1" selected="0">
            <x v="81"/>
          </reference>
        </references>
      </pivotArea>
    </chartFormat>
    <chartFormat chart="18" format="17">
      <pivotArea type="data" outline="0" fieldPosition="0">
        <references count="2">
          <reference field="4294967294" count="1" selected="0">
            <x v="0"/>
          </reference>
          <reference field="0" count="1" selected="0">
            <x v="82"/>
          </reference>
        </references>
      </pivotArea>
    </chartFormat>
    <chartFormat chart="18" format="18">
      <pivotArea type="data" outline="0" fieldPosition="0">
        <references count="2">
          <reference field="4294967294" count="1" selected="0">
            <x v="0"/>
          </reference>
          <reference field="0" count="1" selected="0">
            <x v="83"/>
          </reference>
        </references>
      </pivotArea>
    </chartFormat>
    <chartFormat chart="18" format="19">
      <pivotArea type="data" outline="0" fieldPosition="0">
        <references count="2">
          <reference field="4294967294" count="1" selected="0">
            <x v="0"/>
          </reference>
          <reference field="0" count="1" selected="0">
            <x v="51"/>
          </reference>
        </references>
      </pivotArea>
    </chartFormat>
    <chartFormat chart="18" format="20">
      <pivotArea type="data" outline="0" fieldPosition="0">
        <references count="2">
          <reference field="4294967294" count="1" selected="0">
            <x v="0"/>
          </reference>
          <reference field="0" count="1" selected="0">
            <x v="48"/>
          </reference>
        </references>
      </pivotArea>
    </chartFormat>
    <chartFormat chart="18" format="21">
      <pivotArea type="data" outline="0" fieldPosition="0">
        <references count="2">
          <reference field="4294967294" count="1" selected="0">
            <x v="0"/>
          </reference>
          <reference field="0" count="1" selected="0">
            <x v="50"/>
          </reference>
        </references>
      </pivotArea>
    </chartFormat>
    <chartFormat chart="18" format="22">
      <pivotArea type="data" outline="0" fieldPosition="0">
        <references count="2">
          <reference field="4294967294" count="1" selected="0">
            <x v="0"/>
          </reference>
          <reference field="0" count="1" selected="0">
            <x v="79"/>
          </reference>
        </references>
      </pivotArea>
    </chartFormat>
    <chartFormat chart="18" format="23">
      <pivotArea type="data" outline="0" fieldPosition="0">
        <references count="1">
          <reference field="4294967294" count="1" selected="0">
            <x v="0"/>
          </reference>
        </references>
      </pivotArea>
    </chartFormat>
    <chartFormat chart="18" format="24">
      <pivotArea type="data" outline="0" fieldPosition="0">
        <references count="2">
          <reference field="4294967294" count="1" selected="0">
            <x v="0"/>
          </reference>
          <reference field="0" count="1" selected="0">
            <x v="35"/>
          </reference>
        </references>
      </pivotArea>
    </chartFormat>
    <chartFormat chart="18" format="25">
      <pivotArea type="data" outline="0" fieldPosition="0">
        <references count="2">
          <reference field="4294967294" count="1" selected="0">
            <x v="0"/>
          </reference>
          <reference field="0" count="1" selected="0">
            <x v="66"/>
          </reference>
        </references>
      </pivotArea>
    </chartFormat>
    <chartFormat chart="18" format="26">
      <pivotArea type="data" outline="0" fieldPosition="0">
        <references count="2">
          <reference field="4294967294" count="1" selected="0">
            <x v="0"/>
          </reference>
          <reference field="0" count="1" selected="0">
            <x v="69"/>
          </reference>
        </references>
      </pivotArea>
    </chartFormat>
    <chartFormat chart="18" format="27">
      <pivotArea type="data" outline="0" fieldPosition="0">
        <references count="2">
          <reference field="4294967294" count="1" selected="0">
            <x v="0"/>
          </reference>
          <reference field="0" count="1" selected="0">
            <x v="80"/>
          </reference>
        </references>
      </pivotArea>
    </chartFormat>
    <chartFormat chart="18" format="28">
      <pivotArea type="data" outline="0" fieldPosition="0">
        <references count="2">
          <reference field="4294967294" count="1" selected="0">
            <x v="0"/>
          </reference>
          <reference field="0" count="1" selected="0">
            <x v="70"/>
          </reference>
        </references>
      </pivotArea>
    </chartFormat>
    <chartFormat chart="18" format="29">
      <pivotArea type="data" outline="0" fieldPosition="0">
        <references count="2">
          <reference field="4294967294" count="1" selected="0">
            <x v="0"/>
          </reference>
          <reference field="0" count="1" selected="0">
            <x v="3"/>
          </reference>
        </references>
      </pivotArea>
    </chartFormat>
    <chartFormat chart="18" format="30">
      <pivotArea type="data" outline="0" fieldPosition="0">
        <references count="2">
          <reference field="4294967294" count="1" selected="0">
            <x v="0"/>
          </reference>
          <reference field="0" count="1" selected="0">
            <x v="2"/>
          </reference>
        </references>
      </pivotArea>
    </chartFormat>
    <chartFormat chart="18" format="31">
      <pivotArea type="data" outline="0" fieldPosition="0">
        <references count="2">
          <reference field="4294967294" count="1" selected="0">
            <x v="0"/>
          </reference>
          <reference field="0" count="1" selected="0">
            <x v="42"/>
          </reference>
        </references>
      </pivotArea>
    </chartFormat>
    <chartFormat chart="18" format="32">
      <pivotArea type="data" outline="0" fieldPosition="0">
        <references count="2">
          <reference field="4294967294" count="1" selected="0">
            <x v="0"/>
          </reference>
          <reference field="0" count="1" selected="0">
            <x v="44"/>
          </reference>
        </references>
      </pivotArea>
    </chartFormat>
    <chartFormat chart="18" format="33">
      <pivotArea type="data" outline="0" fieldPosition="0">
        <references count="2">
          <reference field="4294967294" count="1" selected="0">
            <x v="0"/>
          </reference>
          <reference field="0" count="1" selected="0">
            <x v="49"/>
          </reference>
        </references>
      </pivotArea>
    </chartFormat>
    <chartFormat chart="18" format="34">
      <pivotArea type="data" outline="0" fieldPosition="0">
        <references count="2">
          <reference field="4294967294" count="1" selected="0">
            <x v="0"/>
          </reference>
          <reference field="0" count="1" selected="0">
            <x v="1"/>
          </reference>
        </references>
      </pivotArea>
    </chartFormat>
    <chartFormat chart="18" format="35">
      <pivotArea type="data" outline="0" fieldPosition="0">
        <references count="2">
          <reference field="4294967294" count="1" selected="0">
            <x v="0"/>
          </reference>
          <reference field="0" count="1" selected="0">
            <x v="4"/>
          </reference>
        </references>
      </pivotArea>
    </chartFormat>
    <chartFormat chart="18" format="36">
      <pivotArea type="data" outline="0" fieldPosition="0">
        <references count="2">
          <reference field="4294967294" count="1" selected="0">
            <x v="0"/>
          </reference>
          <reference field="0" count="1" selected="0">
            <x v="5"/>
          </reference>
        </references>
      </pivotArea>
    </chartFormat>
    <chartFormat chart="18" format="37">
      <pivotArea type="data" outline="0" fieldPosition="0">
        <references count="2">
          <reference field="4294967294" count="1" selected="0">
            <x v="0"/>
          </reference>
          <reference field="0" count="1" selected="0">
            <x v="6"/>
          </reference>
        </references>
      </pivotArea>
    </chartFormat>
    <chartFormat chart="18" format="38">
      <pivotArea type="data" outline="0" fieldPosition="0">
        <references count="2">
          <reference field="4294967294" count="1" selected="0">
            <x v="0"/>
          </reference>
          <reference field="0" count="1" selected="0">
            <x v="7"/>
          </reference>
        </references>
      </pivotArea>
    </chartFormat>
    <chartFormat chart="18" format="39">
      <pivotArea type="data" outline="0" fieldPosition="0">
        <references count="2">
          <reference field="4294967294" count="1" selected="0">
            <x v="0"/>
          </reference>
          <reference field="0" count="1" selected="0">
            <x v="8"/>
          </reference>
        </references>
      </pivotArea>
    </chartFormat>
    <chartFormat chart="18" format="40">
      <pivotArea type="data" outline="0" fieldPosition="0">
        <references count="2">
          <reference field="4294967294" count="1" selected="0">
            <x v="0"/>
          </reference>
          <reference field="0" count="1" selected="0">
            <x v="9"/>
          </reference>
        </references>
      </pivotArea>
    </chartFormat>
    <chartFormat chart="18" format="41">
      <pivotArea type="data" outline="0" fieldPosition="0">
        <references count="2">
          <reference field="4294967294" count="1" selected="0">
            <x v="0"/>
          </reference>
          <reference field="0" count="1" selected="0">
            <x v="10"/>
          </reference>
        </references>
      </pivotArea>
    </chartFormat>
    <chartFormat chart="18" format="42">
      <pivotArea type="data" outline="0" fieldPosition="0">
        <references count="2">
          <reference field="4294967294" count="1" selected="0">
            <x v="0"/>
          </reference>
          <reference field="0" count="1" selected="0">
            <x v="11"/>
          </reference>
        </references>
      </pivotArea>
    </chartFormat>
    <chartFormat chart="18" format="43">
      <pivotArea type="data" outline="0" fieldPosition="0">
        <references count="2">
          <reference field="4294967294" count="1" selected="0">
            <x v="0"/>
          </reference>
          <reference field="0" count="1" selected="0">
            <x v="12"/>
          </reference>
        </references>
      </pivotArea>
    </chartFormat>
    <chartFormat chart="18" format="44">
      <pivotArea type="data" outline="0" fieldPosition="0">
        <references count="2">
          <reference field="4294967294" count="1" selected="0">
            <x v="0"/>
          </reference>
          <reference field="0" count="1" selected="0">
            <x v="13"/>
          </reference>
        </references>
      </pivotArea>
    </chartFormat>
    <chartFormat chart="18" format="45">
      <pivotArea type="data" outline="0" fieldPosition="0">
        <references count="2">
          <reference field="4294967294" count="1" selected="0">
            <x v="0"/>
          </reference>
          <reference field="0" count="1" selected="0">
            <x v="14"/>
          </reference>
        </references>
      </pivotArea>
    </chartFormat>
    <chartFormat chart="18" format="46">
      <pivotArea type="data" outline="0" fieldPosition="0">
        <references count="2">
          <reference field="4294967294" count="1" selected="0">
            <x v="0"/>
          </reference>
          <reference field="0" count="1" selected="0">
            <x v="15"/>
          </reference>
        </references>
      </pivotArea>
    </chartFormat>
    <chartFormat chart="18" format="47">
      <pivotArea type="data" outline="0" fieldPosition="0">
        <references count="2">
          <reference field="4294967294" count="1" selected="0">
            <x v="0"/>
          </reference>
          <reference field="0" count="1" selected="0">
            <x v="16"/>
          </reference>
        </references>
      </pivotArea>
    </chartFormat>
    <chartFormat chart="18" format="48">
      <pivotArea type="data" outline="0" fieldPosition="0">
        <references count="2">
          <reference field="4294967294" count="1" selected="0">
            <x v="0"/>
          </reference>
          <reference field="0" count="1" selected="0">
            <x v="17"/>
          </reference>
        </references>
      </pivotArea>
    </chartFormat>
    <chartFormat chart="18" format="49">
      <pivotArea type="data" outline="0" fieldPosition="0">
        <references count="2">
          <reference field="4294967294" count="1" selected="0">
            <x v="0"/>
          </reference>
          <reference field="0" count="1" selected="0">
            <x v="18"/>
          </reference>
        </references>
      </pivotArea>
    </chartFormat>
    <chartFormat chart="18" format="50">
      <pivotArea type="data" outline="0" fieldPosition="0">
        <references count="2">
          <reference field="4294967294" count="1" selected="0">
            <x v="0"/>
          </reference>
          <reference field="0" count="1" selected="0">
            <x v="20"/>
          </reference>
        </references>
      </pivotArea>
    </chartFormat>
    <chartFormat chart="18" format="51">
      <pivotArea type="data" outline="0" fieldPosition="0">
        <references count="2">
          <reference field="4294967294" count="1" selected="0">
            <x v="0"/>
          </reference>
          <reference field="0" count="1" selected="0">
            <x v="21"/>
          </reference>
        </references>
      </pivotArea>
    </chartFormat>
    <chartFormat chart="18" format="52">
      <pivotArea type="data" outline="0" fieldPosition="0">
        <references count="2">
          <reference field="4294967294" count="1" selected="0">
            <x v="0"/>
          </reference>
          <reference field="0" count="1" selected="0">
            <x v="22"/>
          </reference>
        </references>
      </pivotArea>
    </chartFormat>
    <chartFormat chart="18" format="53">
      <pivotArea type="data" outline="0" fieldPosition="0">
        <references count="2">
          <reference field="4294967294" count="1" selected="0">
            <x v="0"/>
          </reference>
          <reference field="0" count="1" selected="0">
            <x v="25"/>
          </reference>
        </references>
      </pivotArea>
    </chartFormat>
    <chartFormat chart="18" format="54">
      <pivotArea type="data" outline="0" fieldPosition="0">
        <references count="2">
          <reference field="4294967294" count="1" selected="0">
            <x v="0"/>
          </reference>
          <reference field="0" count="1" selected="0">
            <x v="27"/>
          </reference>
        </references>
      </pivotArea>
    </chartFormat>
    <chartFormat chart="18" format="55">
      <pivotArea type="data" outline="0" fieldPosition="0">
        <references count="2">
          <reference field="4294967294" count="1" selected="0">
            <x v="0"/>
          </reference>
          <reference field="0" count="1" selected="0">
            <x v="28"/>
          </reference>
        </references>
      </pivotArea>
    </chartFormat>
    <chartFormat chart="18" format="56">
      <pivotArea type="data" outline="0" fieldPosition="0">
        <references count="2">
          <reference field="4294967294" count="1" selected="0">
            <x v="0"/>
          </reference>
          <reference field="0" count="1" selected="0">
            <x v="29"/>
          </reference>
        </references>
      </pivotArea>
    </chartFormat>
    <chartFormat chart="18" format="57">
      <pivotArea type="data" outline="0" fieldPosition="0">
        <references count="2">
          <reference field="4294967294" count="1" selected="0">
            <x v="0"/>
          </reference>
          <reference field="0" count="1" selected="0">
            <x v="33"/>
          </reference>
        </references>
      </pivotArea>
    </chartFormat>
    <chartFormat chart="18" format="58">
      <pivotArea type="data" outline="0" fieldPosition="0">
        <references count="2">
          <reference field="4294967294" count="1" selected="0">
            <x v="0"/>
          </reference>
          <reference field="0" count="1" selected="0">
            <x v="34"/>
          </reference>
        </references>
      </pivotArea>
    </chartFormat>
    <chartFormat chart="18" format="59">
      <pivotArea type="data" outline="0" fieldPosition="0">
        <references count="2">
          <reference field="4294967294" count="1" selected="0">
            <x v="0"/>
          </reference>
          <reference field="0" count="1" selected="0">
            <x v="36"/>
          </reference>
        </references>
      </pivotArea>
    </chartFormat>
    <chartFormat chart="18" format="60">
      <pivotArea type="data" outline="0" fieldPosition="0">
        <references count="2">
          <reference field="4294967294" count="1" selected="0">
            <x v="0"/>
          </reference>
          <reference field="0" count="1" selected="0">
            <x v="37"/>
          </reference>
        </references>
      </pivotArea>
    </chartFormat>
    <chartFormat chart="18" format="61">
      <pivotArea type="data" outline="0" fieldPosition="0">
        <references count="2">
          <reference field="4294967294" count="1" selected="0">
            <x v="0"/>
          </reference>
          <reference field="0" count="1" selected="0">
            <x v="38"/>
          </reference>
        </references>
      </pivotArea>
    </chartFormat>
    <chartFormat chart="18" format="62">
      <pivotArea type="data" outline="0" fieldPosition="0">
        <references count="2">
          <reference field="4294967294" count="1" selected="0">
            <x v="0"/>
          </reference>
          <reference field="0" count="1" selected="0">
            <x v="39"/>
          </reference>
        </references>
      </pivotArea>
    </chartFormat>
    <chartFormat chart="18" format="63">
      <pivotArea type="data" outline="0" fieldPosition="0">
        <references count="2">
          <reference field="4294967294" count="1" selected="0">
            <x v="0"/>
          </reference>
          <reference field="0" count="1" selected="0">
            <x v="40"/>
          </reference>
        </references>
      </pivotArea>
    </chartFormat>
    <chartFormat chart="18" format="64">
      <pivotArea type="data" outline="0" fieldPosition="0">
        <references count="2">
          <reference field="4294967294" count="1" selected="0">
            <x v="0"/>
          </reference>
          <reference field="0" count="1" selected="0">
            <x v="46"/>
          </reference>
        </references>
      </pivotArea>
    </chartFormat>
    <chartFormat chart="18" format="65">
      <pivotArea type="data" outline="0" fieldPosition="0">
        <references count="2">
          <reference field="4294967294" count="1" selected="0">
            <x v="0"/>
          </reference>
          <reference field="0" count="1" selected="0">
            <x v="47"/>
          </reference>
        </references>
      </pivotArea>
    </chartFormat>
    <chartFormat chart="18" format="66">
      <pivotArea type="data" outline="0" fieldPosition="0">
        <references count="2">
          <reference field="4294967294" count="1" selected="0">
            <x v="0"/>
          </reference>
          <reference field="0" count="1" selected="0">
            <x v="54"/>
          </reference>
        </references>
      </pivotArea>
    </chartFormat>
    <chartFormat chart="18" format="67">
      <pivotArea type="data" outline="0" fieldPosition="0">
        <references count="2">
          <reference field="4294967294" count="1" selected="0">
            <x v="0"/>
          </reference>
          <reference field="0" count="1" selected="0">
            <x v="56"/>
          </reference>
        </references>
      </pivotArea>
    </chartFormat>
    <chartFormat chart="18" format="68">
      <pivotArea type="data" outline="0" fieldPosition="0">
        <references count="2">
          <reference field="4294967294" count="1" selected="0">
            <x v="0"/>
          </reference>
          <reference field="0" count="1" selected="0">
            <x v="58"/>
          </reference>
        </references>
      </pivotArea>
    </chartFormat>
    <chartFormat chart="18" format="69">
      <pivotArea type="data" outline="0" fieldPosition="0">
        <references count="2">
          <reference field="4294967294" count="1" selected="0">
            <x v="0"/>
          </reference>
          <reference field="0" count="1" selected="0">
            <x v="59"/>
          </reference>
        </references>
      </pivotArea>
    </chartFormat>
    <chartFormat chart="18" format="70">
      <pivotArea type="data" outline="0" fieldPosition="0">
        <references count="2">
          <reference field="4294967294" count="1" selected="0">
            <x v="0"/>
          </reference>
          <reference field="0" count="1" selected="0">
            <x v="60"/>
          </reference>
        </references>
      </pivotArea>
    </chartFormat>
    <chartFormat chart="18" format="71">
      <pivotArea type="data" outline="0" fieldPosition="0">
        <references count="2">
          <reference field="4294967294" count="1" selected="0">
            <x v="0"/>
          </reference>
          <reference field="0" count="1" selected="0">
            <x v="67"/>
          </reference>
        </references>
      </pivotArea>
    </chartFormat>
    <chartFormat chart="18" format="72">
      <pivotArea type="data" outline="0" fieldPosition="0">
        <references count="2">
          <reference field="4294967294" count="1" selected="0">
            <x v="0"/>
          </reference>
          <reference field="0" count="1" selected="0">
            <x v="68"/>
          </reference>
        </references>
      </pivotArea>
    </chartFormat>
    <chartFormat chart="18" format="73">
      <pivotArea type="data" outline="0" fieldPosition="0">
        <references count="2">
          <reference field="4294967294" count="1" selected="0">
            <x v="0"/>
          </reference>
          <reference field="0" count="1" selected="0">
            <x v="73"/>
          </reference>
        </references>
      </pivotArea>
    </chartFormat>
    <chartFormat chart="18" format="74">
      <pivotArea type="data" outline="0" fieldPosition="0">
        <references count="2">
          <reference field="4294967294" count="1" selected="0">
            <x v="0"/>
          </reference>
          <reference field="0" count="1" selected="0">
            <x v="74"/>
          </reference>
        </references>
      </pivotArea>
    </chartFormat>
    <chartFormat chart="18" format="75">
      <pivotArea type="data" outline="0" fieldPosition="0">
        <references count="2">
          <reference field="4294967294" count="1" selected="0">
            <x v="0"/>
          </reference>
          <reference field="0" count="1" selected="0">
            <x v="75"/>
          </reference>
        </references>
      </pivotArea>
    </chartFormat>
    <chartFormat chart="18" format="76">
      <pivotArea type="data" outline="0" fieldPosition="0">
        <references count="2">
          <reference field="4294967294" count="1" selected="0">
            <x v="0"/>
          </reference>
          <reference field="0" count="1" selected="0">
            <x v="76"/>
          </reference>
        </references>
      </pivotArea>
    </chartFormat>
    <chartFormat chart="18" format="77">
      <pivotArea type="data" outline="0" fieldPosition="0">
        <references count="2">
          <reference field="4294967294" count="1" selected="0">
            <x v="0"/>
          </reference>
          <reference field="0" count="1" selected="0">
            <x v="77"/>
          </reference>
        </references>
      </pivotArea>
    </chartFormat>
    <chartFormat chart="18" format="78">
      <pivotArea type="data" outline="0" fieldPosition="0">
        <references count="2">
          <reference field="4294967294" count="1" selected="0">
            <x v="0"/>
          </reference>
          <reference field="0" count="1" selected="0">
            <x v="78"/>
          </reference>
        </references>
      </pivotArea>
    </chartFormat>
    <chartFormat chart="18" format="79">
      <pivotArea type="data" outline="0" fieldPosition="0">
        <references count="2">
          <reference field="4294967294" count="1" selected="0">
            <x v="0"/>
          </reference>
          <reference field="0" count="1" selected="0">
            <x v="85"/>
          </reference>
        </references>
      </pivotArea>
    </chartFormat>
    <chartFormat chart="18" format="80">
      <pivotArea type="data" outline="0" fieldPosition="0">
        <references count="2">
          <reference field="4294967294" count="1" selected="0">
            <x v="0"/>
          </reference>
          <reference field="0" count="1" selected="0">
            <x v="86"/>
          </reference>
        </references>
      </pivotArea>
    </chartFormat>
    <chartFormat chart="18" format="81">
      <pivotArea type="data" outline="0" fieldPosition="0">
        <references count="2">
          <reference field="4294967294" count="1" selected="0">
            <x v="0"/>
          </reference>
          <reference field="0" count="1" selected="0">
            <x v="88"/>
          </reference>
        </references>
      </pivotArea>
    </chartFormat>
    <chartFormat chart="18" format="82">
      <pivotArea type="data" outline="0" fieldPosition="0">
        <references count="2">
          <reference field="4294967294" count="1" selected="0">
            <x v="0"/>
          </reference>
          <reference field="0" count="1" selected="0">
            <x v="89"/>
          </reference>
        </references>
      </pivotArea>
    </chartFormat>
    <chartFormat chart="18" format="83">
      <pivotArea type="data" outline="0" fieldPosition="0">
        <references count="2">
          <reference field="4294967294" count="1" selected="0">
            <x v="0"/>
          </reference>
          <reference field="0" count="1" selected="0">
            <x v="31"/>
          </reference>
        </references>
      </pivotArea>
    </chartFormat>
    <chartFormat chart="18" format="84">
      <pivotArea type="data" outline="0" fieldPosition="0">
        <references count="2">
          <reference field="4294967294" count="1" selected="0">
            <x v="0"/>
          </reference>
          <reference field="0" count="1" selected="0">
            <x v="19"/>
          </reference>
        </references>
      </pivotArea>
    </chartFormat>
    <chartFormat chart="18" format="85">
      <pivotArea type="data" outline="0" fieldPosition="0">
        <references count="2">
          <reference field="4294967294" count="1" selected="0">
            <x v="0"/>
          </reference>
          <reference field="0" count="1" selected="0">
            <x v="23"/>
          </reference>
        </references>
      </pivotArea>
    </chartFormat>
    <chartFormat chart="18" format="86">
      <pivotArea type="data" outline="0" fieldPosition="0">
        <references count="2">
          <reference field="4294967294" count="1" selected="0">
            <x v="0"/>
          </reference>
          <reference field="0" count="1" selected="0">
            <x v="24"/>
          </reference>
        </references>
      </pivotArea>
    </chartFormat>
    <chartFormat chart="18" format="87">
      <pivotArea type="data" outline="0" fieldPosition="0">
        <references count="2">
          <reference field="4294967294" count="1" selected="0">
            <x v="0"/>
          </reference>
          <reference field="0" count="1" selected="0">
            <x v="26"/>
          </reference>
        </references>
      </pivotArea>
    </chartFormat>
    <chartFormat chart="18" format="88">
      <pivotArea type="data" outline="0" fieldPosition="0">
        <references count="2">
          <reference field="4294967294" count="1" selected="0">
            <x v="0"/>
          </reference>
          <reference field="0" count="1" selected="0">
            <x v="30"/>
          </reference>
        </references>
      </pivotArea>
    </chartFormat>
    <chartFormat chart="18" format="89">
      <pivotArea type="data" outline="0" fieldPosition="0">
        <references count="2">
          <reference field="4294967294" count="1" selected="0">
            <x v="0"/>
          </reference>
          <reference field="0" count="1" selected="0">
            <x v="32"/>
          </reference>
        </references>
      </pivotArea>
    </chartFormat>
  </chartFormats>
  <pivotTableStyleInfo name="PivotStyleLight16" showRowHeaders="1" showColHeaders="1" showRowStripes="0" showColStripes="0" showLastColumn="1"/>
  <filters count="1">
    <filter fld="0" type="captionNotEqual" evalOrder="-1" id="3" stringValue1="#N/A">
      <autoFilter ref="A1">
        <filterColumn colId="0">
          <customFilters>
            <customFilter operator="notEqual" val="#N/A"/>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900-000002000000}" name="ﾋﾟﾎﾞｯﾄﾃｰﾌﾞﾙ4" cacheId="14" applyNumberFormats="0" applyBorderFormats="0" applyFontFormats="0" applyPatternFormats="0" applyAlignmentFormats="0" applyWidthHeightFormats="1" dataCaption="値" updatedVersion="8" minRefreshableVersion="3" useAutoFormatting="1" itemPrintTitles="1" createdVersion="4" indent="0" outline="1" outlineData="1" multipleFieldFilters="0" chartFormat="16">
  <location ref="M6:N7" firstHeaderRow="1" firstDataRow="1" firstDataCol="1"/>
  <pivotFields count="1">
    <pivotField axis="axisRow" dataField="1" showAll="0" sortType="ascending" defaultSubtotal="0">
      <items count="17">
        <item m="1" x="2"/>
        <item m="1" x="9"/>
        <item m="1" x="10"/>
        <item m="1" x="8"/>
        <item m="1" x="11"/>
        <item m="1" x="13"/>
        <item m="1" x="7"/>
        <item m="1" x="5"/>
        <item m="1" x="4"/>
        <item m="1" x="15"/>
        <item m="1" x="14"/>
        <item m="1" x="3"/>
        <item m="1" x="1"/>
        <item m="1" x="6"/>
        <item m="1" x="12"/>
        <item m="1" x="16"/>
        <item x="0"/>
      </items>
    </pivotField>
  </pivotFields>
  <rowFields count="1">
    <field x="0"/>
  </rowFields>
  <rowItems count="1">
    <i t="grand">
      <x/>
    </i>
  </rowItems>
  <colItems count="1">
    <i/>
  </colItems>
  <dataFields count="1">
    <dataField name="データの個数 / Root cause " fld="0" subtotal="count" baseField="0" baseItem="0"/>
  </dataFields>
  <chartFormats count="12">
    <chartFormat chart="2" format="4" series="1">
      <pivotArea type="data" outline="0" fieldPosition="0">
        <references count="1">
          <reference field="4294967294" count="1" selected="0">
            <x v="0"/>
          </reference>
        </references>
      </pivotArea>
    </chartFormat>
    <chartFormat chart="2" format="5">
      <pivotArea type="data" outline="0" fieldPosition="0">
        <references count="2">
          <reference field="4294967294" count="1" selected="0">
            <x v="0"/>
          </reference>
          <reference field="0" count="1" selected="0">
            <x v="7"/>
          </reference>
        </references>
      </pivotArea>
    </chartFormat>
    <chartFormat chart="2" format="6">
      <pivotArea type="data" outline="0" fieldPosition="0">
        <references count="2">
          <reference field="4294967294" count="1" selected="0">
            <x v="0"/>
          </reference>
          <reference field="0" count="1" selected="0">
            <x v="0"/>
          </reference>
        </references>
      </pivotArea>
    </chartFormat>
    <chartFormat chart="2" format="7">
      <pivotArea type="data" outline="0" fieldPosition="0">
        <references count="2">
          <reference field="4294967294" count="1" selected="0">
            <x v="0"/>
          </reference>
          <reference field="0" count="1" selected="0">
            <x v="14"/>
          </reference>
        </references>
      </pivotArea>
    </chartFormat>
    <chartFormat chart="2" format="8">
      <pivotArea type="data" outline="0" fieldPosition="0">
        <references count="2">
          <reference field="4294967294" count="1" selected="0">
            <x v="0"/>
          </reference>
          <reference field="0" count="1" selected="0">
            <x v="10"/>
          </reference>
        </references>
      </pivotArea>
    </chartFormat>
    <chartFormat chart="2" format="9">
      <pivotArea type="data" outline="0" fieldPosition="0">
        <references count="1">
          <reference field="4294967294" count="1" selected="0">
            <x v="0"/>
          </reference>
        </references>
      </pivotArea>
    </chartFormat>
    <chartFormat chart="2" format="10">
      <pivotArea type="data" outline="0" fieldPosition="0">
        <references count="2">
          <reference field="4294967294" count="1" selected="0">
            <x v="0"/>
          </reference>
          <reference field="0" count="1" selected="0">
            <x v="8"/>
          </reference>
        </references>
      </pivotArea>
    </chartFormat>
    <chartFormat chart="2" format="11">
      <pivotArea type="data" outline="0" fieldPosition="0">
        <references count="2">
          <reference field="4294967294" count="1" selected="0">
            <x v="0"/>
          </reference>
          <reference field="0" count="1" selected="0">
            <x v="5"/>
          </reference>
        </references>
      </pivotArea>
    </chartFormat>
    <chartFormat chart="2" format="12">
      <pivotArea type="data" outline="0" fieldPosition="0">
        <references count="2">
          <reference field="4294967294" count="1" selected="0">
            <x v="0"/>
          </reference>
          <reference field="0" count="1" selected="0">
            <x v="6"/>
          </reference>
        </references>
      </pivotArea>
    </chartFormat>
    <chartFormat chart="2" format="13">
      <pivotArea type="data" outline="0" fieldPosition="0">
        <references count="2">
          <reference field="4294967294" count="1" selected="0">
            <x v="0"/>
          </reference>
          <reference field="0" count="1" selected="0">
            <x v="11"/>
          </reference>
        </references>
      </pivotArea>
    </chartFormat>
    <chartFormat chart="2" format="14">
      <pivotArea type="data" outline="0" fieldPosition="0">
        <references count="2">
          <reference field="4294967294" count="1" selected="0">
            <x v="0"/>
          </reference>
          <reference field="0" count="1" selected="0">
            <x v="12"/>
          </reference>
        </references>
      </pivotArea>
    </chartFormat>
    <chartFormat chart="2" format="15">
      <pivotArea type="data" outline="0" fieldPosition="0">
        <references count="2">
          <reference field="4294967294" count="1" selected="0">
            <x v="0"/>
          </reference>
          <reference field="0" count="1" selected="0">
            <x v="13"/>
          </reference>
        </references>
      </pivotArea>
    </chartFormat>
  </chartFormats>
  <pivotTableStyleInfo name="PivotStyleLight16" showRowHeaders="1" showColHeaders="1" showRowStripes="0" showColStripes="0" showLastColumn="1"/>
  <filters count="1">
    <filter fld="0" type="captionNotEqual" evalOrder="-1" id="3" stringValue1="#N/A">
      <autoFilter ref="A1">
        <filterColumn colId="0">
          <customFilters>
            <customFilter operator="notEqual" val="#N/A"/>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900-000001000000}" name="ﾋﾟﾎﾞｯﾄﾃｰﾌﾞﾙ3" cacheId="12" applyNumberFormats="0" applyBorderFormats="0" applyFontFormats="0" applyPatternFormats="0" applyAlignmentFormats="0" applyWidthHeightFormats="1" dataCaption="値" updatedVersion="8" minRefreshableVersion="3" useAutoFormatting="1" itemPrintTitles="1" createdVersion="4" indent="0" outline="1" outlineData="1" multipleFieldFilters="0" chartFormat="35">
  <location ref="I6:J7" firstHeaderRow="1" firstDataRow="1" firstDataCol="1"/>
  <pivotFields count="1">
    <pivotField axis="axisRow" dataField="1" showAll="0" sortType="ascending" defaultSubtotal="0">
      <items count="13">
        <item m="1" x="6"/>
        <item m="1" x="1"/>
        <item m="1" x="2"/>
        <item m="1" x="4"/>
        <item m="1" x="5"/>
        <item m="1" x="12"/>
        <item m="1" x="8"/>
        <item m="1" x="9"/>
        <item m="1" x="10"/>
        <item m="1" x="3"/>
        <item m="1" x="11"/>
        <item m="1" x="7"/>
        <item x="0"/>
      </items>
    </pivotField>
  </pivotFields>
  <rowFields count="1">
    <field x="0"/>
  </rowFields>
  <rowItems count="1">
    <i t="grand">
      <x/>
    </i>
  </rowItems>
  <colItems count="1">
    <i/>
  </colItems>
  <dataFields count="1">
    <dataField name="データの個数 / Category" fld="0" subtotal="count" baseField="0" baseItem="0"/>
  </dataFields>
  <chartFormats count="6">
    <chartFormat chart="16" format="6" series="1">
      <pivotArea type="data" outline="0" fieldPosition="0">
        <references count="1">
          <reference field="4294967294" count="1" selected="0">
            <x v="0"/>
          </reference>
        </references>
      </pivotArea>
    </chartFormat>
    <chartFormat chart="33" format="9" series="1">
      <pivotArea type="data" outline="0" fieldPosition="0">
        <references count="1">
          <reference field="4294967294" count="1" selected="0">
            <x v="0"/>
          </reference>
        </references>
      </pivotArea>
    </chartFormat>
    <chartFormat chart="34" format="10" series="1">
      <pivotArea type="data" outline="0" fieldPosition="0">
        <references count="1">
          <reference field="4294967294" count="1" selected="0">
            <x v="0"/>
          </reference>
        </references>
      </pivotArea>
    </chartFormat>
    <chartFormat chart="2" format="11" series="1">
      <pivotArea type="data" outline="0" fieldPosition="0">
        <references count="1">
          <reference field="4294967294" count="1" selected="0">
            <x v="0"/>
          </reference>
        </references>
      </pivotArea>
    </chartFormat>
    <chartFormat chart="2" format="12">
      <pivotArea type="data" outline="0" fieldPosition="0">
        <references count="2">
          <reference field="4294967294" count="1" selected="0">
            <x v="0"/>
          </reference>
          <reference field="0" count="1" selected="0">
            <x v="9"/>
          </reference>
        </references>
      </pivotArea>
    </chartFormat>
    <chartFormat chart="2" format="13">
      <pivotArea type="data" outline="0" fieldPosition="0">
        <references count="2">
          <reference field="4294967294" count="1" selected="0">
            <x v="0"/>
          </reference>
          <reference field="0" count="1" selected="0">
            <x v="2"/>
          </reference>
        </references>
      </pivotArea>
    </chartFormat>
  </chartFormats>
  <pivotTableStyleInfo name="PivotStyleLight16" showRowHeaders="1" showColHeaders="1" showRowStripes="0" showColStripes="0" showLastColumn="1"/>
  <filters count="1">
    <filter fld="0" type="captionNotEqual" evalOrder="-1" id="3" stringValue1="#N/A">
      <autoFilter ref="A1">
        <filterColumn colId="0">
          <customFilters>
            <customFilter operator="notEqual" val="#N/A"/>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900-000000000000}" name="ﾋﾟﾎﾞｯﾄﾃｰﾌﾞﾙ2" cacheId="15" applyNumberFormats="0" applyBorderFormats="0" applyFontFormats="0" applyPatternFormats="0" applyAlignmentFormats="0" applyWidthHeightFormats="1" dataCaption="値" updatedVersion="8" minRefreshableVersion="3" useAutoFormatting="1" itemPrintTitles="1" createdVersion="4" indent="0" outline="1" outlineData="1" multipleFieldFilters="0" chartFormat="3">
  <location ref="E6:F7" firstHeaderRow="1" firstDataRow="1" firstDataCol="1"/>
  <pivotFields count="1">
    <pivotField axis="axisRow" dataField="1" showAll="0" sortType="ascending" defaultSubtotal="0">
      <items count="80">
        <item m="1" x="74"/>
        <item m="1" x="55"/>
        <item m="1" x="77"/>
        <item m="1" x="75"/>
        <item m="1" x="67"/>
        <item m="1" x="70"/>
        <item m="1" x="66"/>
        <item m="1" x="71"/>
        <item m="1" x="79"/>
        <item m="1" x="78"/>
        <item m="1" x="72"/>
        <item m="1" x="73"/>
        <item m="1" x="76"/>
        <item m="1" x="69"/>
        <item m="1" x="68"/>
        <item m="1" x="56"/>
        <item m="1" x="60"/>
        <item m="1" x="61"/>
        <item m="1" x="58"/>
        <item m="1" x="62"/>
        <item m="1" x="59"/>
        <item m="1" x="57"/>
        <item m="1" x="49"/>
        <item m="1" x="53"/>
        <item m="1" x="47"/>
        <item m="1" x="54"/>
        <item m="1" x="46"/>
        <item m="1" x="11"/>
        <item m="1" x="13"/>
        <item m="1" x="12"/>
        <item m="1" x="14"/>
        <item m="1" x="10"/>
        <item m="1" x="43"/>
        <item m="1" x="42"/>
        <item m="1" x="41"/>
        <item m="1" x="63"/>
        <item m="1" x="21"/>
        <item m="1" x="22"/>
        <item m="1" x="24"/>
        <item m="1" x="64"/>
        <item m="1" x="20"/>
        <item m="1" x="16"/>
        <item m="1" x="25"/>
        <item m="1" x="19"/>
        <item m="1" x="15"/>
        <item m="1" x="28"/>
        <item m="1" x="23"/>
        <item m="1" x="52"/>
        <item m="1" x="6"/>
        <item m="1" x="9"/>
        <item m="1" x="1"/>
        <item m="1" x="51"/>
        <item m="1" x="5"/>
        <item m="1" x="8"/>
        <item m="1" x="31"/>
        <item m="1" x="29"/>
        <item m="1" x="27"/>
        <item m="1" x="26"/>
        <item m="1" x="65"/>
        <item m="1" x="32"/>
        <item m="1" x="30"/>
        <item m="1" x="48"/>
        <item m="1" x="37"/>
        <item m="1" x="38"/>
        <item m="1" x="17"/>
        <item m="1" x="45"/>
        <item m="1" x="18"/>
        <item m="1" x="44"/>
        <item m="1" x="35"/>
        <item m="1" x="2"/>
        <item m="1" x="34"/>
        <item m="1" x="39"/>
        <item m="1" x="33"/>
        <item m="1" x="36"/>
        <item m="1" x="40"/>
        <item m="1" x="50"/>
        <item m="1" x="7"/>
        <item m="1" x="4"/>
        <item m="1" x="3"/>
        <item x="0"/>
      </items>
    </pivotField>
  </pivotFields>
  <rowFields count="1">
    <field x="0"/>
  </rowFields>
  <rowItems count="1">
    <i t="grand">
      <x/>
    </i>
  </rowItems>
  <colItems count="1">
    <i/>
  </colItems>
  <dataFields count="1">
    <dataField name="データの個数 / Function" fld="0" subtotal="count" baseField="0" baseItem="0"/>
  </dataFields>
  <chartFormats count="14">
    <chartFormat chart="2" format="5" series="1">
      <pivotArea type="data" outline="0" fieldPosition="0">
        <references count="1">
          <reference field="4294967294" count="1" selected="0">
            <x v="0"/>
          </reference>
        </references>
      </pivotArea>
    </chartFormat>
    <chartFormat chart="2" format="6">
      <pivotArea type="data" outline="0" fieldPosition="0">
        <references count="2">
          <reference field="4294967294" count="1" selected="0">
            <x v="0"/>
          </reference>
          <reference field="0" count="1" selected="0">
            <x v="14"/>
          </reference>
        </references>
      </pivotArea>
    </chartFormat>
    <chartFormat chart="2" format="7">
      <pivotArea type="data" outline="0" fieldPosition="0">
        <references count="2">
          <reference field="4294967294" count="1" selected="0">
            <x v="0"/>
          </reference>
          <reference field="0" count="1" selected="0">
            <x v="7"/>
          </reference>
        </references>
      </pivotArea>
    </chartFormat>
    <chartFormat chart="2" format="8">
      <pivotArea type="data" outline="0" fieldPosition="0">
        <references count="2">
          <reference field="4294967294" count="1" selected="0">
            <x v="0"/>
          </reference>
          <reference field="0" count="1" selected="0">
            <x v="5"/>
          </reference>
        </references>
      </pivotArea>
    </chartFormat>
    <chartFormat chart="2" format="9">
      <pivotArea type="data" outline="0" fieldPosition="0">
        <references count="2">
          <reference field="4294967294" count="1" selected="0">
            <x v="0"/>
          </reference>
          <reference field="0" count="1" selected="0">
            <x v="6"/>
          </reference>
        </references>
      </pivotArea>
    </chartFormat>
    <chartFormat chart="2" format="10">
      <pivotArea type="data" outline="0" fieldPosition="0">
        <references count="2">
          <reference field="4294967294" count="1" selected="0">
            <x v="0"/>
          </reference>
          <reference field="0" count="1" selected="0">
            <x v="9"/>
          </reference>
        </references>
      </pivotArea>
    </chartFormat>
    <chartFormat chart="2" format="11">
      <pivotArea type="data" outline="0" fieldPosition="0">
        <references count="2">
          <reference field="4294967294" count="1" selected="0">
            <x v="0"/>
          </reference>
          <reference field="0" count="1" selected="0">
            <x v="8"/>
          </reference>
        </references>
      </pivotArea>
    </chartFormat>
    <chartFormat chart="2" format="12">
      <pivotArea type="data" outline="0" fieldPosition="0">
        <references count="2">
          <reference field="4294967294" count="1" selected="0">
            <x v="0"/>
          </reference>
          <reference field="0" count="1" selected="0">
            <x v="10"/>
          </reference>
        </references>
      </pivotArea>
    </chartFormat>
    <chartFormat chart="2" format="13">
      <pivotArea type="data" outline="0" fieldPosition="0">
        <references count="2">
          <reference field="4294967294" count="1" selected="0">
            <x v="0"/>
          </reference>
          <reference field="0" count="1" selected="0">
            <x v="31"/>
          </reference>
        </references>
      </pivotArea>
    </chartFormat>
    <chartFormat chart="2" format="14">
      <pivotArea type="data" outline="0" fieldPosition="0">
        <references count="2">
          <reference field="4294967294" count="1" selected="0">
            <x v="0"/>
          </reference>
          <reference field="0" count="1" selected="0">
            <x v="29"/>
          </reference>
        </references>
      </pivotArea>
    </chartFormat>
    <chartFormat chart="2" format="15">
      <pivotArea type="data" outline="0" fieldPosition="0">
        <references count="2">
          <reference field="4294967294" count="1" selected="0">
            <x v="0"/>
          </reference>
          <reference field="0" count="1" selected="0">
            <x v="28"/>
          </reference>
        </references>
      </pivotArea>
    </chartFormat>
    <chartFormat chart="2" format="16">
      <pivotArea type="data" outline="0" fieldPosition="0">
        <references count="2">
          <reference field="4294967294" count="1" selected="0">
            <x v="0"/>
          </reference>
          <reference field="0" count="1" selected="0">
            <x v="27"/>
          </reference>
        </references>
      </pivotArea>
    </chartFormat>
    <chartFormat chart="2" format="17">
      <pivotArea type="data" outline="0" fieldPosition="0">
        <references count="2">
          <reference field="4294967294" count="1" selected="0">
            <x v="0"/>
          </reference>
          <reference field="0" count="1" selected="0">
            <x v="26"/>
          </reference>
        </references>
      </pivotArea>
    </chartFormat>
    <chartFormat chart="2" format="18">
      <pivotArea type="data" outline="0" fieldPosition="0">
        <references count="2">
          <reference field="4294967294" count="1" selected="0">
            <x v="0"/>
          </reference>
          <reference field="0" count="1" selected="0">
            <x v="24"/>
          </reference>
        </references>
      </pivotArea>
    </chartFormat>
  </chartFormats>
  <pivotTableStyleInfo name="PivotStyleLight16" showRowHeaders="1" showColHeaders="1" showRowStripes="0" showColStripes="0" showLastColumn="1"/>
  <filters count="1">
    <filter fld="0" type="captionNotEqual" evalOrder="-1" id="3" stringValue1="#N/A">
      <autoFilter ref="A1">
        <filterColumn colId="0">
          <customFilters>
            <customFilter operator="notEqual" val="#N/A"/>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900-000005000000}" name="ﾋﾟﾎﾞｯﾄﾃｰﾌﾞﾙ1" cacheId="16" applyNumberFormats="0" applyBorderFormats="0" applyFontFormats="0" applyPatternFormats="0" applyAlignmentFormats="0" applyWidthHeightFormats="1" dataCaption="値" updatedVersion="8" minRefreshableVersion="3" useAutoFormatting="1" itemPrintTitles="1" createdVersion="4" indent="0" outline="1" outlineData="1" multipleFieldFilters="0" chartFormat="24">
  <location ref="A6:B7" firstHeaderRow="1" firstDataRow="1" firstDataCol="1"/>
  <pivotFields count="1">
    <pivotField axis="axisRow" dataField="1" showAll="0" sortType="ascending" defaultSubtotal="0">
      <items count="26">
        <item m="1" x="22"/>
        <item m="1" x="15"/>
        <item m="1" x="12"/>
        <item m="1" x="13"/>
        <item m="1" x="25"/>
        <item m="1" x="20"/>
        <item m="1" x="2"/>
        <item m="1" x="18"/>
        <item m="1" x="10"/>
        <item m="1" x="17"/>
        <item m="1" x="11"/>
        <item m="1" x="14"/>
        <item m="1" x="9"/>
        <item m="1" x="3"/>
        <item m="1" x="24"/>
        <item m="1" x="1"/>
        <item m="1" x="8"/>
        <item m="1" x="6"/>
        <item m="1" x="4"/>
        <item m="1" x="16"/>
        <item m="1" x="21"/>
        <item m="1" x="7"/>
        <item m="1" x="23"/>
        <item m="1" x="19"/>
        <item m="1" x="5"/>
        <item x="0"/>
      </items>
    </pivotField>
  </pivotFields>
  <rowFields count="1">
    <field x="0"/>
  </rowFields>
  <rowItems count="1">
    <i t="grand">
      <x/>
    </i>
  </rowItems>
  <colItems count="1">
    <i/>
  </colItems>
  <dataFields count="1">
    <dataField name="データの個数 / Sub System" fld="0" subtotal="count" baseField="0" baseItem="0"/>
  </dataFields>
  <chartFormats count="4">
    <chartFormat chart="2" format="9" series="1">
      <pivotArea type="data" outline="0" fieldPosition="0">
        <references count="1">
          <reference field="4294967294" count="1" selected="0">
            <x v="0"/>
          </reference>
        </references>
      </pivotArea>
    </chartFormat>
    <chartFormat chart="17" format="11" series="1">
      <pivotArea type="data" outline="0" fieldPosition="0">
        <references count="1">
          <reference field="4294967294" count="1" selected="0">
            <x v="0"/>
          </reference>
        </references>
      </pivotArea>
    </chartFormat>
    <chartFormat chart="17" format="12">
      <pivotArea type="data" outline="0" fieldPosition="0">
        <references count="2">
          <reference field="4294967294" count="1" selected="0">
            <x v="0"/>
          </reference>
          <reference field="0" count="1" selected="0">
            <x v="6"/>
          </reference>
        </references>
      </pivotArea>
    </chartFormat>
    <chartFormat chart="17" format="13">
      <pivotArea type="data" outline="0" fieldPosition="0">
        <references count="2">
          <reference field="4294967294" count="1" selected="0">
            <x v="0"/>
          </reference>
          <reference field="0" count="1" selected="0">
            <x v="3"/>
          </reference>
        </references>
      </pivotArea>
    </chartFormat>
  </chartFormats>
  <pivotTableStyleInfo name="PivotStyleLight16" showRowHeaders="1" showColHeaders="1" showRowStripes="0" showColStripes="0" showLastColumn="1"/>
  <filters count="1">
    <filter fld="0" type="captionNotEqual" evalOrder="-1" id="5" stringValue1="#N/A">
      <autoFilter ref="A1">
        <filterColumn colId="0">
          <customFilters>
            <customFilter operator="notEqual" val="#N/A"/>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printerSettings" Target="../printerSettings/printerSettings8.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pageSetUpPr fitToPage="1"/>
  </sheetPr>
  <dimension ref="A1:BF403"/>
  <sheetViews>
    <sheetView showGridLines="0" view="pageBreakPreview" zoomScale="115" zoomScaleNormal="100" zoomScaleSheetLayoutView="115" workbookViewId="0">
      <pane xSplit="8" ySplit="8" topLeftCell="I9" activePane="bottomRight" state="frozen"/>
      <selection pane="topRight" activeCell="I1" sqref="I1"/>
      <selection pane="bottomLeft" activeCell="A9" sqref="A9"/>
      <selection pane="bottomRight" activeCell="I9" sqref="I9"/>
    </sheetView>
  </sheetViews>
  <sheetFormatPr defaultColWidth="9" defaultRowHeight="12"/>
  <cols>
    <col min="1" max="1" width="3.375" style="1" customWidth="1"/>
    <col min="2" max="2" width="6.125" style="1" customWidth="1"/>
    <col min="3" max="3" width="41.875" style="1" bestFit="1" customWidth="1"/>
    <col min="4" max="4" width="10.375" style="1" bestFit="1" customWidth="1"/>
    <col min="5" max="6" width="10.375" style="1" customWidth="1"/>
    <col min="7" max="7" width="8.25" style="1" customWidth="1"/>
    <col min="8" max="8" width="6.375" style="1" customWidth="1"/>
    <col min="9" max="31" width="5" style="1" customWidth="1"/>
    <col min="32" max="58" width="5.125" style="1" customWidth="1"/>
    <col min="59" max="16384" width="9" style="1"/>
  </cols>
  <sheetData>
    <row r="1" spans="1:58" ht="15" customHeight="1">
      <c r="A1" s="33"/>
      <c r="B1" s="532" t="s">
        <v>171</v>
      </c>
      <c r="C1" s="532"/>
      <c r="D1" s="532"/>
      <c r="E1" s="532"/>
      <c r="F1" s="532"/>
      <c r="G1" s="532"/>
      <c r="H1" s="532"/>
      <c r="I1" s="532"/>
      <c r="J1" s="532"/>
      <c r="K1" s="532"/>
      <c r="L1" s="532"/>
      <c r="M1" s="532"/>
      <c r="O1" s="518" t="s">
        <v>174</v>
      </c>
      <c r="P1" s="518"/>
    </row>
    <row r="2" spans="1:58" ht="15" customHeight="1">
      <c r="A2" s="10"/>
      <c r="B2" s="532"/>
      <c r="C2" s="532"/>
      <c r="D2" s="532"/>
      <c r="E2" s="532"/>
      <c r="F2" s="532"/>
      <c r="G2" s="532"/>
      <c r="H2" s="532"/>
      <c r="I2" s="532"/>
      <c r="J2" s="532"/>
      <c r="K2" s="532"/>
      <c r="L2" s="532"/>
      <c r="M2" s="532"/>
      <c r="O2" s="519">
        <v>46139</v>
      </c>
      <c r="P2" s="520"/>
    </row>
    <row r="3" spans="1:58" ht="15" customHeight="1">
      <c r="A3" s="10"/>
      <c r="B3" s="531" t="s">
        <v>172</v>
      </c>
      <c r="C3" s="531"/>
      <c r="D3" s="565" t="str">
        <f>Master!E3</f>
        <v>WiseOffice基盤更改プロジェクト</v>
      </c>
      <c r="E3" s="565"/>
      <c r="F3" s="565"/>
      <c r="G3" s="565"/>
      <c r="H3" s="531" t="s">
        <v>173</v>
      </c>
      <c r="I3" s="531"/>
      <c r="J3" s="531"/>
      <c r="K3" s="525" t="str">
        <f>Master!I3</f>
        <v>結合試験</v>
      </c>
      <c r="L3" s="526"/>
      <c r="M3" s="527"/>
      <c r="N3" s="40"/>
      <c r="O3" s="521"/>
      <c r="P3" s="522"/>
    </row>
    <row r="4" spans="1:58" ht="15" customHeight="1">
      <c r="A4" s="11"/>
      <c r="B4" s="531"/>
      <c r="C4" s="531"/>
      <c r="D4" s="565"/>
      <c r="E4" s="565"/>
      <c r="F4" s="565"/>
      <c r="G4" s="565"/>
      <c r="H4" s="531"/>
      <c r="I4" s="531"/>
      <c r="J4" s="531"/>
      <c r="K4" s="528"/>
      <c r="L4" s="529"/>
      <c r="M4" s="530"/>
      <c r="N4" s="40"/>
      <c r="O4" s="523"/>
      <c r="P4" s="524"/>
    </row>
    <row r="6" spans="1:58">
      <c r="A6" s="559" t="s">
        <v>164</v>
      </c>
      <c r="B6" s="560"/>
      <c r="C6" s="572" t="s">
        <v>165</v>
      </c>
      <c r="D6" s="572" t="s">
        <v>166</v>
      </c>
      <c r="E6" s="533" t="s">
        <v>179</v>
      </c>
      <c r="F6" s="533" t="s">
        <v>170</v>
      </c>
      <c r="G6" s="566" t="s">
        <v>169</v>
      </c>
      <c r="H6" s="567"/>
      <c r="I6" s="536" t="s">
        <v>212</v>
      </c>
      <c r="J6" s="537"/>
      <c r="K6" s="537"/>
      <c r="L6" s="537"/>
      <c r="M6" s="537"/>
      <c r="N6" s="537"/>
      <c r="O6" s="537"/>
      <c r="P6" s="537"/>
      <c r="Q6" s="537"/>
      <c r="R6" s="537"/>
      <c r="S6" s="537"/>
      <c r="T6" s="537"/>
      <c r="U6" s="537"/>
      <c r="V6" s="537"/>
      <c r="W6" s="537"/>
      <c r="X6" s="537"/>
      <c r="Y6" s="537"/>
      <c r="Z6" s="537"/>
      <c r="AA6" s="537"/>
      <c r="AB6" s="537"/>
      <c r="AC6" s="537"/>
      <c r="AD6" s="537"/>
      <c r="AE6" s="537"/>
      <c r="AF6" s="537"/>
      <c r="AG6" s="537"/>
      <c r="AH6" s="537"/>
      <c r="AI6" s="537"/>
      <c r="AJ6" s="537"/>
      <c r="AK6" s="537"/>
      <c r="AL6" s="537"/>
      <c r="AM6" s="537"/>
      <c r="AN6" s="537"/>
      <c r="AO6" s="537"/>
      <c r="AP6" s="537"/>
      <c r="AQ6" s="537"/>
      <c r="AR6" s="537"/>
      <c r="AS6" s="537"/>
      <c r="AT6" s="537"/>
      <c r="AU6" s="537"/>
      <c r="AV6" s="537"/>
      <c r="AW6" s="537"/>
      <c r="AX6" s="537"/>
      <c r="AY6" s="537"/>
      <c r="AZ6" s="537"/>
      <c r="BA6" s="537"/>
      <c r="BB6" s="537"/>
      <c r="BC6" s="537"/>
      <c r="BD6" s="537"/>
      <c r="BE6" s="537"/>
      <c r="BF6" s="538"/>
    </row>
    <row r="7" spans="1:58" ht="12" customHeight="1">
      <c r="A7" s="561"/>
      <c r="B7" s="562"/>
      <c r="C7" s="573"/>
      <c r="D7" s="573"/>
      <c r="E7" s="534"/>
      <c r="F7" s="534"/>
      <c r="G7" s="568"/>
      <c r="H7" s="569"/>
      <c r="I7" s="501">
        <f>Master!E9</f>
        <v>46113</v>
      </c>
      <c r="J7" s="502"/>
      <c r="K7" s="502"/>
      <c r="L7" s="502"/>
      <c r="M7" s="502"/>
      <c r="N7" s="502"/>
      <c r="O7" s="502"/>
      <c r="P7" s="502"/>
      <c r="Q7" s="502"/>
      <c r="R7" s="502"/>
      <c r="S7" s="502"/>
      <c r="T7" s="502"/>
      <c r="U7" s="502"/>
      <c r="V7" s="502"/>
      <c r="W7" s="502"/>
      <c r="X7" s="502"/>
      <c r="Y7" s="502"/>
      <c r="Z7" s="502"/>
      <c r="AA7" s="502"/>
      <c r="AB7" s="502"/>
      <c r="AC7" s="502"/>
      <c r="AD7" s="502"/>
      <c r="AE7" s="502"/>
      <c r="AF7" s="502"/>
      <c r="AG7" s="502"/>
      <c r="AH7" s="502"/>
      <c r="AI7" s="502"/>
      <c r="AJ7" s="502"/>
      <c r="AK7" s="502"/>
      <c r="AL7" s="502"/>
      <c r="AM7" s="502"/>
      <c r="AN7" s="502"/>
      <c r="AO7" s="502"/>
      <c r="AP7" s="502"/>
      <c r="AQ7" s="502"/>
      <c r="AR7" s="502"/>
      <c r="AS7" s="502"/>
      <c r="AT7" s="502"/>
      <c r="AU7" s="502"/>
      <c r="AV7" s="502"/>
      <c r="AW7" s="502"/>
      <c r="AX7" s="502"/>
      <c r="AY7" s="502"/>
      <c r="AZ7" s="502"/>
      <c r="BA7" s="502"/>
      <c r="BB7" s="502"/>
      <c r="BC7" s="502"/>
      <c r="BD7" s="502"/>
      <c r="BE7" s="502"/>
      <c r="BF7" s="503"/>
    </row>
    <row r="8" spans="1:58">
      <c r="A8" s="563"/>
      <c r="B8" s="564"/>
      <c r="C8" s="574"/>
      <c r="D8" s="574"/>
      <c r="E8" s="535"/>
      <c r="F8" s="535"/>
      <c r="G8" s="570"/>
      <c r="H8" s="571"/>
      <c r="I8" s="376">
        <f>Master!E9-MOD((WEEKDAY(Master!E9)+7-VLOOKUP(Master!E12,Master!$I$56:$J$62,2,FALSE)),7)</f>
        <v>46111</v>
      </c>
      <c r="J8" s="377">
        <f>IF(I8="","",IF(I8+7&gt;=Master!$F$9+7,I8,I8+7))</f>
        <v>46118</v>
      </c>
      <c r="K8" s="377">
        <f>IF(J8="","",IF(J8+7&gt;=Master!$F$9+7,J8,J8+7))</f>
        <v>46125</v>
      </c>
      <c r="L8" s="377">
        <f>IF(K8="","",IF(K8+7&gt;=Master!$F$9+7,K8,K8+7))</f>
        <v>46132</v>
      </c>
      <c r="M8" s="377">
        <f>IF(L8="","",IF(L8+7&gt;=Master!$F$9+7,L8,L8+7))</f>
        <v>46139</v>
      </c>
      <c r="N8" s="377">
        <f>IF(M8="","",IF(M8+7&gt;=Master!$F$9+7,M8,M8+7))</f>
        <v>46146</v>
      </c>
      <c r="O8" s="377">
        <f>IF(N8="","",IF(N8+7&gt;=Master!$F$9+7,N8,N8+7))</f>
        <v>46153</v>
      </c>
      <c r="P8" s="377">
        <f>IF(O8="","",IF(O8+7&gt;=Master!$F$9+7,O8,O8+7))</f>
        <v>46160</v>
      </c>
      <c r="Q8" s="377">
        <f>IF(P8="","",IF(P8+7&gt;=Master!$F$9+7,P8,P8+7))</f>
        <v>46167</v>
      </c>
      <c r="R8" s="377">
        <f>IF(Q8="","",IF(Q8+7&gt;=Master!$F$9+7,Q8,Q8+7))</f>
        <v>46174</v>
      </c>
      <c r="S8" s="377">
        <f>IF(R8="","",IF(R8+7&gt;=Master!$F$9+7,R8,R8+7))</f>
        <v>46181</v>
      </c>
      <c r="T8" s="377">
        <f>IF(S8="","",IF(S8+7&gt;=Master!$F$9+7,S8,S8+7))</f>
        <v>46188</v>
      </c>
      <c r="U8" s="377">
        <f>IF(T8="","",IF(T8+7&gt;=Master!$F$9+7,T8,T8+7))</f>
        <v>46195</v>
      </c>
      <c r="V8" s="377">
        <f>IF(U8="","",IF(U8+7&gt;=Master!$F$9+7,U8,U8+7))</f>
        <v>46202</v>
      </c>
      <c r="W8" s="377">
        <f>IF(V8="","",IF(V8+7&gt;=Master!$F$9+7,V8,V8+7))</f>
        <v>46209</v>
      </c>
      <c r="X8" s="377">
        <f>IF(W8="","",IF(W8+7&gt;=Master!$F$9+7,W8,W8+7))</f>
        <v>46209</v>
      </c>
      <c r="Y8" s="377">
        <f>IF(X8="","",IF(X8+7&gt;=Master!$F$9+7,X8,X8+7))</f>
        <v>46209</v>
      </c>
      <c r="Z8" s="205">
        <f>IF(Y8="","",IF(Y8+7&gt;=Master!$F$9+7,Y8,Y8+7))</f>
        <v>46209</v>
      </c>
      <c r="AA8" s="205">
        <f>IF(Z8="","",IF(Z8+7&gt;=Master!$F$9+7,Z8,Z8+7))</f>
        <v>46209</v>
      </c>
      <c r="AB8" s="205">
        <f>IF(AA8="","",IF(AA8+7&gt;=Master!$F$9+7,AA8,AA8+7))</f>
        <v>46209</v>
      </c>
      <c r="AC8" s="205">
        <f>IF(AB8="","",IF(AB8+7&gt;=Master!$F$9+7,AB8,AB8+7))</f>
        <v>46209</v>
      </c>
      <c r="AD8" s="205">
        <f>IF(AC8="","",IF(AC8+7&gt;=Master!$F$9+7,AC8,AC8+7))</f>
        <v>46209</v>
      </c>
      <c r="AE8" s="205">
        <f>IF(AD8="","",IF(AD8+7&gt;=Master!$F$9+7,AD8,AD8+7))</f>
        <v>46209</v>
      </c>
      <c r="AF8" s="205">
        <f>IF(AE8="","",IF(AE8+7&gt;=Master!$F$9+7,AE8,AE8+7))</f>
        <v>46209</v>
      </c>
      <c r="AG8" s="205">
        <f>IF(AF8="","",IF(AF8+7&gt;=Master!$F$9+7,AF8,AF8+7))</f>
        <v>46209</v>
      </c>
      <c r="AH8" s="205">
        <f>IF(AG8="","",IF(AG8+7&gt;=Master!$F$9+7,AG8,AG8+7))</f>
        <v>46209</v>
      </c>
      <c r="AI8" s="205">
        <f>IF(AH8="","",IF(AH8+7&gt;=Master!$F$9+7,AH8,AH8+7))</f>
        <v>46209</v>
      </c>
      <c r="AJ8" s="205">
        <f>IF(AI8="","",IF(AI8+7&gt;=Master!$F$9+7,AI8,AI8+7))</f>
        <v>46209</v>
      </c>
      <c r="AK8" s="205">
        <f>IF(AJ8="","",IF(AJ8+7&gt;=Master!$F$9+7,AJ8,AJ8+7))</f>
        <v>46209</v>
      </c>
      <c r="AL8" s="205">
        <f>IF(AK8="","",IF(AK8+7&gt;=Master!$F$9+7,AK8,AK8+7))</f>
        <v>46209</v>
      </c>
      <c r="AM8" s="205">
        <f>IF(AL8="","",IF(AL8+7&gt;=Master!$F$9+7,AL8,AL8+7))</f>
        <v>46209</v>
      </c>
      <c r="AN8" s="205">
        <f>IF(AM8="","",IF(AM8+7&gt;=Master!$F$9+7,AM8,AM8+7))</f>
        <v>46209</v>
      </c>
      <c r="AO8" s="205">
        <f>IF(AN8="","",IF(AN8+7&gt;=Master!$F$9+7,AN8,AN8+7))</f>
        <v>46209</v>
      </c>
      <c r="AP8" s="205">
        <f>IF(AO8="","",IF(AO8+7&gt;=Master!$F$9+7,AO8,AO8+7))</f>
        <v>46209</v>
      </c>
      <c r="AQ8" s="205">
        <f>IF(AP8="","",IF(AP8+7&gt;=Master!$F$9+7,AP8,AP8+7))</f>
        <v>46209</v>
      </c>
      <c r="AR8" s="205">
        <f>IF(AQ8="","",IF(AQ8+7&gt;=Master!$F$9+7,AQ8,AQ8+7))</f>
        <v>46209</v>
      </c>
      <c r="AS8" s="205">
        <f>IF(AR8="","",IF(AR8+7&gt;=Master!$F$9+7,AR8,AR8+7))</f>
        <v>46209</v>
      </c>
      <c r="AT8" s="205">
        <f>IF(AS8="","",IF(AS8+7&gt;=Master!$F$9+7,AS8,AS8+7))</f>
        <v>46209</v>
      </c>
      <c r="AU8" s="205">
        <f>IF(AT8="","",IF(AT8+7&gt;=Master!$F$9+7,AT8,AT8+7))</f>
        <v>46209</v>
      </c>
      <c r="AV8" s="205">
        <f>IF(AU8="","",IF(AU8+7&gt;=Master!$F$9+7,AU8,AU8+7))</f>
        <v>46209</v>
      </c>
      <c r="AW8" s="205">
        <f>IF(AV8="","",IF(AV8+7&gt;=Master!$F$9+7,AV8,AV8+7))</f>
        <v>46209</v>
      </c>
      <c r="AX8" s="205">
        <f>IF(AW8="","",IF(AW8+7&gt;=Master!$F$9+7,AW8,AW8+7))</f>
        <v>46209</v>
      </c>
      <c r="AY8" s="205">
        <f>IF(AX8="","",IF(AX8+7&gt;=Master!$F$9+7,AX8,AX8+7))</f>
        <v>46209</v>
      </c>
      <c r="AZ8" s="205">
        <f>IF(AY8="","",IF(AY8+7&gt;=Master!$F$9+7,AY8,AY8+7))</f>
        <v>46209</v>
      </c>
      <c r="BA8" s="205">
        <f>IF(AZ8="","",IF(AZ8+7&gt;=Master!$F$9+7,AZ8,AZ8+7))</f>
        <v>46209</v>
      </c>
      <c r="BB8" s="205">
        <f>IF(BA8="","",IF(BA8+7&gt;=Master!$F$9+7,BA8,BA8+7))</f>
        <v>46209</v>
      </c>
      <c r="BC8" s="205">
        <f>IF(BB8="","",IF(BB8+7&gt;=Master!$F$9+7,BB8,BB8+7))</f>
        <v>46209</v>
      </c>
      <c r="BD8" s="205">
        <f>IF(BC8="","",IF(BC8+7&gt;=Master!$F$9+7,BC8,BC8+7))</f>
        <v>46209</v>
      </c>
      <c r="BE8" s="205">
        <f>IF(BD8="","",IF(BD8+7&gt;=Master!$F$9+7,BD8,BD8+7))</f>
        <v>46209</v>
      </c>
      <c r="BF8" s="206">
        <f>IF(BE8="","",IF(BE8+7&gt;=Master!$F$9+7,BE8,BE8+7))</f>
        <v>46209</v>
      </c>
    </row>
    <row r="9" spans="1:58" ht="11.25" customHeight="1">
      <c r="A9" s="555">
        <v>1</v>
      </c>
      <c r="B9" s="556"/>
      <c r="C9" s="489" t="s">
        <v>769</v>
      </c>
      <c r="D9" s="516">
        <f t="shared" ref="D9" si="0">SUM(I9:BF9)</f>
        <v>0</v>
      </c>
      <c r="E9" s="517" t="str">
        <f t="shared" ref="E9" si="1">IF(D9=0,"",H10/D9)</f>
        <v/>
      </c>
      <c r="F9" s="517" t="str">
        <f t="shared" ref="F9" si="2">IF(H9=0,"",H10/H9)</f>
        <v/>
      </c>
      <c r="G9" s="97" t="s">
        <v>168</v>
      </c>
      <c r="H9" s="69">
        <f t="shared" ref="H9:H70" si="3">SUMPRODUCT((I$8:BF$8&lt;&gt;"")*1,(I$8:BF$8&lt;=$O$2)*1,I9:BF9)</f>
        <v>0</v>
      </c>
      <c r="I9" s="445"/>
      <c r="J9" s="103"/>
      <c r="K9" s="103"/>
      <c r="L9" s="103"/>
      <c r="M9" s="103"/>
      <c r="N9" s="103"/>
      <c r="O9" s="103"/>
      <c r="P9" s="103"/>
      <c r="Q9" s="103"/>
      <c r="R9" s="103"/>
      <c r="S9" s="103"/>
      <c r="T9" s="103"/>
      <c r="U9" s="103"/>
      <c r="V9" s="103"/>
      <c r="W9" s="103"/>
      <c r="X9" s="103"/>
      <c r="Y9" s="103"/>
      <c r="Z9" s="103"/>
      <c r="AA9" s="103"/>
      <c r="AB9" s="103"/>
      <c r="AC9" s="103"/>
      <c r="AD9" s="103"/>
      <c r="AE9" s="103"/>
      <c r="AF9" s="103"/>
      <c r="AG9" s="103"/>
      <c r="AH9" s="103"/>
      <c r="AI9" s="103"/>
      <c r="AJ9" s="103"/>
      <c r="AK9" s="103"/>
      <c r="AL9" s="103"/>
      <c r="AM9" s="103"/>
      <c r="AN9" s="103"/>
      <c r="AO9" s="103"/>
      <c r="AP9" s="103"/>
      <c r="AQ9" s="103"/>
      <c r="AR9" s="103"/>
      <c r="AS9" s="103"/>
      <c r="AT9" s="103"/>
      <c r="AU9" s="103"/>
      <c r="AV9" s="103"/>
      <c r="AW9" s="103"/>
      <c r="AX9" s="103"/>
      <c r="AY9" s="103"/>
      <c r="AZ9" s="103"/>
      <c r="BA9" s="103"/>
      <c r="BB9" s="103"/>
      <c r="BC9" s="103"/>
      <c r="BD9" s="103"/>
      <c r="BE9" s="103"/>
      <c r="BF9" s="104"/>
    </row>
    <row r="10" spans="1:58">
      <c r="A10" s="557"/>
      <c r="B10" s="558"/>
      <c r="C10" s="490"/>
      <c r="D10" s="470"/>
      <c r="E10" s="472"/>
      <c r="F10" s="472"/>
      <c r="G10" s="72" t="s">
        <v>167</v>
      </c>
      <c r="H10" s="68">
        <f t="shared" si="3"/>
        <v>0</v>
      </c>
      <c r="I10" s="312"/>
      <c r="J10" s="106"/>
      <c r="K10" s="106"/>
      <c r="L10" s="106"/>
      <c r="M10" s="106"/>
      <c r="N10" s="106"/>
      <c r="O10" s="106"/>
      <c r="P10" s="106"/>
      <c r="Q10" s="106"/>
      <c r="R10" s="106"/>
      <c r="S10" s="106"/>
      <c r="T10" s="106"/>
      <c r="U10" s="106"/>
      <c r="V10" s="106"/>
      <c r="W10" s="106"/>
      <c r="X10" s="106"/>
      <c r="Y10" s="106"/>
      <c r="Z10" s="106"/>
      <c r="AA10" s="106"/>
      <c r="AB10" s="106"/>
      <c r="AC10" s="106"/>
      <c r="AD10" s="106"/>
      <c r="AE10" s="106"/>
      <c r="AF10" s="106"/>
      <c r="AG10" s="106"/>
      <c r="AH10" s="106"/>
      <c r="AI10" s="106"/>
      <c r="AJ10" s="106"/>
      <c r="AK10" s="106"/>
      <c r="AL10" s="106"/>
      <c r="AM10" s="106"/>
      <c r="AN10" s="106"/>
      <c r="AO10" s="106"/>
      <c r="AP10" s="106"/>
      <c r="AQ10" s="106"/>
      <c r="AR10" s="106"/>
      <c r="AS10" s="106"/>
      <c r="AT10" s="106"/>
      <c r="AU10" s="106"/>
      <c r="AV10" s="106"/>
      <c r="AW10" s="106"/>
      <c r="AX10" s="106"/>
      <c r="AY10" s="106"/>
      <c r="AZ10" s="106"/>
      <c r="BA10" s="106"/>
      <c r="BB10" s="106"/>
      <c r="BC10" s="106"/>
      <c r="BD10" s="106"/>
      <c r="BE10" s="106"/>
      <c r="BF10" s="107"/>
    </row>
    <row r="11" spans="1:58">
      <c r="A11" s="547">
        <f>A9+1</f>
        <v>2</v>
      </c>
      <c r="B11" s="548"/>
      <c r="C11" s="489" t="s">
        <v>813</v>
      </c>
      <c r="D11" s="516">
        <f t="shared" ref="D11" si="4">SUM(I11:BF11)</f>
        <v>0</v>
      </c>
      <c r="E11" s="517" t="str">
        <f t="shared" ref="E11" si="5">IF(D11=0,"",H12/D11)</f>
        <v/>
      </c>
      <c r="F11" s="517" t="str">
        <f t="shared" ref="F11" si="6">IF(H11=0,"",H12/H11)</f>
        <v/>
      </c>
      <c r="G11" s="97" t="s">
        <v>168</v>
      </c>
      <c r="H11" s="69" cm="1">
        <f t="array" ref="H11">SUMPRODUCT((I$8:BF$8&lt;&gt;"")*1,(I$8:BF$8&lt;=$O$2)*1,I11:BF11)</f>
        <v>0</v>
      </c>
      <c r="I11" s="312"/>
      <c r="J11" s="103"/>
      <c r="K11" s="103"/>
      <c r="L11" s="103"/>
      <c r="M11" s="103"/>
      <c r="N11" s="103"/>
      <c r="O11" s="103"/>
      <c r="P11" s="103"/>
      <c r="Q11" s="103"/>
      <c r="R11" s="103"/>
      <c r="S11" s="103"/>
      <c r="T11" s="103"/>
      <c r="U11" s="103"/>
      <c r="V11" s="103"/>
      <c r="W11" s="103"/>
      <c r="X11" s="103"/>
      <c r="Y11" s="103"/>
      <c r="Z11" s="103"/>
      <c r="AA11" s="103"/>
      <c r="AB11" s="103"/>
      <c r="AC11" s="103"/>
      <c r="AD11" s="103"/>
      <c r="AE11" s="103"/>
      <c r="AF11" s="103"/>
      <c r="AG11" s="103"/>
      <c r="AH11" s="103"/>
      <c r="AI11" s="103"/>
      <c r="AJ11" s="103"/>
      <c r="AK11" s="103"/>
      <c r="AL11" s="103"/>
      <c r="AM11" s="103"/>
      <c r="AN11" s="103"/>
      <c r="AO11" s="103"/>
      <c r="AP11" s="103"/>
      <c r="AQ11" s="103"/>
      <c r="AR11" s="103"/>
      <c r="AS11" s="103"/>
      <c r="AT11" s="103"/>
      <c r="AU11" s="103"/>
      <c r="AV11" s="103"/>
      <c r="AW11" s="103"/>
      <c r="AX11" s="103"/>
      <c r="AY11" s="103"/>
      <c r="AZ11" s="103"/>
      <c r="BA11" s="103"/>
      <c r="BB11" s="103"/>
      <c r="BC11" s="103"/>
      <c r="BD11" s="103"/>
      <c r="BE11" s="103"/>
      <c r="BF11" s="104"/>
    </row>
    <row r="12" spans="1:58">
      <c r="A12" s="549"/>
      <c r="B12" s="550"/>
      <c r="C12" s="490"/>
      <c r="D12" s="470"/>
      <c r="E12" s="472"/>
      <c r="F12" s="472"/>
      <c r="G12" s="72" t="s">
        <v>167</v>
      </c>
      <c r="H12" s="68">
        <f t="shared" ref="H12" si="7">SUMPRODUCT((I$8:BF$8&lt;&gt;"")*1,(I$8:BF$8&lt;=$O$2)*1,I12:BF12)</f>
        <v>0</v>
      </c>
      <c r="I12" s="105"/>
      <c r="J12" s="106"/>
      <c r="K12" s="106"/>
      <c r="L12" s="106"/>
      <c r="M12" s="106"/>
      <c r="N12" s="106"/>
      <c r="O12" s="106"/>
      <c r="P12" s="106"/>
      <c r="Q12" s="106"/>
      <c r="R12" s="106"/>
      <c r="S12" s="106"/>
      <c r="T12" s="106"/>
      <c r="U12" s="106"/>
      <c r="V12" s="106"/>
      <c r="W12" s="106"/>
      <c r="X12" s="106"/>
      <c r="Y12" s="106"/>
      <c r="Z12" s="106"/>
      <c r="AA12" s="106"/>
      <c r="AB12" s="106"/>
      <c r="AC12" s="106"/>
      <c r="AD12" s="106"/>
      <c r="AE12" s="106"/>
      <c r="AF12" s="106"/>
      <c r="AG12" s="106"/>
      <c r="AH12" s="106"/>
      <c r="AI12" s="106"/>
      <c r="AJ12" s="106"/>
      <c r="AK12" s="106"/>
      <c r="AL12" s="106"/>
      <c r="AM12" s="106"/>
      <c r="AN12" s="106"/>
      <c r="AO12" s="106"/>
      <c r="AP12" s="106"/>
      <c r="AQ12" s="106"/>
      <c r="AR12" s="106"/>
      <c r="AS12" s="106"/>
      <c r="AT12" s="106"/>
      <c r="AU12" s="106"/>
      <c r="AV12" s="106"/>
      <c r="AW12" s="106"/>
      <c r="AX12" s="106"/>
      <c r="AY12" s="106"/>
      <c r="AZ12" s="106"/>
      <c r="BA12" s="106"/>
      <c r="BB12" s="106"/>
      <c r="BC12" s="106"/>
      <c r="BD12" s="106"/>
      <c r="BE12" s="106"/>
      <c r="BF12" s="107"/>
    </row>
    <row r="13" spans="1:58">
      <c r="A13" s="547">
        <f>A11+1</f>
        <v>3</v>
      </c>
      <c r="B13" s="548"/>
      <c r="C13" s="489" t="s">
        <v>814</v>
      </c>
      <c r="D13" s="516">
        <f t="shared" ref="D13" si="8">SUM(I13:BF13)</f>
        <v>0</v>
      </c>
      <c r="E13" s="517" t="str">
        <f t="shared" ref="E13" si="9">IF(D13=0,"",H14/D13)</f>
        <v/>
      </c>
      <c r="F13" s="517" t="str">
        <f t="shared" ref="F13" si="10">IF(H13=0,"",H14/H13)</f>
        <v/>
      </c>
      <c r="G13" s="364" t="s">
        <v>168</v>
      </c>
      <c r="H13" s="365">
        <f t="shared" si="3"/>
        <v>0</v>
      </c>
      <c r="I13" s="313"/>
      <c r="J13" s="108"/>
      <c r="K13" s="108"/>
      <c r="L13" s="108"/>
      <c r="M13" s="108"/>
      <c r="N13" s="108"/>
      <c r="O13" s="108"/>
      <c r="P13" s="108"/>
      <c r="Q13" s="108"/>
      <c r="R13" s="108"/>
      <c r="S13" s="108"/>
      <c r="T13" s="108"/>
      <c r="U13" s="108"/>
      <c r="V13" s="108"/>
      <c r="W13" s="108"/>
      <c r="X13" s="108"/>
      <c r="Y13" s="108"/>
      <c r="Z13" s="108"/>
      <c r="AA13" s="108"/>
      <c r="AB13" s="108"/>
      <c r="AC13" s="108"/>
      <c r="AD13" s="108"/>
      <c r="AE13" s="108"/>
      <c r="AF13" s="108"/>
      <c r="AG13" s="108"/>
      <c r="AH13" s="108"/>
      <c r="AI13" s="108"/>
      <c r="AJ13" s="108"/>
      <c r="AK13" s="108"/>
      <c r="AL13" s="108"/>
      <c r="AM13" s="108"/>
      <c r="AN13" s="108"/>
      <c r="AO13" s="108"/>
      <c r="AP13" s="108"/>
      <c r="AQ13" s="108"/>
      <c r="AR13" s="108"/>
      <c r="AS13" s="108"/>
      <c r="AT13" s="108"/>
      <c r="AU13" s="108"/>
      <c r="AV13" s="108"/>
      <c r="AW13" s="108"/>
      <c r="AX13" s="108"/>
      <c r="AY13" s="108"/>
      <c r="AZ13" s="108"/>
      <c r="BA13" s="108"/>
      <c r="BB13" s="108"/>
      <c r="BC13" s="108"/>
      <c r="BD13" s="108"/>
      <c r="BE13" s="108"/>
      <c r="BF13" s="109"/>
    </row>
    <row r="14" spans="1:58">
      <c r="A14" s="549"/>
      <c r="B14" s="550"/>
      <c r="C14" s="490"/>
      <c r="D14" s="470"/>
      <c r="E14" s="472"/>
      <c r="F14" s="472"/>
      <c r="G14" s="366" t="s">
        <v>167</v>
      </c>
      <c r="H14" s="367">
        <f t="shared" si="3"/>
        <v>0</v>
      </c>
      <c r="I14" s="314"/>
      <c r="J14" s="110"/>
      <c r="K14" s="110"/>
      <c r="L14" s="110"/>
      <c r="M14" s="110"/>
      <c r="N14" s="110"/>
      <c r="O14" s="110"/>
      <c r="P14" s="110"/>
      <c r="Q14" s="110"/>
      <c r="R14" s="110"/>
      <c r="S14" s="110"/>
      <c r="T14" s="110"/>
      <c r="U14" s="110"/>
      <c r="V14" s="110"/>
      <c r="W14" s="110"/>
      <c r="X14" s="110"/>
      <c r="Y14" s="110"/>
      <c r="Z14" s="110"/>
      <c r="AA14" s="110"/>
      <c r="AB14" s="110"/>
      <c r="AC14" s="110"/>
      <c r="AD14" s="110"/>
      <c r="AE14" s="110"/>
      <c r="AF14" s="110"/>
      <c r="AG14" s="110"/>
      <c r="AH14" s="110"/>
      <c r="AI14" s="110"/>
      <c r="AJ14" s="110"/>
      <c r="AK14" s="110"/>
      <c r="AL14" s="110"/>
      <c r="AM14" s="110"/>
      <c r="AN14" s="110"/>
      <c r="AO14" s="110"/>
      <c r="AP14" s="110"/>
      <c r="AQ14" s="110"/>
      <c r="AR14" s="110"/>
      <c r="AS14" s="110"/>
      <c r="AT14" s="110"/>
      <c r="AU14" s="110"/>
      <c r="AV14" s="110"/>
      <c r="AW14" s="110"/>
      <c r="AX14" s="110"/>
      <c r="AY14" s="110"/>
      <c r="AZ14" s="110"/>
      <c r="BA14" s="110"/>
      <c r="BB14" s="110"/>
      <c r="BC14" s="110"/>
      <c r="BD14" s="110"/>
      <c r="BE14" s="110"/>
      <c r="BF14" s="111"/>
    </row>
    <row r="15" spans="1:58">
      <c r="A15" s="547">
        <f>A13+1</f>
        <v>4</v>
      </c>
      <c r="B15" s="548"/>
      <c r="C15" s="489" t="s">
        <v>815</v>
      </c>
      <c r="D15" s="516">
        <f t="shared" ref="D15" si="11">SUM(I15:BF15)</f>
        <v>0</v>
      </c>
      <c r="E15" s="517" t="str">
        <f t="shared" ref="E15" si="12">IF(D15=0,"",H16/D15)</f>
        <v/>
      </c>
      <c r="F15" s="517" t="str">
        <f t="shared" ref="F15" si="13">IF(H15=0,"",H16/H15)</f>
        <v/>
      </c>
      <c r="G15" s="362" t="s">
        <v>168</v>
      </c>
      <c r="H15" s="368">
        <f t="shared" si="3"/>
        <v>0</v>
      </c>
      <c r="I15" s="312"/>
      <c r="J15" s="103"/>
      <c r="K15" s="103"/>
      <c r="L15" s="103"/>
      <c r="M15" s="103"/>
      <c r="N15" s="103"/>
      <c r="O15" s="103"/>
      <c r="P15" s="103"/>
      <c r="Q15" s="103"/>
      <c r="R15" s="103"/>
      <c r="S15" s="103"/>
      <c r="T15" s="103"/>
      <c r="U15" s="103"/>
      <c r="V15" s="103"/>
      <c r="W15" s="103"/>
      <c r="X15" s="103"/>
      <c r="Y15" s="103"/>
      <c r="Z15" s="103"/>
      <c r="AA15" s="103"/>
      <c r="AB15" s="103"/>
      <c r="AC15" s="103"/>
      <c r="AD15" s="103"/>
      <c r="AE15" s="103"/>
      <c r="AF15" s="103"/>
      <c r="AG15" s="103"/>
      <c r="AH15" s="103"/>
      <c r="AI15" s="103"/>
      <c r="AJ15" s="103"/>
      <c r="AK15" s="103"/>
      <c r="AL15" s="103"/>
      <c r="AM15" s="103"/>
      <c r="AN15" s="103"/>
      <c r="AO15" s="103"/>
      <c r="AP15" s="103"/>
      <c r="AQ15" s="103"/>
      <c r="AR15" s="103"/>
      <c r="AS15" s="103"/>
      <c r="AT15" s="103"/>
      <c r="AU15" s="103"/>
      <c r="AV15" s="103"/>
      <c r="AW15" s="103"/>
      <c r="AX15" s="103"/>
      <c r="AY15" s="103"/>
      <c r="AZ15" s="103"/>
      <c r="BA15" s="103"/>
      <c r="BB15" s="103"/>
      <c r="BC15" s="103"/>
      <c r="BD15" s="103"/>
      <c r="BE15" s="103"/>
      <c r="BF15" s="104"/>
    </row>
    <row r="16" spans="1:58">
      <c r="A16" s="549"/>
      <c r="B16" s="550"/>
      <c r="C16" s="490"/>
      <c r="D16" s="470"/>
      <c r="E16" s="472"/>
      <c r="F16" s="472"/>
      <c r="G16" s="363" t="s">
        <v>167</v>
      </c>
      <c r="H16" s="369">
        <f>SUMPRODUCT((I$8:BF$8&lt;&gt;"")*1,(I$8:BF$8&lt;=$O$2)*1,I16:BF16)</f>
        <v>0</v>
      </c>
      <c r="I16" s="105"/>
      <c r="J16" s="106"/>
      <c r="K16" s="106"/>
      <c r="L16" s="106"/>
      <c r="M16" s="106"/>
      <c r="N16" s="106"/>
      <c r="O16" s="106"/>
      <c r="P16" s="106"/>
      <c r="Q16" s="106"/>
      <c r="R16" s="106"/>
      <c r="S16" s="106"/>
      <c r="T16" s="106"/>
      <c r="U16" s="106"/>
      <c r="V16" s="106"/>
      <c r="W16" s="106"/>
      <c r="X16" s="106"/>
      <c r="Y16" s="106"/>
      <c r="Z16" s="106"/>
      <c r="AA16" s="106"/>
      <c r="AB16" s="106"/>
      <c r="AC16" s="106"/>
      <c r="AD16" s="106"/>
      <c r="AE16" s="106"/>
      <c r="AF16" s="106"/>
      <c r="AG16" s="106"/>
      <c r="AH16" s="106"/>
      <c r="AI16" s="106"/>
      <c r="AJ16" s="106"/>
      <c r="AK16" s="106"/>
      <c r="AL16" s="106"/>
      <c r="AM16" s="106"/>
      <c r="AN16" s="106"/>
      <c r="AO16" s="106"/>
      <c r="AP16" s="106"/>
      <c r="AQ16" s="106"/>
      <c r="AR16" s="106"/>
      <c r="AS16" s="106"/>
      <c r="AT16" s="106"/>
      <c r="AU16" s="106"/>
      <c r="AV16" s="106"/>
      <c r="AW16" s="106"/>
      <c r="AX16" s="106"/>
      <c r="AY16" s="106"/>
      <c r="AZ16" s="106"/>
      <c r="BA16" s="106"/>
      <c r="BB16" s="106"/>
      <c r="BC16" s="106"/>
      <c r="BD16" s="106"/>
      <c r="BE16" s="106"/>
      <c r="BF16" s="107"/>
    </row>
    <row r="17" spans="1:58">
      <c r="A17" s="473">
        <f>A15+1</f>
        <v>5</v>
      </c>
      <c r="B17" s="474"/>
      <c r="C17" s="489" t="s">
        <v>816</v>
      </c>
      <c r="D17" s="516">
        <f t="shared" ref="D17" si="14">SUM(I17:BF17)</f>
        <v>0</v>
      </c>
      <c r="E17" s="517" t="str">
        <f t="shared" ref="E17" si="15">IF(D17=0,"",H18/D17)</f>
        <v/>
      </c>
      <c r="F17" s="517" t="str">
        <f t="shared" ref="F17" si="16">IF(H17=0,"",H18/H17)</f>
        <v/>
      </c>
      <c r="G17" s="99" t="s">
        <v>168</v>
      </c>
      <c r="H17" s="66">
        <f t="shared" si="3"/>
        <v>0</v>
      </c>
      <c r="I17" s="313"/>
      <c r="J17" s="108"/>
      <c r="K17" s="108"/>
      <c r="L17" s="108"/>
      <c r="M17" s="108"/>
      <c r="N17" s="108"/>
      <c r="O17" s="108"/>
      <c r="P17" s="108"/>
      <c r="Q17" s="108"/>
      <c r="R17" s="108"/>
      <c r="S17" s="108"/>
      <c r="T17" s="108"/>
      <c r="U17" s="108"/>
      <c r="V17" s="108"/>
      <c r="W17" s="108"/>
      <c r="X17" s="108"/>
      <c r="Y17" s="108"/>
      <c r="Z17" s="108"/>
      <c r="AA17" s="108"/>
      <c r="AB17" s="108"/>
      <c r="AC17" s="108"/>
      <c r="AD17" s="108"/>
      <c r="AE17" s="108"/>
      <c r="AF17" s="108"/>
      <c r="AG17" s="108"/>
      <c r="AH17" s="108"/>
      <c r="AI17" s="108"/>
      <c r="AJ17" s="108"/>
      <c r="AK17" s="108"/>
      <c r="AL17" s="108"/>
      <c r="AM17" s="108"/>
      <c r="AN17" s="108"/>
      <c r="AO17" s="108"/>
      <c r="AP17" s="108"/>
      <c r="AQ17" s="108"/>
      <c r="AR17" s="108"/>
      <c r="AS17" s="108"/>
      <c r="AT17" s="108"/>
      <c r="AU17" s="108"/>
      <c r="AV17" s="108"/>
      <c r="AW17" s="108"/>
      <c r="AX17" s="108"/>
      <c r="AY17" s="108"/>
      <c r="AZ17" s="108"/>
      <c r="BA17" s="108"/>
      <c r="BB17" s="108"/>
      <c r="BC17" s="108"/>
      <c r="BD17" s="108"/>
      <c r="BE17" s="108"/>
      <c r="BF17" s="109"/>
    </row>
    <row r="18" spans="1:58">
      <c r="A18" s="475"/>
      <c r="B18" s="474"/>
      <c r="C18" s="490"/>
      <c r="D18" s="470"/>
      <c r="E18" s="472"/>
      <c r="F18" s="472"/>
      <c r="G18" s="100" t="s">
        <v>167</v>
      </c>
      <c r="H18" s="101">
        <f t="shared" si="3"/>
        <v>0</v>
      </c>
      <c r="I18" s="314"/>
      <c r="J18" s="110"/>
      <c r="K18" s="110"/>
      <c r="L18" s="110"/>
      <c r="M18" s="110"/>
      <c r="N18" s="110"/>
      <c r="O18" s="110"/>
      <c r="P18" s="110"/>
      <c r="Q18" s="110"/>
      <c r="R18" s="110"/>
      <c r="S18" s="110"/>
      <c r="T18" s="110"/>
      <c r="U18" s="110"/>
      <c r="V18" s="110"/>
      <c r="W18" s="110"/>
      <c r="X18" s="110"/>
      <c r="Y18" s="110"/>
      <c r="Z18" s="110"/>
      <c r="AA18" s="110"/>
      <c r="AB18" s="110"/>
      <c r="AC18" s="110"/>
      <c r="AD18" s="110"/>
      <c r="AE18" s="110"/>
      <c r="AF18" s="110"/>
      <c r="AG18" s="110"/>
      <c r="AH18" s="110"/>
      <c r="AI18" s="110"/>
      <c r="AJ18" s="110"/>
      <c r="AK18" s="110"/>
      <c r="AL18" s="110"/>
      <c r="AM18" s="110"/>
      <c r="AN18" s="110"/>
      <c r="AO18" s="110"/>
      <c r="AP18" s="110"/>
      <c r="AQ18" s="110"/>
      <c r="AR18" s="110"/>
      <c r="AS18" s="110"/>
      <c r="AT18" s="110"/>
      <c r="AU18" s="110"/>
      <c r="AV18" s="110"/>
      <c r="AW18" s="110"/>
      <c r="AX18" s="110"/>
      <c r="AY18" s="110"/>
      <c r="AZ18" s="110"/>
      <c r="BA18" s="110"/>
      <c r="BB18" s="110"/>
      <c r="BC18" s="110"/>
      <c r="BD18" s="110"/>
      <c r="BE18" s="110"/>
      <c r="BF18" s="111"/>
    </row>
    <row r="19" spans="1:58">
      <c r="A19" s="473">
        <f>A17+1</f>
        <v>6</v>
      </c>
      <c r="B19" s="474"/>
      <c r="C19" s="489" t="s">
        <v>817</v>
      </c>
      <c r="D19" s="516">
        <f t="shared" ref="D19" si="17">SUM(I19:BF19)</f>
        <v>0</v>
      </c>
      <c r="E19" s="517" t="str">
        <f t="shared" ref="E19" si="18">IF(D19=0,"",H20/D19)</f>
        <v/>
      </c>
      <c r="F19" s="517" t="str">
        <f t="shared" ref="F19" si="19">IF(H19=0,"",H20/H19)</f>
        <v/>
      </c>
      <c r="G19" s="97" t="s">
        <v>168</v>
      </c>
      <c r="H19" s="69">
        <f t="shared" si="3"/>
        <v>0</v>
      </c>
      <c r="I19" s="312"/>
      <c r="J19" s="103"/>
      <c r="K19" s="103"/>
      <c r="L19" s="103"/>
      <c r="M19" s="103"/>
      <c r="N19" s="103"/>
      <c r="O19" s="103"/>
      <c r="P19" s="103"/>
      <c r="Q19" s="103"/>
      <c r="R19" s="103"/>
      <c r="S19" s="103"/>
      <c r="T19" s="103"/>
      <c r="U19" s="103"/>
      <c r="V19" s="103"/>
      <c r="W19" s="103"/>
      <c r="X19" s="103"/>
      <c r="Y19" s="103"/>
      <c r="Z19" s="103"/>
      <c r="AA19" s="103"/>
      <c r="AB19" s="103"/>
      <c r="AC19" s="103"/>
      <c r="AD19" s="103"/>
      <c r="AE19" s="103"/>
      <c r="AF19" s="103"/>
      <c r="AG19" s="103"/>
      <c r="AH19" s="103"/>
      <c r="AI19" s="103"/>
      <c r="AJ19" s="103"/>
      <c r="AK19" s="103"/>
      <c r="AL19" s="103"/>
      <c r="AM19" s="103"/>
      <c r="AN19" s="103"/>
      <c r="AO19" s="103"/>
      <c r="AP19" s="103"/>
      <c r="AQ19" s="103"/>
      <c r="AR19" s="103"/>
      <c r="AS19" s="103"/>
      <c r="AT19" s="103"/>
      <c r="AU19" s="103"/>
      <c r="AV19" s="103"/>
      <c r="AW19" s="103"/>
      <c r="AX19" s="103"/>
      <c r="AY19" s="103"/>
      <c r="AZ19" s="103"/>
      <c r="BA19" s="103"/>
      <c r="BB19" s="103"/>
      <c r="BC19" s="103"/>
      <c r="BD19" s="103"/>
      <c r="BE19" s="103"/>
      <c r="BF19" s="104"/>
    </row>
    <row r="20" spans="1:58">
      <c r="A20" s="475"/>
      <c r="B20" s="474"/>
      <c r="C20" s="490"/>
      <c r="D20" s="470"/>
      <c r="E20" s="472"/>
      <c r="F20" s="472"/>
      <c r="G20" s="72" t="s">
        <v>167</v>
      </c>
      <c r="H20" s="68">
        <f t="shared" si="3"/>
        <v>0</v>
      </c>
      <c r="I20" s="105"/>
      <c r="J20" s="106"/>
      <c r="K20" s="106"/>
      <c r="L20" s="106"/>
      <c r="M20" s="106"/>
      <c r="N20" s="106"/>
      <c r="O20" s="106"/>
      <c r="P20" s="106"/>
      <c r="Q20" s="106"/>
      <c r="R20" s="106"/>
      <c r="S20" s="106"/>
      <c r="T20" s="106"/>
      <c r="U20" s="106"/>
      <c r="V20" s="106"/>
      <c r="W20" s="106"/>
      <c r="X20" s="106"/>
      <c r="Y20" s="106"/>
      <c r="Z20" s="106"/>
      <c r="AA20" s="106"/>
      <c r="AB20" s="106"/>
      <c r="AC20" s="106"/>
      <c r="AD20" s="106"/>
      <c r="AE20" s="106"/>
      <c r="AF20" s="106"/>
      <c r="AG20" s="106"/>
      <c r="AH20" s="106"/>
      <c r="AI20" s="106"/>
      <c r="AJ20" s="106"/>
      <c r="AK20" s="106"/>
      <c r="AL20" s="106"/>
      <c r="AM20" s="106"/>
      <c r="AN20" s="106"/>
      <c r="AO20" s="106"/>
      <c r="AP20" s="106"/>
      <c r="AQ20" s="106"/>
      <c r="AR20" s="106"/>
      <c r="AS20" s="106"/>
      <c r="AT20" s="106"/>
      <c r="AU20" s="106"/>
      <c r="AV20" s="106"/>
      <c r="AW20" s="106"/>
      <c r="AX20" s="106"/>
      <c r="AY20" s="106"/>
      <c r="AZ20" s="106"/>
      <c r="BA20" s="106"/>
      <c r="BB20" s="106"/>
      <c r="BC20" s="106"/>
      <c r="BD20" s="106"/>
      <c r="BE20" s="106"/>
      <c r="BF20" s="107"/>
    </row>
    <row r="21" spans="1:58">
      <c r="A21" s="473">
        <f>A19+1</f>
        <v>7</v>
      </c>
      <c r="B21" s="474"/>
      <c r="C21" s="489" t="s">
        <v>818</v>
      </c>
      <c r="D21" s="516">
        <f t="shared" ref="D21" si="20">SUM(I21:BF21)</f>
        <v>0</v>
      </c>
      <c r="E21" s="517" t="str">
        <f t="shared" ref="E21" si="21">IF(D21=0,"",H22/D21)</f>
        <v/>
      </c>
      <c r="F21" s="517" t="str">
        <f t="shared" ref="F21" si="22">IF(H21=0,"",H22/H21)</f>
        <v/>
      </c>
      <c r="G21" s="99" t="s">
        <v>168</v>
      </c>
      <c r="H21" s="66">
        <f>SUMPRODUCT((I$8:BF$8&lt;&gt;"")*1,(I$8:BF$8&lt;=$O$2)*1,I21:BF21)</f>
        <v>0</v>
      </c>
      <c r="I21" s="313"/>
      <c r="J21" s="108"/>
      <c r="K21" s="108"/>
      <c r="L21" s="108"/>
      <c r="M21" s="108"/>
      <c r="N21" s="108"/>
      <c r="O21" s="108"/>
      <c r="P21" s="108"/>
      <c r="Q21" s="108"/>
      <c r="R21" s="108"/>
      <c r="S21" s="108"/>
      <c r="T21" s="108"/>
      <c r="U21" s="108"/>
      <c r="V21" s="108"/>
      <c r="W21" s="108"/>
      <c r="X21" s="108"/>
      <c r="Y21" s="108"/>
      <c r="Z21" s="108"/>
      <c r="AA21" s="108"/>
      <c r="AB21" s="108"/>
      <c r="AC21" s="108"/>
      <c r="AD21" s="108"/>
      <c r="AE21" s="108"/>
      <c r="AF21" s="108"/>
      <c r="AG21" s="108"/>
      <c r="AH21" s="108"/>
      <c r="AI21" s="108"/>
      <c r="AJ21" s="108"/>
      <c r="AK21" s="108"/>
      <c r="AL21" s="108"/>
      <c r="AM21" s="108"/>
      <c r="AN21" s="108"/>
      <c r="AO21" s="108"/>
      <c r="AP21" s="108"/>
      <c r="AQ21" s="108"/>
      <c r="AR21" s="108"/>
      <c r="AS21" s="108"/>
      <c r="AT21" s="108"/>
      <c r="AU21" s="108"/>
      <c r="AV21" s="108"/>
      <c r="AW21" s="108"/>
      <c r="AX21" s="108"/>
      <c r="AY21" s="108"/>
      <c r="AZ21" s="108"/>
      <c r="BA21" s="108"/>
      <c r="BB21" s="108"/>
      <c r="BC21" s="108"/>
      <c r="BD21" s="108"/>
      <c r="BE21" s="108"/>
      <c r="BF21" s="109"/>
    </row>
    <row r="22" spans="1:58">
      <c r="A22" s="475"/>
      <c r="B22" s="474"/>
      <c r="C22" s="490"/>
      <c r="D22" s="470"/>
      <c r="E22" s="472"/>
      <c r="F22" s="472"/>
      <c r="G22" s="100" t="s">
        <v>167</v>
      </c>
      <c r="H22" s="101">
        <f t="shared" si="3"/>
        <v>0</v>
      </c>
      <c r="I22" s="314"/>
      <c r="J22" s="110"/>
      <c r="K22" s="110"/>
      <c r="L22" s="110"/>
      <c r="M22" s="110"/>
      <c r="N22" s="110"/>
      <c r="O22" s="110"/>
      <c r="P22" s="110"/>
      <c r="Q22" s="110"/>
      <c r="R22" s="110"/>
      <c r="S22" s="110"/>
      <c r="T22" s="110"/>
      <c r="U22" s="110"/>
      <c r="V22" s="110"/>
      <c r="W22" s="110"/>
      <c r="X22" s="110"/>
      <c r="Y22" s="110"/>
      <c r="Z22" s="110"/>
      <c r="AA22" s="110"/>
      <c r="AB22" s="110"/>
      <c r="AC22" s="110"/>
      <c r="AD22" s="110"/>
      <c r="AE22" s="110"/>
      <c r="AF22" s="110"/>
      <c r="AG22" s="110"/>
      <c r="AH22" s="110"/>
      <c r="AI22" s="110"/>
      <c r="AJ22" s="110"/>
      <c r="AK22" s="110"/>
      <c r="AL22" s="110"/>
      <c r="AM22" s="110"/>
      <c r="AN22" s="110"/>
      <c r="AO22" s="110"/>
      <c r="AP22" s="110"/>
      <c r="AQ22" s="110"/>
      <c r="AR22" s="110"/>
      <c r="AS22" s="110"/>
      <c r="AT22" s="110"/>
      <c r="AU22" s="110"/>
      <c r="AV22" s="110"/>
      <c r="AW22" s="110"/>
      <c r="AX22" s="110"/>
      <c r="AY22" s="110"/>
      <c r="AZ22" s="110"/>
      <c r="BA22" s="110"/>
      <c r="BB22" s="110"/>
      <c r="BC22" s="110"/>
      <c r="BD22" s="110"/>
      <c r="BE22" s="110"/>
      <c r="BF22" s="111"/>
    </row>
    <row r="23" spans="1:58">
      <c r="A23" s="547">
        <f>A21+1</f>
        <v>8</v>
      </c>
      <c r="B23" s="548"/>
      <c r="C23" s="489" t="s">
        <v>819</v>
      </c>
      <c r="D23" s="516">
        <f t="shared" ref="D23" si="23">SUM(I23:BF23)</f>
        <v>0</v>
      </c>
      <c r="E23" s="517" t="str">
        <f t="shared" ref="E23" si="24">IF(D23=0,"",H24/D23)</f>
        <v/>
      </c>
      <c r="F23" s="517" t="str">
        <f t="shared" ref="F23" si="25">IF(H23=0,"",H24/H23)</f>
        <v/>
      </c>
      <c r="G23" s="97" t="s">
        <v>168</v>
      </c>
      <c r="H23" s="87">
        <f t="shared" si="3"/>
        <v>0</v>
      </c>
      <c r="I23" s="312"/>
      <c r="J23" s="103"/>
      <c r="K23" s="103"/>
      <c r="L23" s="103"/>
      <c r="M23" s="103"/>
      <c r="N23" s="103"/>
      <c r="O23" s="103"/>
      <c r="P23" s="103"/>
      <c r="Q23" s="103"/>
      <c r="R23" s="103"/>
      <c r="S23" s="103"/>
      <c r="T23" s="103"/>
      <c r="U23" s="103"/>
      <c r="V23" s="103"/>
      <c r="W23" s="103"/>
      <c r="X23" s="103"/>
      <c r="Y23" s="103"/>
      <c r="Z23" s="103"/>
      <c r="AA23" s="103"/>
      <c r="AB23" s="103"/>
      <c r="AC23" s="103"/>
      <c r="AD23" s="103"/>
      <c r="AE23" s="103"/>
      <c r="AF23" s="103"/>
      <c r="AG23" s="103"/>
      <c r="AH23" s="103"/>
      <c r="AI23" s="103"/>
      <c r="AJ23" s="103"/>
      <c r="AK23" s="103"/>
      <c r="AL23" s="103"/>
      <c r="AM23" s="103"/>
      <c r="AN23" s="103"/>
      <c r="AO23" s="103"/>
      <c r="AP23" s="103"/>
      <c r="AQ23" s="103"/>
      <c r="AR23" s="103"/>
      <c r="AS23" s="103"/>
      <c r="AT23" s="103"/>
      <c r="AU23" s="103"/>
      <c r="AV23" s="103"/>
      <c r="AW23" s="103"/>
      <c r="AX23" s="103"/>
      <c r="AY23" s="103"/>
      <c r="AZ23" s="103"/>
      <c r="BA23" s="103"/>
      <c r="BB23" s="103"/>
      <c r="BC23" s="103"/>
      <c r="BD23" s="103"/>
      <c r="BE23" s="103"/>
      <c r="BF23" s="104"/>
    </row>
    <row r="24" spans="1:58">
      <c r="A24" s="549"/>
      <c r="B24" s="550"/>
      <c r="C24" s="490"/>
      <c r="D24" s="470"/>
      <c r="E24" s="472"/>
      <c r="F24" s="472"/>
      <c r="G24" s="72" t="s">
        <v>167</v>
      </c>
      <c r="H24" s="95">
        <f t="shared" si="3"/>
        <v>0</v>
      </c>
      <c r="I24" s="105"/>
      <c r="J24" s="106"/>
      <c r="K24" s="106"/>
      <c r="L24" s="106"/>
      <c r="M24" s="106"/>
      <c r="N24" s="106"/>
      <c r="O24" s="106"/>
      <c r="P24" s="106"/>
      <c r="Q24" s="106"/>
      <c r="R24" s="106"/>
      <c r="S24" s="106"/>
      <c r="T24" s="106"/>
      <c r="U24" s="106"/>
      <c r="V24" s="106"/>
      <c r="W24" s="106"/>
      <c r="X24" s="106"/>
      <c r="Y24" s="106"/>
      <c r="Z24" s="106"/>
      <c r="AA24" s="106"/>
      <c r="AB24" s="106"/>
      <c r="AC24" s="106"/>
      <c r="AD24" s="106"/>
      <c r="AE24" s="106"/>
      <c r="AF24" s="106"/>
      <c r="AG24" s="106"/>
      <c r="AH24" s="106"/>
      <c r="AI24" s="106"/>
      <c r="AJ24" s="106"/>
      <c r="AK24" s="106"/>
      <c r="AL24" s="106"/>
      <c r="AM24" s="106"/>
      <c r="AN24" s="106"/>
      <c r="AO24" s="106"/>
      <c r="AP24" s="106"/>
      <c r="AQ24" s="106"/>
      <c r="AR24" s="106"/>
      <c r="AS24" s="106"/>
      <c r="AT24" s="106"/>
      <c r="AU24" s="106"/>
      <c r="AV24" s="106"/>
      <c r="AW24" s="106"/>
      <c r="AX24" s="106"/>
      <c r="AY24" s="106"/>
      <c r="AZ24" s="106"/>
      <c r="BA24" s="106"/>
      <c r="BB24" s="106"/>
      <c r="BC24" s="106"/>
      <c r="BD24" s="106"/>
      <c r="BE24" s="106"/>
      <c r="BF24" s="107"/>
    </row>
    <row r="25" spans="1:58">
      <c r="A25" s="553">
        <f>A23+1</f>
        <v>9</v>
      </c>
      <c r="B25" s="554"/>
      <c r="C25" s="489" t="s">
        <v>820</v>
      </c>
      <c r="D25" s="516">
        <f t="shared" ref="D25" si="26">SUM(I25:BF25)</f>
        <v>0</v>
      </c>
      <c r="E25" s="517" t="str">
        <f t="shared" ref="E25" si="27">IF(D25=0,"",H26/D25)</f>
        <v/>
      </c>
      <c r="F25" s="517" t="str">
        <f t="shared" ref="F25" si="28">IF(H25=0,"",H26/H25)</f>
        <v/>
      </c>
      <c r="G25" s="364" t="s">
        <v>168</v>
      </c>
      <c r="H25" s="365">
        <f t="shared" si="3"/>
        <v>0</v>
      </c>
      <c r="I25" s="313"/>
      <c r="J25" s="108"/>
      <c r="K25" s="108"/>
      <c r="L25" s="108"/>
      <c r="M25" s="108"/>
      <c r="N25" s="108"/>
      <c r="O25" s="108"/>
      <c r="P25" s="108"/>
      <c r="Q25" s="108"/>
      <c r="R25" s="108"/>
      <c r="S25" s="108"/>
      <c r="T25" s="108"/>
      <c r="U25" s="108"/>
      <c r="V25" s="108"/>
      <c r="W25" s="108"/>
      <c r="X25" s="108"/>
      <c r="Y25" s="108"/>
      <c r="Z25" s="108"/>
      <c r="AA25" s="108"/>
      <c r="AB25" s="108"/>
      <c r="AC25" s="108"/>
      <c r="AD25" s="108"/>
      <c r="AE25" s="108"/>
      <c r="AF25" s="108"/>
      <c r="AG25" s="108"/>
      <c r="AH25" s="108"/>
      <c r="AI25" s="108"/>
      <c r="AJ25" s="108"/>
      <c r="AK25" s="108"/>
      <c r="AL25" s="108"/>
      <c r="AM25" s="108"/>
      <c r="AN25" s="108"/>
      <c r="AO25" s="108"/>
      <c r="AP25" s="108"/>
      <c r="AQ25" s="108"/>
      <c r="AR25" s="108"/>
      <c r="AS25" s="108"/>
      <c r="AT25" s="108"/>
      <c r="AU25" s="108"/>
      <c r="AV25" s="108"/>
      <c r="AW25" s="108"/>
      <c r="AX25" s="108"/>
      <c r="AY25" s="108"/>
      <c r="AZ25" s="108"/>
      <c r="BA25" s="108"/>
      <c r="BB25" s="108"/>
      <c r="BC25" s="108"/>
      <c r="BD25" s="108"/>
      <c r="BE25" s="108"/>
      <c r="BF25" s="109"/>
    </row>
    <row r="26" spans="1:58">
      <c r="A26" s="549"/>
      <c r="B26" s="550"/>
      <c r="C26" s="490"/>
      <c r="D26" s="470"/>
      <c r="E26" s="472"/>
      <c r="F26" s="472"/>
      <c r="G26" s="366" t="s">
        <v>167</v>
      </c>
      <c r="H26" s="367">
        <f t="shared" si="3"/>
        <v>0</v>
      </c>
      <c r="I26" s="314"/>
      <c r="J26" s="110"/>
      <c r="K26" s="110"/>
      <c r="L26" s="110"/>
      <c r="M26" s="110"/>
      <c r="N26" s="110"/>
      <c r="O26" s="110"/>
      <c r="P26" s="110"/>
      <c r="Q26" s="110"/>
      <c r="R26" s="110"/>
      <c r="S26" s="110"/>
      <c r="T26" s="110"/>
      <c r="U26" s="110"/>
      <c r="V26" s="110"/>
      <c r="W26" s="110"/>
      <c r="X26" s="110"/>
      <c r="Y26" s="110"/>
      <c r="Z26" s="110"/>
      <c r="AA26" s="110"/>
      <c r="AB26" s="110"/>
      <c r="AC26" s="110"/>
      <c r="AD26" s="110"/>
      <c r="AE26" s="110"/>
      <c r="AF26" s="110"/>
      <c r="AG26" s="110"/>
      <c r="AH26" s="110"/>
      <c r="AI26" s="110"/>
      <c r="AJ26" s="110"/>
      <c r="AK26" s="110"/>
      <c r="AL26" s="110"/>
      <c r="AM26" s="110"/>
      <c r="AN26" s="110"/>
      <c r="AO26" s="110"/>
      <c r="AP26" s="110"/>
      <c r="AQ26" s="110"/>
      <c r="AR26" s="110"/>
      <c r="AS26" s="110"/>
      <c r="AT26" s="110"/>
      <c r="AU26" s="110"/>
      <c r="AV26" s="110"/>
      <c r="AW26" s="110"/>
      <c r="AX26" s="110"/>
      <c r="AY26" s="110"/>
      <c r="AZ26" s="110"/>
      <c r="BA26" s="110"/>
      <c r="BB26" s="110"/>
      <c r="BC26" s="110"/>
      <c r="BD26" s="110"/>
      <c r="BE26" s="110"/>
      <c r="BF26" s="111"/>
    </row>
    <row r="27" spans="1:58">
      <c r="A27" s="547">
        <f>A25+1</f>
        <v>10</v>
      </c>
      <c r="B27" s="548"/>
      <c r="C27" s="489" t="s">
        <v>821</v>
      </c>
      <c r="D27" s="516">
        <f t="shared" ref="D27" si="29">SUM(I27:BF27)</f>
        <v>0</v>
      </c>
      <c r="E27" s="517" t="str">
        <f t="shared" ref="E27" si="30">IF(D27=0,"",H28/D27)</f>
        <v/>
      </c>
      <c r="F27" s="517" t="str">
        <f t="shared" ref="F27" si="31">IF(H27=0,"",H28/H27)</f>
        <v/>
      </c>
      <c r="G27" s="362" t="s">
        <v>168</v>
      </c>
      <c r="H27" s="368">
        <f t="shared" si="3"/>
        <v>0</v>
      </c>
      <c r="I27" s="312"/>
      <c r="J27" s="103"/>
      <c r="K27" s="103"/>
      <c r="L27" s="103"/>
      <c r="M27" s="103"/>
      <c r="N27" s="103"/>
      <c r="O27" s="103"/>
      <c r="P27" s="103"/>
      <c r="Q27" s="103"/>
      <c r="R27" s="103"/>
      <c r="S27" s="103"/>
      <c r="T27" s="103"/>
      <c r="U27" s="103"/>
      <c r="V27" s="103"/>
      <c r="W27" s="103"/>
      <c r="X27" s="103"/>
      <c r="Y27" s="103"/>
      <c r="Z27" s="103"/>
      <c r="AA27" s="103"/>
      <c r="AB27" s="103"/>
      <c r="AC27" s="103"/>
      <c r="AD27" s="103"/>
      <c r="AE27" s="103"/>
      <c r="AF27" s="103"/>
      <c r="AG27" s="103"/>
      <c r="AH27" s="103"/>
      <c r="AI27" s="103"/>
      <c r="AJ27" s="103"/>
      <c r="AK27" s="103"/>
      <c r="AL27" s="103"/>
      <c r="AM27" s="103"/>
      <c r="AN27" s="103"/>
      <c r="AO27" s="103"/>
      <c r="AP27" s="103"/>
      <c r="AQ27" s="103"/>
      <c r="AR27" s="103"/>
      <c r="AS27" s="103"/>
      <c r="AT27" s="103"/>
      <c r="AU27" s="103"/>
      <c r="AV27" s="103"/>
      <c r="AW27" s="103"/>
      <c r="AX27" s="103"/>
      <c r="AY27" s="103"/>
      <c r="AZ27" s="103"/>
      <c r="BA27" s="103"/>
      <c r="BB27" s="103"/>
      <c r="BC27" s="103"/>
      <c r="BD27" s="103"/>
      <c r="BE27" s="103"/>
      <c r="BF27" s="104"/>
    </row>
    <row r="28" spans="1:58">
      <c r="A28" s="549"/>
      <c r="B28" s="550"/>
      <c r="C28" s="490"/>
      <c r="D28" s="470"/>
      <c r="E28" s="472"/>
      <c r="F28" s="472"/>
      <c r="G28" s="363" t="s">
        <v>167</v>
      </c>
      <c r="H28" s="369">
        <f t="shared" si="3"/>
        <v>0</v>
      </c>
      <c r="I28" s="105"/>
      <c r="J28" s="106"/>
      <c r="K28" s="106"/>
      <c r="L28" s="106"/>
      <c r="M28" s="106"/>
      <c r="N28" s="106"/>
      <c r="O28" s="106"/>
      <c r="P28" s="106"/>
      <c r="Q28" s="106"/>
      <c r="R28" s="106"/>
      <c r="S28" s="106"/>
      <c r="T28" s="106"/>
      <c r="U28" s="106"/>
      <c r="V28" s="106"/>
      <c r="W28" s="106"/>
      <c r="X28" s="106"/>
      <c r="Y28" s="106"/>
      <c r="Z28" s="106"/>
      <c r="AA28" s="106"/>
      <c r="AB28" s="106"/>
      <c r="AC28" s="106"/>
      <c r="AD28" s="106"/>
      <c r="AE28" s="106"/>
      <c r="AF28" s="106"/>
      <c r="AG28" s="106"/>
      <c r="AH28" s="106"/>
      <c r="AI28" s="106"/>
      <c r="AJ28" s="106"/>
      <c r="AK28" s="106"/>
      <c r="AL28" s="106"/>
      <c r="AM28" s="106"/>
      <c r="AN28" s="106"/>
      <c r="AO28" s="106"/>
      <c r="AP28" s="106"/>
      <c r="AQ28" s="106"/>
      <c r="AR28" s="106"/>
      <c r="AS28" s="106"/>
      <c r="AT28" s="106"/>
      <c r="AU28" s="106"/>
      <c r="AV28" s="106"/>
      <c r="AW28" s="106"/>
      <c r="AX28" s="106"/>
      <c r="AY28" s="106"/>
      <c r="AZ28" s="106"/>
      <c r="BA28" s="106"/>
      <c r="BB28" s="106"/>
      <c r="BC28" s="106"/>
      <c r="BD28" s="106"/>
      <c r="BE28" s="106"/>
      <c r="BF28" s="107"/>
    </row>
    <row r="29" spans="1:58">
      <c r="A29" s="547">
        <f>A27+1</f>
        <v>11</v>
      </c>
      <c r="B29" s="548"/>
      <c r="C29" s="489" t="s">
        <v>596</v>
      </c>
      <c r="D29" s="516">
        <f t="shared" ref="D29" si="32">SUM(I29:BF29)</f>
        <v>0</v>
      </c>
      <c r="E29" s="517" t="str">
        <f t="shared" ref="E29" si="33">IF(D29=0,"",H30/D29)</f>
        <v/>
      </c>
      <c r="F29" s="517" t="str">
        <f t="shared" ref="F29" si="34">IF(H29=0,"",H30/H29)</f>
        <v/>
      </c>
      <c r="G29" s="97" t="s">
        <v>168</v>
      </c>
      <c r="H29" s="87">
        <f t="shared" ref="H29:H30" si="35">SUMPRODUCT((I$8:BF$8&lt;&gt;"")*1,(I$8:BF$8&lt;=$O$2)*1,I29:BF29)</f>
        <v>0</v>
      </c>
      <c r="I29" s="312"/>
      <c r="J29" s="103"/>
      <c r="K29" s="103"/>
      <c r="L29" s="103"/>
      <c r="M29" s="103"/>
      <c r="N29" s="103"/>
      <c r="O29" s="103"/>
      <c r="P29" s="103"/>
      <c r="Q29" s="103"/>
      <c r="R29" s="103"/>
      <c r="S29" s="103"/>
      <c r="T29" s="103"/>
      <c r="U29" s="103"/>
      <c r="V29" s="103"/>
      <c r="W29" s="103"/>
      <c r="X29" s="103"/>
      <c r="Y29" s="103"/>
      <c r="Z29" s="103"/>
      <c r="AA29" s="103"/>
      <c r="AB29" s="103"/>
      <c r="AC29" s="103"/>
      <c r="AD29" s="103"/>
      <c r="AE29" s="103"/>
      <c r="AF29" s="103"/>
      <c r="AG29" s="103"/>
      <c r="AH29" s="103"/>
      <c r="AI29" s="103"/>
      <c r="AJ29" s="103"/>
      <c r="AK29" s="103"/>
      <c r="AL29" s="103"/>
      <c r="AM29" s="103"/>
      <c r="AN29" s="103"/>
      <c r="AO29" s="103"/>
      <c r="AP29" s="103"/>
      <c r="AQ29" s="103"/>
      <c r="AR29" s="103"/>
      <c r="AS29" s="103"/>
      <c r="AT29" s="103"/>
      <c r="AU29" s="103"/>
      <c r="AV29" s="103"/>
      <c r="AW29" s="103"/>
      <c r="AX29" s="103"/>
      <c r="AY29" s="103"/>
      <c r="AZ29" s="103"/>
      <c r="BA29" s="103"/>
      <c r="BB29" s="103"/>
      <c r="BC29" s="103"/>
      <c r="BD29" s="103"/>
      <c r="BE29" s="103"/>
      <c r="BF29" s="104"/>
    </row>
    <row r="30" spans="1:58">
      <c r="A30" s="549"/>
      <c r="B30" s="550"/>
      <c r="C30" s="490"/>
      <c r="D30" s="470"/>
      <c r="E30" s="472"/>
      <c r="F30" s="472"/>
      <c r="G30" s="72" t="s">
        <v>167</v>
      </c>
      <c r="H30" s="95">
        <f t="shared" si="35"/>
        <v>0</v>
      </c>
      <c r="I30" s="105"/>
      <c r="J30" s="106"/>
      <c r="K30" s="106"/>
      <c r="L30" s="106"/>
      <c r="M30" s="106"/>
      <c r="N30" s="106"/>
      <c r="O30" s="106"/>
      <c r="P30" s="106"/>
      <c r="Q30" s="106"/>
      <c r="R30" s="106"/>
      <c r="S30" s="106"/>
      <c r="T30" s="106"/>
      <c r="U30" s="106"/>
      <c r="V30" s="106"/>
      <c r="W30" s="106"/>
      <c r="X30" s="106"/>
      <c r="Y30" s="106"/>
      <c r="Z30" s="106"/>
      <c r="AA30" s="106"/>
      <c r="AB30" s="106"/>
      <c r="AC30" s="106"/>
      <c r="AD30" s="106"/>
      <c r="AE30" s="106"/>
      <c r="AF30" s="106"/>
      <c r="AG30" s="106"/>
      <c r="AH30" s="106"/>
      <c r="AI30" s="106"/>
      <c r="AJ30" s="106"/>
      <c r="AK30" s="106"/>
      <c r="AL30" s="106"/>
      <c r="AM30" s="106"/>
      <c r="AN30" s="106"/>
      <c r="AO30" s="106"/>
      <c r="AP30" s="106"/>
      <c r="AQ30" s="106"/>
      <c r="AR30" s="106"/>
      <c r="AS30" s="106"/>
      <c r="AT30" s="106"/>
      <c r="AU30" s="106"/>
      <c r="AV30" s="106"/>
      <c r="AW30" s="106"/>
      <c r="AX30" s="106"/>
      <c r="AY30" s="106"/>
      <c r="AZ30" s="106"/>
      <c r="BA30" s="106"/>
      <c r="BB30" s="106"/>
      <c r="BC30" s="106"/>
      <c r="BD30" s="106"/>
      <c r="BE30" s="106"/>
      <c r="BF30" s="107"/>
    </row>
    <row r="31" spans="1:58">
      <c r="A31" s="551">
        <f>A27+1</f>
        <v>11</v>
      </c>
      <c r="B31" s="552"/>
      <c r="C31" s="489" t="s">
        <v>596</v>
      </c>
      <c r="D31" s="516">
        <f t="shared" ref="D31" si="36">SUM(I31:BF31)</f>
        <v>0</v>
      </c>
      <c r="E31" s="517" t="str">
        <f t="shared" ref="E31" si="37">IF(D31=0,"",H32/D31)</f>
        <v/>
      </c>
      <c r="F31" s="517" t="str">
        <f t="shared" ref="F31" si="38">IF(H31=0,"",H32/H31)</f>
        <v/>
      </c>
      <c r="G31" s="99" t="s">
        <v>168</v>
      </c>
      <c r="H31" s="66">
        <f t="shared" si="3"/>
        <v>0</v>
      </c>
      <c r="I31" s="313"/>
      <c r="J31" s="108"/>
      <c r="K31" s="108"/>
      <c r="L31" s="108"/>
      <c r="M31" s="108"/>
      <c r="N31" s="108"/>
      <c r="O31" s="108"/>
      <c r="P31" s="108"/>
      <c r="Q31" s="108"/>
      <c r="R31" s="108"/>
      <c r="S31" s="108"/>
      <c r="T31" s="108"/>
      <c r="U31" s="108"/>
      <c r="V31" s="108"/>
      <c r="W31" s="108"/>
      <c r="X31" s="108"/>
      <c r="Y31" s="108"/>
      <c r="Z31" s="108"/>
      <c r="AA31" s="108"/>
      <c r="AB31" s="108"/>
      <c r="AC31" s="108"/>
      <c r="AD31" s="108"/>
      <c r="AE31" s="108"/>
      <c r="AF31" s="108"/>
      <c r="AG31" s="108"/>
      <c r="AH31" s="108"/>
      <c r="AI31" s="108"/>
      <c r="AJ31" s="108"/>
      <c r="AK31" s="108"/>
      <c r="AL31" s="108"/>
      <c r="AM31" s="108"/>
      <c r="AN31" s="108"/>
      <c r="AO31" s="108"/>
      <c r="AP31" s="108"/>
      <c r="AQ31" s="108"/>
      <c r="AR31" s="108"/>
      <c r="AS31" s="108"/>
      <c r="AT31" s="108"/>
      <c r="AU31" s="108"/>
      <c r="AV31" s="108"/>
      <c r="AW31" s="108"/>
      <c r="AX31" s="108"/>
      <c r="AY31" s="108"/>
      <c r="AZ31" s="108"/>
      <c r="BA31" s="108"/>
      <c r="BB31" s="108"/>
      <c r="BC31" s="108"/>
      <c r="BD31" s="108"/>
      <c r="BE31" s="108"/>
      <c r="BF31" s="109"/>
    </row>
    <row r="32" spans="1:58">
      <c r="A32" s="475"/>
      <c r="B32" s="474"/>
      <c r="C32" s="490"/>
      <c r="D32" s="470"/>
      <c r="E32" s="472"/>
      <c r="F32" s="472"/>
      <c r="G32" s="100" t="s">
        <v>167</v>
      </c>
      <c r="H32" s="101">
        <f t="shared" si="3"/>
        <v>0</v>
      </c>
      <c r="I32" s="314"/>
      <c r="J32" s="110"/>
      <c r="K32" s="110"/>
      <c r="L32" s="110"/>
      <c r="M32" s="110"/>
      <c r="N32" s="110"/>
      <c r="O32" s="110"/>
      <c r="P32" s="110"/>
      <c r="Q32" s="110"/>
      <c r="R32" s="110"/>
      <c r="S32" s="110"/>
      <c r="T32" s="110"/>
      <c r="U32" s="110"/>
      <c r="V32" s="110"/>
      <c r="W32" s="110"/>
      <c r="X32" s="110"/>
      <c r="Y32" s="110"/>
      <c r="Z32" s="110"/>
      <c r="AA32" s="110"/>
      <c r="AB32" s="110"/>
      <c r="AC32" s="110"/>
      <c r="AD32" s="110"/>
      <c r="AE32" s="110"/>
      <c r="AF32" s="110"/>
      <c r="AG32" s="110"/>
      <c r="AH32" s="110"/>
      <c r="AI32" s="110"/>
      <c r="AJ32" s="110"/>
      <c r="AK32" s="110"/>
      <c r="AL32" s="110"/>
      <c r="AM32" s="110"/>
      <c r="AN32" s="110"/>
      <c r="AO32" s="110"/>
      <c r="AP32" s="110"/>
      <c r="AQ32" s="110"/>
      <c r="AR32" s="110"/>
      <c r="AS32" s="110"/>
      <c r="AT32" s="110"/>
      <c r="AU32" s="110"/>
      <c r="AV32" s="110"/>
      <c r="AW32" s="110"/>
      <c r="AX32" s="110"/>
      <c r="AY32" s="110"/>
      <c r="AZ32" s="110"/>
      <c r="BA32" s="110"/>
      <c r="BB32" s="110"/>
      <c r="BC32" s="110"/>
      <c r="BD32" s="110"/>
      <c r="BE32" s="110"/>
      <c r="BF32" s="111"/>
    </row>
    <row r="33" spans="1:58">
      <c r="A33" s="473">
        <f>A31+1</f>
        <v>12</v>
      </c>
      <c r="B33" s="474"/>
      <c r="C33" s="489" t="s">
        <v>596</v>
      </c>
      <c r="D33" s="516">
        <f t="shared" ref="D33" si="39">SUM(I33:BF33)</f>
        <v>0</v>
      </c>
      <c r="E33" s="517" t="str">
        <f t="shared" ref="E33" si="40">IF(D33=0,"",H34/D33)</f>
        <v/>
      </c>
      <c r="F33" s="517" t="str">
        <f t="shared" ref="F33" si="41">IF(H33=0,"",H34/H33)</f>
        <v/>
      </c>
      <c r="G33" s="97" t="s">
        <v>168</v>
      </c>
      <c r="H33" s="69">
        <f t="shared" si="3"/>
        <v>0</v>
      </c>
      <c r="I33" s="312"/>
      <c r="J33" s="103"/>
      <c r="K33" s="103"/>
      <c r="L33" s="103"/>
      <c r="M33" s="103"/>
      <c r="N33" s="103"/>
      <c r="O33" s="103"/>
      <c r="P33" s="103"/>
      <c r="Q33" s="103"/>
      <c r="R33" s="103"/>
      <c r="S33" s="103"/>
      <c r="T33" s="103"/>
      <c r="U33" s="103"/>
      <c r="V33" s="103"/>
      <c r="W33" s="103"/>
      <c r="X33" s="103"/>
      <c r="Y33" s="103"/>
      <c r="Z33" s="103"/>
      <c r="AA33" s="103"/>
      <c r="AB33" s="103"/>
      <c r="AC33" s="103"/>
      <c r="AD33" s="103"/>
      <c r="AE33" s="103"/>
      <c r="AF33" s="103"/>
      <c r="AG33" s="103"/>
      <c r="AH33" s="103"/>
      <c r="AI33" s="103"/>
      <c r="AJ33" s="103"/>
      <c r="AK33" s="103"/>
      <c r="AL33" s="103"/>
      <c r="AM33" s="103"/>
      <c r="AN33" s="103"/>
      <c r="AO33" s="103"/>
      <c r="AP33" s="103"/>
      <c r="AQ33" s="103"/>
      <c r="AR33" s="103"/>
      <c r="AS33" s="103"/>
      <c r="AT33" s="103"/>
      <c r="AU33" s="103"/>
      <c r="AV33" s="103"/>
      <c r="AW33" s="103"/>
      <c r="AX33" s="103"/>
      <c r="AY33" s="103"/>
      <c r="AZ33" s="103"/>
      <c r="BA33" s="103"/>
      <c r="BB33" s="103"/>
      <c r="BC33" s="103"/>
      <c r="BD33" s="103"/>
      <c r="BE33" s="103"/>
      <c r="BF33" s="104"/>
    </row>
    <row r="34" spans="1:58">
      <c r="A34" s="475"/>
      <c r="B34" s="474"/>
      <c r="C34" s="490"/>
      <c r="D34" s="470"/>
      <c r="E34" s="472"/>
      <c r="F34" s="472"/>
      <c r="G34" s="72" t="s">
        <v>167</v>
      </c>
      <c r="H34" s="68">
        <f t="shared" si="3"/>
        <v>0</v>
      </c>
      <c r="I34" s="105"/>
      <c r="J34" s="106"/>
      <c r="K34" s="106"/>
      <c r="L34" s="106"/>
      <c r="M34" s="106"/>
      <c r="N34" s="106"/>
      <c r="O34" s="106"/>
      <c r="P34" s="106"/>
      <c r="Q34" s="106"/>
      <c r="R34" s="106"/>
      <c r="S34" s="106"/>
      <c r="T34" s="106"/>
      <c r="U34" s="106"/>
      <c r="V34" s="106"/>
      <c r="W34" s="106"/>
      <c r="X34" s="106"/>
      <c r="Y34" s="106"/>
      <c r="Z34" s="106"/>
      <c r="AA34" s="106"/>
      <c r="AB34" s="106"/>
      <c r="AC34" s="106"/>
      <c r="AD34" s="106"/>
      <c r="AE34" s="106"/>
      <c r="AF34" s="106"/>
      <c r="AG34" s="106"/>
      <c r="AH34" s="106"/>
      <c r="AI34" s="106"/>
      <c r="AJ34" s="106"/>
      <c r="AK34" s="106"/>
      <c r="AL34" s="106"/>
      <c r="AM34" s="106"/>
      <c r="AN34" s="106"/>
      <c r="AO34" s="106"/>
      <c r="AP34" s="106"/>
      <c r="AQ34" s="106"/>
      <c r="AR34" s="106"/>
      <c r="AS34" s="106"/>
      <c r="AT34" s="106"/>
      <c r="AU34" s="106"/>
      <c r="AV34" s="106"/>
      <c r="AW34" s="106"/>
      <c r="AX34" s="106"/>
      <c r="AY34" s="106"/>
      <c r="AZ34" s="106"/>
      <c r="BA34" s="106"/>
      <c r="BB34" s="106"/>
      <c r="BC34" s="106"/>
      <c r="BD34" s="106"/>
      <c r="BE34" s="106"/>
      <c r="BF34" s="107"/>
    </row>
    <row r="35" spans="1:58">
      <c r="A35" s="473">
        <f>A33+1</f>
        <v>13</v>
      </c>
      <c r="B35" s="474"/>
      <c r="C35" s="489" t="s">
        <v>596</v>
      </c>
      <c r="D35" s="516">
        <f t="shared" ref="D35" si="42">SUM(I35:BF35)</f>
        <v>0</v>
      </c>
      <c r="E35" s="517" t="str">
        <f t="shared" ref="E35" si="43">IF(D35=0,"",H36/D35)</f>
        <v/>
      </c>
      <c r="F35" s="517" t="str">
        <f t="shared" ref="F35" si="44">IF(H35=0,"",H36/H35)</f>
        <v/>
      </c>
      <c r="G35" s="99" t="s">
        <v>168</v>
      </c>
      <c r="H35" s="66">
        <f t="shared" si="3"/>
        <v>0</v>
      </c>
      <c r="I35" s="313"/>
      <c r="J35" s="108"/>
      <c r="K35" s="108"/>
      <c r="L35" s="108"/>
      <c r="M35" s="108"/>
      <c r="N35" s="108"/>
      <c r="O35" s="108"/>
      <c r="P35" s="108"/>
      <c r="Q35" s="108"/>
      <c r="R35" s="108"/>
      <c r="S35" s="108"/>
      <c r="T35" s="108"/>
      <c r="U35" s="108"/>
      <c r="V35" s="108"/>
      <c r="W35" s="108"/>
      <c r="X35" s="108"/>
      <c r="Y35" s="108"/>
      <c r="Z35" s="108"/>
      <c r="AA35" s="108"/>
      <c r="AB35" s="108"/>
      <c r="AC35" s="108"/>
      <c r="AD35" s="108"/>
      <c r="AE35" s="108"/>
      <c r="AF35" s="108"/>
      <c r="AG35" s="108"/>
      <c r="AH35" s="108"/>
      <c r="AI35" s="108"/>
      <c r="AJ35" s="108"/>
      <c r="AK35" s="108"/>
      <c r="AL35" s="108"/>
      <c r="AM35" s="108"/>
      <c r="AN35" s="108"/>
      <c r="AO35" s="108"/>
      <c r="AP35" s="108"/>
      <c r="AQ35" s="108"/>
      <c r="AR35" s="108"/>
      <c r="AS35" s="108"/>
      <c r="AT35" s="108"/>
      <c r="AU35" s="108"/>
      <c r="AV35" s="108"/>
      <c r="AW35" s="108"/>
      <c r="AX35" s="108"/>
      <c r="AY35" s="108"/>
      <c r="AZ35" s="108"/>
      <c r="BA35" s="108"/>
      <c r="BB35" s="108"/>
      <c r="BC35" s="108"/>
      <c r="BD35" s="108"/>
      <c r="BE35" s="108"/>
      <c r="BF35" s="109"/>
    </row>
    <row r="36" spans="1:58">
      <c r="A36" s="475"/>
      <c r="B36" s="474"/>
      <c r="C36" s="490"/>
      <c r="D36" s="470"/>
      <c r="E36" s="472"/>
      <c r="F36" s="472"/>
      <c r="G36" s="100" t="s">
        <v>167</v>
      </c>
      <c r="H36" s="101">
        <f t="shared" si="3"/>
        <v>0</v>
      </c>
      <c r="I36" s="314"/>
      <c r="J36" s="110"/>
      <c r="K36" s="110"/>
      <c r="L36" s="110"/>
      <c r="M36" s="110"/>
      <c r="N36" s="110"/>
      <c r="O36" s="110"/>
      <c r="P36" s="110"/>
      <c r="Q36" s="110"/>
      <c r="R36" s="110"/>
      <c r="S36" s="110"/>
      <c r="T36" s="110"/>
      <c r="U36" s="110"/>
      <c r="V36" s="110"/>
      <c r="W36" s="110"/>
      <c r="X36" s="110"/>
      <c r="Y36" s="110"/>
      <c r="Z36" s="110"/>
      <c r="AA36" s="110"/>
      <c r="AB36" s="110"/>
      <c r="AC36" s="110"/>
      <c r="AD36" s="110"/>
      <c r="AE36" s="110"/>
      <c r="AF36" s="110"/>
      <c r="AG36" s="110"/>
      <c r="AH36" s="110"/>
      <c r="AI36" s="110"/>
      <c r="AJ36" s="110"/>
      <c r="AK36" s="110"/>
      <c r="AL36" s="110"/>
      <c r="AM36" s="110"/>
      <c r="AN36" s="110"/>
      <c r="AO36" s="110"/>
      <c r="AP36" s="110"/>
      <c r="AQ36" s="110"/>
      <c r="AR36" s="110"/>
      <c r="AS36" s="110"/>
      <c r="AT36" s="110"/>
      <c r="AU36" s="110"/>
      <c r="AV36" s="110"/>
      <c r="AW36" s="110"/>
      <c r="AX36" s="110"/>
      <c r="AY36" s="110"/>
      <c r="AZ36" s="110"/>
      <c r="BA36" s="110"/>
      <c r="BB36" s="110"/>
      <c r="BC36" s="110"/>
      <c r="BD36" s="110"/>
      <c r="BE36" s="110"/>
      <c r="BF36" s="111"/>
    </row>
    <row r="37" spans="1:58">
      <c r="A37" s="547">
        <f>A35+1</f>
        <v>14</v>
      </c>
      <c r="B37" s="548"/>
      <c r="C37" s="489" t="s">
        <v>596</v>
      </c>
      <c r="D37" s="516">
        <f t="shared" ref="D37" si="45">SUM(I37:BF37)</f>
        <v>0</v>
      </c>
      <c r="E37" s="517" t="str">
        <f t="shared" ref="E37" si="46">IF(D37=0,"",H38/D37)</f>
        <v/>
      </c>
      <c r="F37" s="517" t="str">
        <f t="shared" ref="F37" si="47">IF(H37=0,"",H38/H37)</f>
        <v/>
      </c>
      <c r="G37" s="362" t="s">
        <v>168</v>
      </c>
      <c r="H37" s="368">
        <f t="shared" si="3"/>
        <v>0</v>
      </c>
      <c r="I37" s="312"/>
      <c r="J37" s="103"/>
      <c r="K37" s="103"/>
      <c r="L37" s="103"/>
      <c r="M37" s="103"/>
      <c r="N37" s="103"/>
      <c r="O37" s="103"/>
      <c r="P37" s="103"/>
      <c r="Q37" s="103"/>
      <c r="R37" s="103"/>
      <c r="S37" s="103"/>
      <c r="T37" s="103"/>
      <c r="U37" s="103"/>
      <c r="V37" s="103"/>
      <c r="W37" s="103"/>
      <c r="X37" s="103"/>
      <c r="Y37" s="103"/>
      <c r="Z37" s="103"/>
      <c r="AA37" s="103"/>
      <c r="AB37" s="103"/>
      <c r="AC37" s="103"/>
      <c r="AD37" s="103"/>
      <c r="AE37" s="103"/>
      <c r="AF37" s="103"/>
      <c r="AG37" s="103"/>
      <c r="AH37" s="103"/>
      <c r="AI37" s="103"/>
      <c r="AJ37" s="103"/>
      <c r="AK37" s="103"/>
      <c r="AL37" s="103"/>
      <c r="AM37" s="103"/>
      <c r="AN37" s="103"/>
      <c r="AO37" s="103"/>
      <c r="AP37" s="103"/>
      <c r="AQ37" s="103"/>
      <c r="AR37" s="103"/>
      <c r="AS37" s="103"/>
      <c r="AT37" s="103"/>
      <c r="AU37" s="103"/>
      <c r="AV37" s="103"/>
      <c r="AW37" s="103"/>
      <c r="AX37" s="103"/>
      <c r="AY37" s="103"/>
      <c r="AZ37" s="103"/>
      <c r="BA37" s="103"/>
      <c r="BB37" s="103"/>
      <c r="BC37" s="103"/>
      <c r="BD37" s="103"/>
      <c r="BE37" s="103"/>
      <c r="BF37" s="104"/>
    </row>
    <row r="38" spans="1:58">
      <c r="A38" s="549"/>
      <c r="B38" s="550"/>
      <c r="C38" s="490"/>
      <c r="D38" s="470"/>
      <c r="E38" s="472"/>
      <c r="F38" s="472"/>
      <c r="G38" s="363" t="s">
        <v>167</v>
      </c>
      <c r="H38" s="369">
        <f t="shared" si="3"/>
        <v>0</v>
      </c>
      <c r="I38" s="105"/>
      <c r="J38" s="106"/>
      <c r="K38" s="106"/>
      <c r="L38" s="106"/>
      <c r="M38" s="106"/>
      <c r="N38" s="106"/>
      <c r="O38" s="106"/>
      <c r="P38" s="106"/>
      <c r="Q38" s="106"/>
      <c r="R38" s="106"/>
      <c r="S38" s="106"/>
      <c r="T38" s="106"/>
      <c r="U38" s="106"/>
      <c r="V38" s="106"/>
      <c r="W38" s="106"/>
      <c r="X38" s="106"/>
      <c r="Y38" s="106"/>
      <c r="Z38" s="106"/>
      <c r="AA38" s="106"/>
      <c r="AB38" s="106"/>
      <c r="AC38" s="106"/>
      <c r="AD38" s="106"/>
      <c r="AE38" s="106"/>
      <c r="AF38" s="106"/>
      <c r="AG38" s="106"/>
      <c r="AH38" s="106"/>
      <c r="AI38" s="106"/>
      <c r="AJ38" s="106"/>
      <c r="AK38" s="106"/>
      <c r="AL38" s="106"/>
      <c r="AM38" s="106"/>
      <c r="AN38" s="106"/>
      <c r="AO38" s="106"/>
      <c r="AP38" s="106"/>
      <c r="AQ38" s="106"/>
      <c r="AR38" s="106"/>
      <c r="AS38" s="106"/>
      <c r="AT38" s="106"/>
      <c r="AU38" s="106"/>
      <c r="AV38" s="106"/>
      <c r="AW38" s="106"/>
      <c r="AX38" s="106"/>
      <c r="AY38" s="106"/>
      <c r="AZ38" s="106"/>
      <c r="BA38" s="106"/>
      <c r="BB38" s="106"/>
      <c r="BC38" s="106"/>
      <c r="BD38" s="106"/>
      <c r="BE38" s="106"/>
      <c r="BF38" s="107"/>
    </row>
    <row r="39" spans="1:58">
      <c r="A39" s="473">
        <f>A37+1</f>
        <v>15</v>
      </c>
      <c r="B39" s="474"/>
      <c r="C39" s="489" t="s">
        <v>596</v>
      </c>
      <c r="D39" s="516">
        <f t="shared" ref="D39" si="48">SUM(I39:BF39)</f>
        <v>0</v>
      </c>
      <c r="E39" s="517" t="str">
        <f t="shared" ref="E39" si="49">IF(D39=0,"",H40/D39)</f>
        <v/>
      </c>
      <c r="F39" s="517" t="str">
        <f t="shared" ref="F39" si="50">IF(H39=0,"",H40/H39)</f>
        <v/>
      </c>
      <c r="G39" s="99" t="s">
        <v>168</v>
      </c>
      <c r="H39" s="66">
        <f t="shared" si="3"/>
        <v>0</v>
      </c>
      <c r="I39" s="313"/>
      <c r="J39" s="108"/>
      <c r="K39" s="108"/>
      <c r="L39" s="108"/>
      <c r="M39" s="108"/>
      <c r="N39" s="108"/>
      <c r="O39" s="108"/>
      <c r="P39" s="108"/>
      <c r="Q39" s="108"/>
      <c r="R39" s="108"/>
      <c r="S39" s="108"/>
      <c r="T39" s="108"/>
      <c r="U39" s="108"/>
      <c r="V39" s="108"/>
      <c r="W39" s="108"/>
      <c r="X39" s="108"/>
      <c r="Y39" s="108"/>
      <c r="Z39" s="108"/>
      <c r="AA39" s="108"/>
      <c r="AB39" s="108"/>
      <c r="AC39" s="108"/>
      <c r="AD39" s="108"/>
      <c r="AE39" s="108"/>
      <c r="AF39" s="108"/>
      <c r="AG39" s="108"/>
      <c r="AH39" s="108"/>
      <c r="AI39" s="108"/>
      <c r="AJ39" s="108"/>
      <c r="AK39" s="108"/>
      <c r="AL39" s="108"/>
      <c r="AM39" s="108"/>
      <c r="AN39" s="108"/>
      <c r="AO39" s="108"/>
      <c r="AP39" s="108"/>
      <c r="AQ39" s="108"/>
      <c r="AR39" s="108"/>
      <c r="AS39" s="108"/>
      <c r="AT39" s="108"/>
      <c r="AU39" s="108"/>
      <c r="AV39" s="108"/>
      <c r="AW39" s="108"/>
      <c r="AX39" s="108"/>
      <c r="AY39" s="108"/>
      <c r="AZ39" s="108"/>
      <c r="BA39" s="108"/>
      <c r="BB39" s="108"/>
      <c r="BC39" s="108"/>
      <c r="BD39" s="108"/>
      <c r="BE39" s="108"/>
      <c r="BF39" s="109"/>
    </row>
    <row r="40" spans="1:58">
      <c r="A40" s="475"/>
      <c r="B40" s="474"/>
      <c r="C40" s="490"/>
      <c r="D40" s="470"/>
      <c r="E40" s="472"/>
      <c r="F40" s="472"/>
      <c r="G40" s="100" t="s">
        <v>167</v>
      </c>
      <c r="H40" s="101">
        <f t="shared" si="3"/>
        <v>0</v>
      </c>
      <c r="I40" s="314"/>
      <c r="J40" s="110"/>
      <c r="K40" s="110"/>
      <c r="L40" s="110"/>
      <c r="M40" s="110"/>
      <c r="N40" s="110"/>
      <c r="O40" s="110"/>
      <c r="P40" s="110"/>
      <c r="Q40" s="110"/>
      <c r="R40" s="110"/>
      <c r="S40" s="110"/>
      <c r="T40" s="110"/>
      <c r="U40" s="110"/>
      <c r="V40" s="110"/>
      <c r="W40" s="110"/>
      <c r="X40" s="110"/>
      <c r="Y40" s="110"/>
      <c r="Z40" s="110"/>
      <c r="AA40" s="110"/>
      <c r="AB40" s="110"/>
      <c r="AC40" s="110"/>
      <c r="AD40" s="110"/>
      <c r="AE40" s="110"/>
      <c r="AF40" s="110"/>
      <c r="AG40" s="110"/>
      <c r="AH40" s="110"/>
      <c r="AI40" s="110"/>
      <c r="AJ40" s="110"/>
      <c r="AK40" s="110"/>
      <c r="AL40" s="110"/>
      <c r="AM40" s="110"/>
      <c r="AN40" s="110"/>
      <c r="AO40" s="110"/>
      <c r="AP40" s="110"/>
      <c r="AQ40" s="110"/>
      <c r="AR40" s="110"/>
      <c r="AS40" s="110"/>
      <c r="AT40" s="110"/>
      <c r="AU40" s="110"/>
      <c r="AV40" s="110"/>
      <c r="AW40" s="110"/>
      <c r="AX40" s="110"/>
      <c r="AY40" s="110"/>
      <c r="AZ40" s="110"/>
      <c r="BA40" s="110"/>
      <c r="BB40" s="110"/>
      <c r="BC40" s="110"/>
      <c r="BD40" s="110"/>
      <c r="BE40" s="110"/>
      <c r="BF40" s="111"/>
    </row>
    <row r="41" spans="1:58">
      <c r="A41" s="473">
        <f>A39+1</f>
        <v>16</v>
      </c>
      <c r="B41" s="474"/>
      <c r="C41" s="489" t="s">
        <v>596</v>
      </c>
      <c r="D41" s="516">
        <f t="shared" ref="D41" si="51">SUM(I41:BF41)</f>
        <v>0</v>
      </c>
      <c r="E41" s="517" t="str">
        <f t="shared" ref="E41" si="52">IF(D41=0,"",H42/D41)</f>
        <v/>
      </c>
      <c r="F41" s="517" t="str">
        <f t="shared" ref="F41" si="53">IF(H41=0,"",H42/H41)</f>
        <v/>
      </c>
      <c r="G41" s="97" t="s">
        <v>168</v>
      </c>
      <c r="H41" s="69">
        <f t="shared" ref="H41:H66" si="54">SUMPRODUCT((I$8:BF$8&lt;&gt;"")*1,(I$8:BF$8&lt;=$O$2)*1,I41:BF41)</f>
        <v>0</v>
      </c>
      <c r="I41" s="312"/>
      <c r="J41" s="103"/>
      <c r="K41" s="103"/>
      <c r="L41" s="103"/>
      <c r="M41" s="103"/>
      <c r="N41" s="103"/>
      <c r="O41" s="103"/>
      <c r="P41" s="103"/>
      <c r="Q41" s="103"/>
      <c r="R41" s="103"/>
      <c r="S41" s="103"/>
      <c r="T41" s="103"/>
      <c r="U41" s="103"/>
      <c r="V41" s="103"/>
      <c r="W41" s="103"/>
      <c r="X41" s="103"/>
      <c r="Y41" s="103"/>
      <c r="Z41" s="103"/>
      <c r="AA41" s="103"/>
      <c r="AB41" s="103"/>
      <c r="AC41" s="103"/>
      <c r="AD41" s="103"/>
      <c r="AE41" s="103"/>
      <c r="AF41" s="103"/>
      <c r="AG41" s="103"/>
      <c r="AH41" s="103"/>
      <c r="AI41" s="103"/>
      <c r="AJ41" s="103"/>
      <c r="AK41" s="103"/>
      <c r="AL41" s="103"/>
      <c r="AM41" s="103"/>
      <c r="AN41" s="103"/>
      <c r="AO41" s="103"/>
      <c r="AP41" s="103"/>
      <c r="AQ41" s="103"/>
      <c r="AR41" s="103"/>
      <c r="AS41" s="103"/>
      <c r="AT41" s="103"/>
      <c r="AU41" s="103"/>
      <c r="AV41" s="103"/>
      <c r="AW41" s="103"/>
      <c r="AX41" s="103"/>
      <c r="AY41" s="103"/>
      <c r="AZ41" s="103"/>
      <c r="BA41" s="103"/>
      <c r="BB41" s="103"/>
      <c r="BC41" s="103"/>
      <c r="BD41" s="103"/>
      <c r="BE41" s="103"/>
      <c r="BF41" s="104"/>
    </row>
    <row r="42" spans="1:58">
      <c r="A42" s="475"/>
      <c r="B42" s="474"/>
      <c r="C42" s="490"/>
      <c r="D42" s="470"/>
      <c r="E42" s="472"/>
      <c r="F42" s="472"/>
      <c r="G42" s="72" t="s">
        <v>167</v>
      </c>
      <c r="H42" s="68">
        <f t="shared" si="54"/>
        <v>0</v>
      </c>
      <c r="I42" s="105"/>
      <c r="J42" s="106"/>
      <c r="K42" s="106"/>
      <c r="L42" s="106"/>
      <c r="M42" s="106"/>
      <c r="N42" s="106"/>
      <c r="O42" s="106"/>
      <c r="P42" s="106"/>
      <c r="Q42" s="106"/>
      <c r="R42" s="106"/>
      <c r="S42" s="106"/>
      <c r="T42" s="106"/>
      <c r="U42" s="106"/>
      <c r="V42" s="106"/>
      <c r="W42" s="106"/>
      <c r="X42" s="106"/>
      <c r="Y42" s="106"/>
      <c r="Z42" s="106"/>
      <c r="AA42" s="106"/>
      <c r="AB42" s="106"/>
      <c r="AC42" s="106"/>
      <c r="AD42" s="106"/>
      <c r="AE42" s="106"/>
      <c r="AF42" s="106"/>
      <c r="AG42" s="106"/>
      <c r="AH42" s="106"/>
      <c r="AI42" s="106"/>
      <c r="AJ42" s="106"/>
      <c r="AK42" s="106"/>
      <c r="AL42" s="106"/>
      <c r="AM42" s="106"/>
      <c r="AN42" s="106"/>
      <c r="AO42" s="106"/>
      <c r="AP42" s="106"/>
      <c r="AQ42" s="106"/>
      <c r="AR42" s="106"/>
      <c r="AS42" s="106"/>
      <c r="AT42" s="106"/>
      <c r="AU42" s="106"/>
      <c r="AV42" s="106"/>
      <c r="AW42" s="106"/>
      <c r="AX42" s="106"/>
      <c r="AY42" s="106"/>
      <c r="AZ42" s="106"/>
      <c r="BA42" s="106"/>
      <c r="BB42" s="106"/>
      <c r="BC42" s="106"/>
      <c r="BD42" s="106"/>
      <c r="BE42" s="106"/>
      <c r="BF42" s="107"/>
    </row>
    <row r="43" spans="1:58">
      <c r="A43" s="473">
        <f>A41+1</f>
        <v>17</v>
      </c>
      <c r="B43" s="474"/>
      <c r="C43" s="489" t="s">
        <v>596</v>
      </c>
      <c r="D43" s="516">
        <f t="shared" ref="D43" si="55">SUM(I43:BF43)</f>
        <v>0</v>
      </c>
      <c r="E43" s="517" t="str">
        <f t="shared" ref="E43" si="56">IF(D43=0,"",H44/D43)</f>
        <v/>
      </c>
      <c r="F43" s="517" t="str">
        <f t="shared" ref="F43" si="57">IF(H43=0,"",H44/H43)</f>
        <v/>
      </c>
      <c r="G43" s="97" t="s">
        <v>168</v>
      </c>
      <c r="H43" s="69">
        <f t="shared" si="54"/>
        <v>0</v>
      </c>
      <c r="I43" s="312"/>
      <c r="J43" s="103"/>
      <c r="K43" s="103"/>
      <c r="L43" s="103"/>
      <c r="M43" s="103"/>
      <c r="N43" s="103"/>
      <c r="O43" s="103"/>
      <c r="P43" s="103"/>
      <c r="Q43" s="103"/>
      <c r="R43" s="103"/>
      <c r="S43" s="103"/>
      <c r="T43" s="103"/>
      <c r="U43" s="103"/>
      <c r="V43" s="103"/>
      <c r="W43" s="103"/>
      <c r="X43" s="103"/>
      <c r="Y43" s="103"/>
      <c r="Z43" s="103"/>
      <c r="AA43" s="103"/>
      <c r="AB43" s="103"/>
      <c r="AC43" s="103"/>
      <c r="AD43" s="103"/>
      <c r="AE43" s="103"/>
      <c r="AF43" s="103"/>
      <c r="AG43" s="103"/>
      <c r="AH43" s="103"/>
      <c r="AI43" s="103"/>
      <c r="AJ43" s="103"/>
      <c r="AK43" s="103"/>
      <c r="AL43" s="103"/>
      <c r="AM43" s="103"/>
      <c r="AN43" s="103"/>
      <c r="AO43" s="103"/>
      <c r="AP43" s="103"/>
      <c r="AQ43" s="103"/>
      <c r="AR43" s="103"/>
      <c r="AS43" s="103"/>
      <c r="AT43" s="103"/>
      <c r="AU43" s="103"/>
      <c r="AV43" s="103"/>
      <c r="AW43" s="103"/>
      <c r="AX43" s="103"/>
      <c r="AY43" s="103"/>
      <c r="AZ43" s="103"/>
      <c r="BA43" s="103"/>
      <c r="BB43" s="103"/>
      <c r="BC43" s="103"/>
      <c r="BD43" s="103"/>
      <c r="BE43" s="103"/>
      <c r="BF43" s="104"/>
    </row>
    <row r="44" spans="1:58">
      <c r="A44" s="475"/>
      <c r="B44" s="474"/>
      <c r="C44" s="490"/>
      <c r="D44" s="470"/>
      <c r="E44" s="472"/>
      <c r="F44" s="472"/>
      <c r="G44" s="72" t="s">
        <v>167</v>
      </c>
      <c r="H44" s="68">
        <f t="shared" si="54"/>
        <v>0</v>
      </c>
      <c r="I44" s="105"/>
      <c r="J44" s="106"/>
      <c r="K44" s="106"/>
      <c r="L44" s="106"/>
      <c r="M44" s="106"/>
      <c r="N44" s="106"/>
      <c r="O44" s="106"/>
      <c r="P44" s="106"/>
      <c r="Q44" s="106"/>
      <c r="R44" s="106"/>
      <c r="S44" s="106"/>
      <c r="T44" s="106"/>
      <c r="U44" s="106"/>
      <c r="V44" s="106"/>
      <c r="W44" s="106"/>
      <c r="X44" s="106"/>
      <c r="Y44" s="106"/>
      <c r="Z44" s="106"/>
      <c r="AA44" s="106"/>
      <c r="AB44" s="106"/>
      <c r="AC44" s="106"/>
      <c r="AD44" s="106"/>
      <c r="AE44" s="106"/>
      <c r="AF44" s="106"/>
      <c r="AG44" s="106"/>
      <c r="AH44" s="106"/>
      <c r="AI44" s="106"/>
      <c r="AJ44" s="106"/>
      <c r="AK44" s="106"/>
      <c r="AL44" s="106"/>
      <c r="AM44" s="106"/>
      <c r="AN44" s="106"/>
      <c r="AO44" s="106"/>
      <c r="AP44" s="106"/>
      <c r="AQ44" s="106"/>
      <c r="AR44" s="106"/>
      <c r="AS44" s="106"/>
      <c r="AT44" s="106"/>
      <c r="AU44" s="106"/>
      <c r="AV44" s="106"/>
      <c r="AW44" s="106"/>
      <c r="AX44" s="106"/>
      <c r="AY44" s="106"/>
      <c r="AZ44" s="106"/>
      <c r="BA44" s="106"/>
      <c r="BB44" s="106"/>
      <c r="BC44" s="106"/>
      <c r="BD44" s="106"/>
      <c r="BE44" s="106"/>
      <c r="BF44" s="107"/>
    </row>
    <row r="45" spans="1:58">
      <c r="A45" s="473">
        <f>A43+1</f>
        <v>18</v>
      </c>
      <c r="B45" s="474"/>
      <c r="C45" s="489" t="s">
        <v>596</v>
      </c>
      <c r="D45" s="516">
        <f t="shared" ref="D45" si="58">SUM(I45:BF45)</f>
        <v>0</v>
      </c>
      <c r="E45" s="517" t="str">
        <f t="shared" ref="E45" si="59">IF(D45=0,"",H46/D45)</f>
        <v/>
      </c>
      <c r="F45" s="517" t="str">
        <f t="shared" ref="F45" si="60">IF(H45=0,"",H46/H45)</f>
        <v/>
      </c>
      <c r="G45" s="97" t="s">
        <v>168</v>
      </c>
      <c r="H45" s="69">
        <f t="shared" si="54"/>
        <v>0</v>
      </c>
      <c r="I45" s="312"/>
      <c r="J45" s="103"/>
      <c r="K45" s="103"/>
      <c r="L45" s="103"/>
      <c r="M45" s="103"/>
      <c r="N45" s="103"/>
      <c r="O45" s="103"/>
      <c r="P45" s="103"/>
      <c r="Q45" s="103"/>
      <c r="R45" s="103"/>
      <c r="S45" s="103"/>
      <c r="T45" s="103"/>
      <c r="U45" s="103"/>
      <c r="V45" s="103"/>
      <c r="W45" s="103"/>
      <c r="X45" s="103"/>
      <c r="Y45" s="103"/>
      <c r="Z45" s="103"/>
      <c r="AA45" s="103"/>
      <c r="AB45" s="103"/>
      <c r="AC45" s="103"/>
      <c r="AD45" s="103"/>
      <c r="AE45" s="103"/>
      <c r="AF45" s="103"/>
      <c r="AG45" s="103"/>
      <c r="AH45" s="103"/>
      <c r="AI45" s="103"/>
      <c r="AJ45" s="103"/>
      <c r="AK45" s="103"/>
      <c r="AL45" s="103"/>
      <c r="AM45" s="103"/>
      <c r="AN45" s="103"/>
      <c r="AO45" s="103"/>
      <c r="AP45" s="103"/>
      <c r="AQ45" s="103"/>
      <c r="AR45" s="103"/>
      <c r="AS45" s="103"/>
      <c r="AT45" s="103"/>
      <c r="AU45" s="103"/>
      <c r="AV45" s="103"/>
      <c r="AW45" s="103"/>
      <c r="AX45" s="103"/>
      <c r="AY45" s="103"/>
      <c r="AZ45" s="103"/>
      <c r="BA45" s="103"/>
      <c r="BB45" s="103"/>
      <c r="BC45" s="103"/>
      <c r="BD45" s="103"/>
      <c r="BE45" s="103"/>
      <c r="BF45" s="104"/>
    </row>
    <row r="46" spans="1:58">
      <c r="A46" s="475"/>
      <c r="B46" s="474"/>
      <c r="C46" s="490"/>
      <c r="D46" s="470"/>
      <c r="E46" s="472"/>
      <c r="F46" s="472"/>
      <c r="G46" s="72" t="s">
        <v>167</v>
      </c>
      <c r="H46" s="68">
        <f t="shared" si="54"/>
        <v>0</v>
      </c>
      <c r="I46" s="105"/>
      <c r="J46" s="106"/>
      <c r="K46" s="106"/>
      <c r="L46" s="106"/>
      <c r="M46" s="106"/>
      <c r="N46" s="106"/>
      <c r="O46" s="106"/>
      <c r="P46" s="106"/>
      <c r="Q46" s="106"/>
      <c r="R46" s="106"/>
      <c r="S46" s="106"/>
      <c r="T46" s="106"/>
      <c r="U46" s="106"/>
      <c r="V46" s="106"/>
      <c r="W46" s="106"/>
      <c r="X46" s="106"/>
      <c r="Y46" s="106"/>
      <c r="Z46" s="106"/>
      <c r="AA46" s="106"/>
      <c r="AB46" s="106"/>
      <c r="AC46" s="106"/>
      <c r="AD46" s="106"/>
      <c r="AE46" s="106"/>
      <c r="AF46" s="106"/>
      <c r="AG46" s="106"/>
      <c r="AH46" s="106"/>
      <c r="AI46" s="106"/>
      <c r="AJ46" s="106"/>
      <c r="AK46" s="106"/>
      <c r="AL46" s="106"/>
      <c r="AM46" s="106"/>
      <c r="AN46" s="106"/>
      <c r="AO46" s="106"/>
      <c r="AP46" s="106"/>
      <c r="AQ46" s="106"/>
      <c r="AR46" s="106"/>
      <c r="AS46" s="106"/>
      <c r="AT46" s="106"/>
      <c r="AU46" s="106"/>
      <c r="AV46" s="106"/>
      <c r="AW46" s="106"/>
      <c r="AX46" s="106"/>
      <c r="AY46" s="106"/>
      <c r="AZ46" s="106"/>
      <c r="BA46" s="106"/>
      <c r="BB46" s="106"/>
      <c r="BC46" s="106"/>
      <c r="BD46" s="106"/>
      <c r="BE46" s="106"/>
      <c r="BF46" s="107"/>
    </row>
    <row r="47" spans="1:58">
      <c r="A47" s="473">
        <f>A45+1</f>
        <v>19</v>
      </c>
      <c r="B47" s="474"/>
      <c r="C47" s="489" t="s">
        <v>596</v>
      </c>
      <c r="D47" s="516">
        <f t="shared" ref="D47" si="61">SUM(I47:BF47)</f>
        <v>0</v>
      </c>
      <c r="E47" s="517" t="str">
        <f t="shared" ref="E47" si="62">IF(D47=0,"",H48/D47)</f>
        <v/>
      </c>
      <c r="F47" s="517" t="str">
        <f t="shared" ref="F47" si="63">IF(H47=0,"",H48/H47)</f>
        <v/>
      </c>
      <c r="G47" s="97" t="s">
        <v>168</v>
      </c>
      <c r="H47" s="69">
        <f t="shared" si="54"/>
        <v>0</v>
      </c>
      <c r="I47" s="312"/>
      <c r="J47" s="103"/>
      <c r="K47" s="103"/>
      <c r="L47" s="103"/>
      <c r="M47" s="103"/>
      <c r="N47" s="103"/>
      <c r="O47" s="103"/>
      <c r="P47" s="103"/>
      <c r="Q47" s="103"/>
      <c r="R47" s="103"/>
      <c r="S47" s="103"/>
      <c r="T47" s="103"/>
      <c r="U47" s="103"/>
      <c r="V47" s="103"/>
      <c r="W47" s="103"/>
      <c r="X47" s="103"/>
      <c r="Y47" s="103"/>
      <c r="Z47" s="103"/>
      <c r="AA47" s="103"/>
      <c r="AB47" s="103"/>
      <c r="AC47" s="103"/>
      <c r="AD47" s="103"/>
      <c r="AE47" s="103"/>
      <c r="AF47" s="103"/>
      <c r="AG47" s="103"/>
      <c r="AH47" s="103"/>
      <c r="AI47" s="103"/>
      <c r="AJ47" s="103"/>
      <c r="AK47" s="103"/>
      <c r="AL47" s="103"/>
      <c r="AM47" s="103"/>
      <c r="AN47" s="103"/>
      <c r="AO47" s="103"/>
      <c r="AP47" s="103"/>
      <c r="AQ47" s="103"/>
      <c r="AR47" s="103"/>
      <c r="AS47" s="103"/>
      <c r="AT47" s="103"/>
      <c r="AU47" s="103"/>
      <c r="AV47" s="103"/>
      <c r="AW47" s="103"/>
      <c r="AX47" s="103"/>
      <c r="AY47" s="103"/>
      <c r="AZ47" s="103"/>
      <c r="BA47" s="103"/>
      <c r="BB47" s="103"/>
      <c r="BC47" s="103"/>
      <c r="BD47" s="103"/>
      <c r="BE47" s="103"/>
      <c r="BF47" s="104"/>
    </row>
    <row r="48" spans="1:58">
      <c r="A48" s="475"/>
      <c r="B48" s="474"/>
      <c r="C48" s="490"/>
      <c r="D48" s="470"/>
      <c r="E48" s="472"/>
      <c r="F48" s="472"/>
      <c r="G48" s="72" t="s">
        <v>167</v>
      </c>
      <c r="H48" s="68">
        <f t="shared" si="54"/>
        <v>0</v>
      </c>
      <c r="I48" s="105"/>
      <c r="J48" s="106"/>
      <c r="K48" s="106"/>
      <c r="L48" s="106"/>
      <c r="M48" s="106"/>
      <c r="N48" s="106"/>
      <c r="O48" s="106"/>
      <c r="P48" s="106"/>
      <c r="Q48" s="106"/>
      <c r="R48" s="106"/>
      <c r="S48" s="106"/>
      <c r="T48" s="106"/>
      <c r="U48" s="106"/>
      <c r="V48" s="106"/>
      <c r="W48" s="106"/>
      <c r="X48" s="106"/>
      <c r="Y48" s="106"/>
      <c r="Z48" s="106"/>
      <c r="AA48" s="106"/>
      <c r="AB48" s="106"/>
      <c r="AC48" s="106"/>
      <c r="AD48" s="106"/>
      <c r="AE48" s="106"/>
      <c r="AF48" s="106"/>
      <c r="AG48" s="106"/>
      <c r="AH48" s="106"/>
      <c r="AI48" s="106"/>
      <c r="AJ48" s="106"/>
      <c r="AK48" s="106"/>
      <c r="AL48" s="106"/>
      <c r="AM48" s="106"/>
      <c r="AN48" s="106"/>
      <c r="AO48" s="106"/>
      <c r="AP48" s="106"/>
      <c r="AQ48" s="106"/>
      <c r="AR48" s="106"/>
      <c r="AS48" s="106"/>
      <c r="AT48" s="106"/>
      <c r="AU48" s="106"/>
      <c r="AV48" s="106"/>
      <c r="AW48" s="106"/>
      <c r="AX48" s="106"/>
      <c r="AY48" s="106"/>
      <c r="AZ48" s="106"/>
      <c r="BA48" s="106"/>
      <c r="BB48" s="106"/>
      <c r="BC48" s="106"/>
      <c r="BD48" s="106"/>
      <c r="BE48" s="106"/>
      <c r="BF48" s="107"/>
    </row>
    <row r="49" spans="1:58">
      <c r="A49" s="473">
        <f>A47+1</f>
        <v>20</v>
      </c>
      <c r="B49" s="474"/>
      <c r="C49" s="489" t="s">
        <v>596</v>
      </c>
      <c r="D49" s="516">
        <f t="shared" ref="D49" si="64">SUM(I49:BF49)</f>
        <v>0</v>
      </c>
      <c r="E49" s="517" t="str">
        <f t="shared" ref="E49" si="65">IF(D49=0,"",H50/D49)</f>
        <v/>
      </c>
      <c r="F49" s="517" t="str">
        <f t="shared" ref="F49" si="66">IF(H49=0,"",H50/H49)</f>
        <v/>
      </c>
      <c r="G49" s="97" t="s">
        <v>168</v>
      </c>
      <c r="H49" s="69">
        <f t="shared" si="54"/>
        <v>0</v>
      </c>
      <c r="I49" s="312"/>
      <c r="J49" s="103"/>
      <c r="K49" s="103"/>
      <c r="L49" s="103"/>
      <c r="M49" s="103"/>
      <c r="N49" s="103"/>
      <c r="O49" s="103"/>
      <c r="P49" s="103"/>
      <c r="Q49" s="103"/>
      <c r="R49" s="103"/>
      <c r="S49" s="103"/>
      <c r="T49" s="103"/>
      <c r="U49" s="103"/>
      <c r="V49" s="103"/>
      <c r="W49" s="103"/>
      <c r="X49" s="103"/>
      <c r="Y49" s="103"/>
      <c r="Z49" s="103"/>
      <c r="AA49" s="103"/>
      <c r="AB49" s="103"/>
      <c r="AC49" s="103"/>
      <c r="AD49" s="103"/>
      <c r="AE49" s="103"/>
      <c r="AF49" s="103"/>
      <c r="AG49" s="103"/>
      <c r="AH49" s="103"/>
      <c r="AI49" s="103"/>
      <c r="AJ49" s="103"/>
      <c r="AK49" s="103"/>
      <c r="AL49" s="103"/>
      <c r="AM49" s="103"/>
      <c r="AN49" s="103"/>
      <c r="AO49" s="103"/>
      <c r="AP49" s="103"/>
      <c r="AQ49" s="103"/>
      <c r="AR49" s="103"/>
      <c r="AS49" s="103"/>
      <c r="AT49" s="103"/>
      <c r="AU49" s="103"/>
      <c r="AV49" s="103"/>
      <c r="AW49" s="103"/>
      <c r="AX49" s="103"/>
      <c r="AY49" s="103"/>
      <c r="AZ49" s="103"/>
      <c r="BA49" s="103"/>
      <c r="BB49" s="103"/>
      <c r="BC49" s="103"/>
      <c r="BD49" s="103"/>
      <c r="BE49" s="103"/>
      <c r="BF49" s="104"/>
    </row>
    <row r="50" spans="1:58">
      <c r="A50" s="475"/>
      <c r="B50" s="474"/>
      <c r="C50" s="490"/>
      <c r="D50" s="470"/>
      <c r="E50" s="472"/>
      <c r="F50" s="472"/>
      <c r="G50" s="72" t="s">
        <v>167</v>
      </c>
      <c r="H50" s="68">
        <f t="shared" si="54"/>
        <v>0</v>
      </c>
      <c r="I50" s="105"/>
      <c r="J50" s="106"/>
      <c r="K50" s="106"/>
      <c r="L50" s="106"/>
      <c r="M50" s="106"/>
      <c r="N50" s="106"/>
      <c r="O50" s="106"/>
      <c r="P50" s="106"/>
      <c r="Q50" s="106"/>
      <c r="R50" s="106"/>
      <c r="S50" s="106"/>
      <c r="T50" s="106"/>
      <c r="U50" s="106"/>
      <c r="V50" s="106"/>
      <c r="W50" s="106"/>
      <c r="X50" s="106"/>
      <c r="Y50" s="106"/>
      <c r="Z50" s="106"/>
      <c r="AA50" s="106"/>
      <c r="AB50" s="106"/>
      <c r="AC50" s="106"/>
      <c r="AD50" s="106"/>
      <c r="AE50" s="106"/>
      <c r="AF50" s="106"/>
      <c r="AG50" s="106"/>
      <c r="AH50" s="106"/>
      <c r="AI50" s="106"/>
      <c r="AJ50" s="106"/>
      <c r="AK50" s="106"/>
      <c r="AL50" s="106"/>
      <c r="AM50" s="106"/>
      <c r="AN50" s="106"/>
      <c r="AO50" s="106"/>
      <c r="AP50" s="106"/>
      <c r="AQ50" s="106"/>
      <c r="AR50" s="106"/>
      <c r="AS50" s="106"/>
      <c r="AT50" s="106"/>
      <c r="AU50" s="106"/>
      <c r="AV50" s="106"/>
      <c r="AW50" s="106"/>
      <c r="AX50" s="106"/>
      <c r="AY50" s="106"/>
      <c r="AZ50" s="106"/>
      <c r="BA50" s="106"/>
      <c r="BB50" s="106"/>
      <c r="BC50" s="106"/>
      <c r="BD50" s="106"/>
      <c r="BE50" s="106"/>
      <c r="BF50" s="107"/>
    </row>
    <row r="51" spans="1:58">
      <c r="A51" s="473">
        <f>A49+1</f>
        <v>21</v>
      </c>
      <c r="B51" s="474"/>
      <c r="C51" s="489" t="s">
        <v>596</v>
      </c>
      <c r="D51" s="516">
        <f t="shared" ref="D51" si="67">SUM(I51:BF51)</f>
        <v>0</v>
      </c>
      <c r="E51" s="517" t="str">
        <f t="shared" ref="E51" si="68">IF(D51=0,"",H52/D51)</f>
        <v/>
      </c>
      <c r="F51" s="517" t="str">
        <f t="shared" ref="F51" si="69">IF(H51=0,"",H52/H51)</f>
        <v/>
      </c>
      <c r="G51" s="97" t="s">
        <v>168</v>
      </c>
      <c r="H51" s="69">
        <f t="shared" si="54"/>
        <v>0</v>
      </c>
      <c r="I51" s="312"/>
      <c r="J51" s="103"/>
      <c r="K51" s="103"/>
      <c r="L51" s="103"/>
      <c r="M51" s="103"/>
      <c r="N51" s="103"/>
      <c r="O51" s="103"/>
      <c r="P51" s="103"/>
      <c r="Q51" s="103"/>
      <c r="R51" s="103"/>
      <c r="S51" s="103"/>
      <c r="T51" s="103"/>
      <c r="U51" s="103"/>
      <c r="V51" s="103"/>
      <c r="W51" s="103"/>
      <c r="X51" s="103"/>
      <c r="Y51" s="103"/>
      <c r="Z51" s="103"/>
      <c r="AA51" s="103"/>
      <c r="AB51" s="103"/>
      <c r="AC51" s="103"/>
      <c r="AD51" s="103"/>
      <c r="AE51" s="103"/>
      <c r="AF51" s="103"/>
      <c r="AG51" s="103"/>
      <c r="AH51" s="103"/>
      <c r="AI51" s="103"/>
      <c r="AJ51" s="103"/>
      <c r="AK51" s="103"/>
      <c r="AL51" s="103"/>
      <c r="AM51" s="103"/>
      <c r="AN51" s="103"/>
      <c r="AO51" s="103"/>
      <c r="AP51" s="103"/>
      <c r="AQ51" s="103"/>
      <c r="AR51" s="103"/>
      <c r="AS51" s="103"/>
      <c r="AT51" s="103"/>
      <c r="AU51" s="103"/>
      <c r="AV51" s="103"/>
      <c r="AW51" s="103"/>
      <c r="AX51" s="103"/>
      <c r="AY51" s="103"/>
      <c r="AZ51" s="103"/>
      <c r="BA51" s="103"/>
      <c r="BB51" s="103"/>
      <c r="BC51" s="103"/>
      <c r="BD51" s="103"/>
      <c r="BE51" s="103"/>
      <c r="BF51" s="104"/>
    </row>
    <row r="52" spans="1:58">
      <c r="A52" s="475"/>
      <c r="B52" s="474"/>
      <c r="C52" s="490"/>
      <c r="D52" s="470"/>
      <c r="E52" s="472"/>
      <c r="F52" s="472"/>
      <c r="G52" s="72" t="s">
        <v>167</v>
      </c>
      <c r="H52" s="68">
        <f t="shared" si="54"/>
        <v>0</v>
      </c>
      <c r="I52" s="105"/>
      <c r="J52" s="106"/>
      <c r="K52" s="106"/>
      <c r="L52" s="106"/>
      <c r="M52" s="106"/>
      <c r="N52" s="106"/>
      <c r="O52" s="106"/>
      <c r="P52" s="106"/>
      <c r="Q52" s="106"/>
      <c r="R52" s="106"/>
      <c r="S52" s="106"/>
      <c r="T52" s="106"/>
      <c r="U52" s="106"/>
      <c r="V52" s="106"/>
      <c r="W52" s="106"/>
      <c r="X52" s="106"/>
      <c r="Y52" s="106"/>
      <c r="Z52" s="106"/>
      <c r="AA52" s="106"/>
      <c r="AB52" s="106"/>
      <c r="AC52" s="106"/>
      <c r="AD52" s="106"/>
      <c r="AE52" s="106"/>
      <c r="AF52" s="106"/>
      <c r="AG52" s="106"/>
      <c r="AH52" s="106"/>
      <c r="AI52" s="106"/>
      <c r="AJ52" s="106"/>
      <c r="AK52" s="106"/>
      <c r="AL52" s="106"/>
      <c r="AM52" s="106"/>
      <c r="AN52" s="106"/>
      <c r="AO52" s="106"/>
      <c r="AP52" s="106"/>
      <c r="AQ52" s="106"/>
      <c r="AR52" s="106"/>
      <c r="AS52" s="106"/>
      <c r="AT52" s="106"/>
      <c r="AU52" s="106"/>
      <c r="AV52" s="106"/>
      <c r="AW52" s="106"/>
      <c r="AX52" s="106"/>
      <c r="AY52" s="106"/>
      <c r="AZ52" s="106"/>
      <c r="BA52" s="106"/>
      <c r="BB52" s="106"/>
      <c r="BC52" s="106"/>
      <c r="BD52" s="106"/>
      <c r="BE52" s="106"/>
      <c r="BF52" s="107"/>
    </row>
    <row r="53" spans="1:58">
      <c r="A53" s="473">
        <f t="shared" ref="A53" si="70">A51+1</f>
        <v>22</v>
      </c>
      <c r="B53" s="474"/>
      <c r="C53" s="489" t="s">
        <v>596</v>
      </c>
      <c r="D53" s="516">
        <f t="shared" ref="D53" si="71">SUM(I53:BF53)</f>
        <v>0</v>
      </c>
      <c r="E53" s="517" t="str">
        <f t="shared" ref="E53" si="72">IF(D53=0,"",H54/D53)</f>
        <v/>
      </c>
      <c r="F53" s="517" t="str">
        <f t="shared" ref="F53" si="73">IF(H53=0,"",H54/H53)</f>
        <v/>
      </c>
      <c r="G53" s="97" t="s">
        <v>168</v>
      </c>
      <c r="H53" s="69">
        <f t="shared" si="54"/>
        <v>0</v>
      </c>
      <c r="I53" s="312"/>
      <c r="J53" s="103"/>
      <c r="K53" s="103"/>
      <c r="L53" s="103"/>
      <c r="M53" s="103"/>
      <c r="N53" s="103"/>
      <c r="O53" s="103"/>
      <c r="P53" s="103"/>
      <c r="Q53" s="103"/>
      <c r="R53" s="103"/>
      <c r="S53" s="103"/>
      <c r="T53" s="103"/>
      <c r="U53" s="103"/>
      <c r="V53" s="103"/>
      <c r="W53" s="103"/>
      <c r="X53" s="103"/>
      <c r="Y53" s="103"/>
      <c r="Z53" s="103"/>
      <c r="AA53" s="103"/>
      <c r="AB53" s="103"/>
      <c r="AC53" s="103"/>
      <c r="AD53" s="103"/>
      <c r="AE53" s="103"/>
      <c r="AF53" s="103"/>
      <c r="AG53" s="103"/>
      <c r="AH53" s="103"/>
      <c r="AI53" s="103"/>
      <c r="AJ53" s="103"/>
      <c r="AK53" s="103"/>
      <c r="AL53" s="103"/>
      <c r="AM53" s="103"/>
      <c r="AN53" s="103"/>
      <c r="AO53" s="103"/>
      <c r="AP53" s="103"/>
      <c r="AQ53" s="103"/>
      <c r="AR53" s="103"/>
      <c r="AS53" s="103"/>
      <c r="AT53" s="103"/>
      <c r="AU53" s="103"/>
      <c r="AV53" s="103"/>
      <c r="AW53" s="103"/>
      <c r="AX53" s="103"/>
      <c r="AY53" s="103"/>
      <c r="AZ53" s="103"/>
      <c r="BA53" s="103"/>
      <c r="BB53" s="103"/>
      <c r="BC53" s="103"/>
      <c r="BD53" s="103"/>
      <c r="BE53" s="103"/>
      <c r="BF53" s="104"/>
    </row>
    <row r="54" spans="1:58">
      <c r="A54" s="475"/>
      <c r="B54" s="474"/>
      <c r="C54" s="490"/>
      <c r="D54" s="470"/>
      <c r="E54" s="472"/>
      <c r="F54" s="472"/>
      <c r="G54" s="72" t="s">
        <v>167</v>
      </c>
      <c r="H54" s="68">
        <f t="shared" si="54"/>
        <v>0</v>
      </c>
      <c r="I54" s="105"/>
      <c r="J54" s="106"/>
      <c r="K54" s="106"/>
      <c r="L54" s="106"/>
      <c r="M54" s="106"/>
      <c r="N54" s="106"/>
      <c r="O54" s="106"/>
      <c r="P54" s="106"/>
      <c r="Q54" s="106"/>
      <c r="R54" s="106"/>
      <c r="S54" s="106"/>
      <c r="T54" s="106"/>
      <c r="U54" s="106"/>
      <c r="V54" s="106"/>
      <c r="W54" s="106"/>
      <c r="X54" s="106"/>
      <c r="Y54" s="106"/>
      <c r="Z54" s="106"/>
      <c r="AA54" s="106"/>
      <c r="AB54" s="106"/>
      <c r="AC54" s="106"/>
      <c r="AD54" s="106"/>
      <c r="AE54" s="106"/>
      <c r="AF54" s="106"/>
      <c r="AG54" s="106"/>
      <c r="AH54" s="106"/>
      <c r="AI54" s="106"/>
      <c r="AJ54" s="106"/>
      <c r="AK54" s="106"/>
      <c r="AL54" s="106"/>
      <c r="AM54" s="106"/>
      <c r="AN54" s="106"/>
      <c r="AO54" s="106"/>
      <c r="AP54" s="106"/>
      <c r="AQ54" s="106"/>
      <c r="AR54" s="106"/>
      <c r="AS54" s="106"/>
      <c r="AT54" s="106"/>
      <c r="AU54" s="106"/>
      <c r="AV54" s="106"/>
      <c r="AW54" s="106"/>
      <c r="AX54" s="106"/>
      <c r="AY54" s="106"/>
      <c r="AZ54" s="106"/>
      <c r="BA54" s="106"/>
      <c r="BB54" s="106"/>
      <c r="BC54" s="106"/>
      <c r="BD54" s="106"/>
      <c r="BE54" s="106"/>
      <c r="BF54" s="107"/>
    </row>
    <row r="55" spans="1:58">
      <c r="A55" s="473">
        <f t="shared" ref="A55" si="74">A53+1</f>
        <v>23</v>
      </c>
      <c r="B55" s="474"/>
      <c r="C55" s="489" t="s">
        <v>596</v>
      </c>
      <c r="D55" s="516">
        <f t="shared" ref="D55" si="75">SUM(I55:BF55)</f>
        <v>0</v>
      </c>
      <c r="E55" s="517" t="str">
        <f t="shared" ref="E55" si="76">IF(D55=0,"",H56/D55)</f>
        <v/>
      </c>
      <c r="F55" s="517" t="str">
        <f t="shared" ref="F55" si="77">IF(H55=0,"",H56/H55)</f>
        <v/>
      </c>
      <c r="G55" s="97" t="s">
        <v>168</v>
      </c>
      <c r="H55" s="69">
        <f t="shared" si="54"/>
        <v>0</v>
      </c>
      <c r="I55" s="312"/>
      <c r="J55" s="103"/>
      <c r="K55" s="103"/>
      <c r="L55" s="103"/>
      <c r="M55" s="103"/>
      <c r="N55" s="103"/>
      <c r="O55" s="103"/>
      <c r="P55" s="103"/>
      <c r="Q55" s="103"/>
      <c r="R55" s="103"/>
      <c r="S55" s="103"/>
      <c r="T55" s="103"/>
      <c r="U55" s="103"/>
      <c r="V55" s="103"/>
      <c r="W55" s="103"/>
      <c r="X55" s="103"/>
      <c r="Y55" s="103"/>
      <c r="Z55" s="103"/>
      <c r="AA55" s="103"/>
      <c r="AB55" s="103"/>
      <c r="AC55" s="103"/>
      <c r="AD55" s="103"/>
      <c r="AE55" s="103"/>
      <c r="AF55" s="103"/>
      <c r="AG55" s="103"/>
      <c r="AH55" s="103"/>
      <c r="AI55" s="103"/>
      <c r="AJ55" s="103"/>
      <c r="AK55" s="103"/>
      <c r="AL55" s="103"/>
      <c r="AM55" s="103"/>
      <c r="AN55" s="103"/>
      <c r="AO55" s="103"/>
      <c r="AP55" s="103"/>
      <c r="AQ55" s="103"/>
      <c r="AR55" s="103"/>
      <c r="AS55" s="103"/>
      <c r="AT55" s="103"/>
      <c r="AU55" s="103"/>
      <c r="AV55" s="103"/>
      <c r="AW55" s="103"/>
      <c r="AX55" s="103"/>
      <c r="AY55" s="103"/>
      <c r="AZ55" s="103"/>
      <c r="BA55" s="103"/>
      <c r="BB55" s="103"/>
      <c r="BC55" s="103"/>
      <c r="BD55" s="103"/>
      <c r="BE55" s="103"/>
      <c r="BF55" s="104"/>
    </row>
    <row r="56" spans="1:58">
      <c r="A56" s="475"/>
      <c r="B56" s="474"/>
      <c r="C56" s="490"/>
      <c r="D56" s="470"/>
      <c r="E56" s="472"/>
      <c r="F56" s="472"/>
      <c r="G56" s="72" t="s">
        <v>167</v>
      </c>
      <c r="H56" s="68">
        <f t="shared" si="54"/>
        <v>0</v>
      </c>
      <c r="I56" s="105"/>
      <c r="J56" s="106"/>
      <c r="K56" s="106"/>
      <c r="L56" s="106"/>
      <c r="M56" s="106"/>
      <c r="N56" s="106"/>
      <c r="O56" s="106"/>
      <c r="P56" s="106"/>
      <c r="Q56" s="106"/>
      <c r="R56" s="106"/>
      <c r="S56" s="106"/>
      <c r="T56" s="106"/>
      <c r="U56" s="106"/>
      <c r="V56" s="106"/>
      <c r="W56" s="106"/>
      <c r="X56" s="106"/>
      <c r="Y56" s="106"/>
      <c r="Z56" s="106"/>
      <c r="AA56" s="106"/>
      <c r="AB56" s="106"/>
      <c r="AC56" s="106"/>
      <c r="AD56" s="106"/>
      <c r="AE56" s="106"/>
      <c r="AF56" s="106"/>
      <c r="AG56" s="106"/>
      <c r="AH56" s="106"/>
      <c r="AI56" s="106"/>
      <c r="AJ56" s="106"/>
      <c r="AK56" s="106"/>
      <c r="AL56" s="106"/>
      <c r="AM56" s="106"/>
      <c r="AN56" s="106"/>
      <c r="AO56" s="106"/>
      <c r="AP56" s="106"/>
      <c r="AQ56" s="106"/>
      <c r="AR56" s="106"/>
      <c r="AS56" s="106"/>
      <c r="AT56" s="106"/>
      <c r="AU56" s="106"/>
      <c r="AV56" s="106"/>
      <c r="AW56" s="106"/>
      <c r="AX56" s="106"/>
      <c r="AY56" s="106"/>
      <c r="AZ56" s="106"/>
      <c r="BA56" s="106"/>
      <c r="BB56" s="106"/>
      <c r="BC56" s="106"/>
      <c r="BD56" s="106"/>
      <c r="BE56" s="106"/>
      <c r="BF56" s="107"/>
    </row>
    <row r="57" spans="1:58">
      <c r="A57" s="477">
        <f t="shared" ref="A57" si="78">A55+1</f>
        <v>24</v>
      </c>
      <c r="B57" s="478"/>
      <c r="C57" s="489" t="s">
        <v>822</v>
      </c>
      <c r="D57" s="516">
        <f t="shared" ref="D57" si="79">SUM(I57:BF57)</f>
        <v>0</v>
      </c>
      <c r="E57" s="517" t="str">
        <f t="shared" ref="E57" si="80">IF(D57=0,"",H58/D57)</f>
        <v/>
      </c>
      <c r="F57" s="517" t="str">
        <f t="shared" ref="F57" si="81">IF(H57=0,"",H58/H57)</f>
        <v/>
      </c>
      <c r="G57" s="97" t="s">
        <v>168</v>
      </c>
      <c r="H57" s="69">
        <f t="shared" si="54"/>
        <v>0</v>
      </c>
      <c r="I57" s="312"/>
      <c r="J57" s="312"/>
      <c r="K57" s="312"/>
      <c r="L57" s="312"/>
      <c r="M57" s="312"/>
      <c r="N57" s="312"/>
      <c r="O57" s="312"/>
      <c r="P57" s="103"/>
      <c r="Q57" s="103"/>
      <c r="R57" s="103"/>
      <c r="S57" s="103"/>
      <c r="T57" s="103"/>
      <c r="U57" s="103"/>
      <c r="V57" s="103"/>
      <c r="W57" s="103"/>
      <c r="X57" s="103"/>
      <c r="Y57" s="103"/>
      <c r="Z57" s="103"/>
      <c r="AA57" s="103"/>
      <c r="AB57" s="103"/>
      <c r="AC57" s="103"/>
      <c r="AD57" s="103"/>
      <c r="AE57" s="103"/>
      <c r="AF57" s="103"/>
      <c r="AG57" s="103"/>
      <c r="AH57" s="103"/>
      <c r="AI57" s="103"/>
      <c r="AJ57" s="103"/>
      <c r="AK57" s="103"/>
      <c r="AL57" s="103"/>
      <c r="AM57" s="103"/>
      <c r="AN57" s="103"/>
      <c r="AO57" s="103"/>
      <c r="AP57" s="103"/>
      <c r="AQ57" s="103"/>
      <c r="AR57" s="103"/>
      <c r="AS57" s="103"/>
      <c r="AT57" s="103"/>
      <c r="AU57" s="103"/>
      <c r="AV57" s="103"/>
      <c r="AW57" s="103"/>
      <c r="AX57" s="103"/>
      <c r="AY57" s="103"/>
      <c r="AZ57" s="103"/>
      <c r="BA57" s="103"/>
      <c r="BB57" s="103"/>
      <c r="BC57" s="103"/>
      <c r="BD57" s="103"/>
      <c r="BE57" s="103"/>
      <c r="BF57" s="104"/>
    </row>
    <row r="58" spans="1:58">
      <c r="A58" s="479"/>
      <c r="B58" s="478"/>
      <c r="C58" s="490"/>
      <c r="D58" s="470"/>
      <c r="E58" s="472"/>
      <c r="F58" s="472"/>
      <c r="G58" s="72" t="s">
        <v>167</v>
      </c>
      <c r="H58" s="68">
        <f t="shared" si="54"/>
        <v>0</v>
      </c>
      <c r="I58" s="105"/>
      <c r="J58" s="105"/>
      <c r="K58" s="105"/>
      <c r="L58" s="105"/>
      <c r="M58" s="105"/>
      <c r="N58" s="105"/>
      <c r="O58" s="105"/>
      <c r="P58" s="106"/>
      <c r="Q58" s="106"/>
      <c r="R58" s="106"/>
      <c r="S58" s="106"/>
      <c r="T58" s="106"/>
      <c r="U58" s="106"/>
      <c r="V58" s="106"/>
      <c r="W58" s="106"/>
      <c r="X58" s="106"/>
      <c r="Y58" s="106"/>
      <c r="Z58" s="106"/>
      <c r="AA58" s="106"/>
      <c r="AB58" s="106"/>
      <c r="AC58" s="106"/>
      <c r="AD58" s="106"/>
      <c r="AE58" s="106"/>
      <c r="AF58" s="106"/>
      <c r="AG58" s="106"/>
      <c r="AH58" s="106"/>
      <c r="AI58" s="106"/>
      <c r="AJ58" s="106"/>
      <c r="AK58" s="106"/>
      <c r="AL58" s="106"/>
      <c r="AM58" s="106"/>
      <c r="AN58" s="106"/>
      <c r="AO58" s="106"/>
      <c r="AP58" s="106"/>
      <c r="AQ58" s="106"/>
      <c r="AR58" s="106"/>
      <c r="AS58" s="106"/>
      <c r="AT58" s="106"/>
      <c r="AU58" s="106"/>
      <c r="AV58" s="106"/>
      <c r="AW58" s="106"/>
      <c r="AX58" s="106"/>
      <c r="AY58" s="106"/>
      <c r="AZ58" s="106"/>
      <c r="BA58" s="106"/>
      <c r="BB58" s="106"/>
      <c r="BC58" s="106"/>
      <c r="BD58" s="106"/>
      <c r="BE58" s="106"/>
      <c r="BF58" s="107"/>
    </row>
    <row r="59" spans="1:58">
      <c r="A59" s="464">
        <f t="shared" ref="A59" si="82">A57+1</f>
        <v>25</v>
      </c>
      <c r="B59" s="465"/>
      <c r="C59" s="489" t="s">
        <v>596</v>
      </c>
      <c r="D59" s="515">
        <f t="shared" ref="D59" si="83">SUM(I59:BF59)</f>
        <v>0</v>
      </c>
      <c r="E59" s="514" t="str">
        <f t="shared" ref="E59" si="84">IF(D59=0,"",H60/D59)</f>
        <v/>
      </c>
      <c r="F59" s="514" t="str">
        <f t="shared" ref="F59" si="85">IF(H59=0,"",H60/H59)</f>
        <v/>
      </c>
      <c r="G59" s="362" t="s">
        <v>168</v>
      </c>
      <c r="H59" s="368">
        <f t="shared" si="54"/>
        <v>0</v>
      </c>
      <c r="I59" s="312"/>
      <c r="J59" s="103"/>
      <c r="K59" s="103"/>
      <c r="L59" s="103"/>
      <c r="M59" s="103"/>
      <c r="N59" s="103"/>
      <c r="O59" s="103"/>
      <c r="P59" s="103"/>
      <c r="Q59" s="103"/>
      <c r="R59" s="103"/>
      <c r="S59" s="103"/>
      <c r="T59" s="103"/>
      <c r="U59" s="103"/>
      <c r="V59" s="103"/>
      <c r="W59" s="103"/>
      <c r="X59" s="103"/>
      <c r="Y59" s="103"/>
      <c r="Z59" s="103"/>
      <c r="AA59" s="103"/>
      <c r="AB59" s="103"/>
      <c r="AC59" s="103"/>
      <c r="AD59" s="103"/>
      <c r="AE59" s="103"/>
      <c r="AF59" s="103"/>
      <c r="AG59" s="103"/>
      <c r="AH59" s="103"/>
      <c r="AI59" s="103"/>
      <c r="AJ59" s="103"/>
      <c r="AK59" s="103"/>
      <c r="AL59" s="103"/>
      <c r="AM59" s="103"/>
      <c r="AN59" s="103"/>
      <c r="AO59" s="103"/>
      <c r="AP59" s="103"/>
      <c r="AQ59" s="103"/>
      <c r="AR59" s="103"/>
      <c r="AS59" s="103"/>
      <c r="AT59" s="103"/>
      <c r="AU59" s="103"/>
      <c r="AV59" s="103"/>
      <c r="AW59" s="103"/>
      <c r="AX59" s="103"/>
      <c r="AY59" s="103"/>
      <c r="AZ59" s="103"/>
      <c r="BA59" s="103"/>
      <c r="BB59" s="103"/>
      <c r="BC59" s="103"/>
      <c r="BD59" s="103"/>
      <c r="BE59" s="103"/>
      <c r="BF59" s="104"/>
    </row>
    <row r="60" spans="1:58">
      <c r="A60" s="466"/>
      <c r="B60" s="465"/>
      <c r="C60" s="490"/>
      <c r="D60" s="492"/>
      <c r="E60" s="494"/>
      <c r="F60" s="494"/>
      <c r="G60" s="363" t="s">
        <v>167</v>
      </c>
      <c r="H60" s="369">
        <f t="shared" si="54"/>
        <v>0</v>
      </c>
      <c r="I60" s="105"/>
      <c r="J60" s="106"/>
      <c r="K60" s="106"/>
      <c r="L60" s="106"/>
      <c r="M60" s="106"/>
      <c r="N60" s="106"/>
      <c r="O60" s="106"/>
      <c r="P60" s="106"/>
      <c r="Q60" s="106"/>
      <c r="R60" s="106"/>
      <c r="S60" s="106"/>
      <c r="T60" s="106"/>
      <c r="U60" s="106"/>
      <c r="V60" s="106"/>
      <c r="W60" s="106"/>
      <c r="X60" s="106"/>
      <c r="Y60" s="106"/>
      <c r="Z60" s="106"/>
      <c r="AA60" s="106"/>
      <c r="AB60" s="106"/>
      <c r="AC60" s="106"/>
      <c r="AD60" s="106"/>
      <c r="AE60" s="106"/>
      <c r="AF60" s="106"/>
      <c r="AG60" s="106"/>
      <c r="AH60" s="106"/>
      <c r="AI60" s="106"/>
      <c r="AJ60" s="106"/>
      <c r="AK60" s="106"/>
      <c r="AL60" s="106"/>
      <c r="AM60" s="106"/>
      <c r="AN60" s="106"/>
      <c r="AO60" s="106"/>
      <c r="AP60" s="106"/>
      <c r="AQ60" s="106"/>
      <c r="AR60" s="106"/>
      <c r="AS60" s="106"/>
      <c r="AT60" s="106"/>
      <c r="AU60" s="106"/>
      <c r="AV60" s="106"/>
      <c r="AW60" s="106"/>
      <c r="AX60" s="106"/>
      <c r="AY60" s="106"/>
      <c r="AZ60" s="106"/>
      <c r="BA60" s="106"/>
      <c r="BB60" s="106"/>
      <c r="BC60" s="106"/>
      <c r="BD60" s="106"/>
      <c r="BE60" s="106"/>
      <c r="BF60" s="107"/>
    </row>
    <row r="61" spans="1:58">
      <c r="A61" s="464">
        <f t="shared" ref="A61" si="86">A59+1</f>
        <v>26</v>
      </c>
      <c r="B61" s="465"/>
      <c r="C61" s="489" t="s">
        <v>596</v>
      </c>
      <c r="D61" s="515">
        <f t="shared" ref="D61" si="87">SUM(I61:BF61)</f>
        <v>0</v>
      </c>
      <c r="E61" s="514" t="str">
        <f t="shared" ref="E61" si="88">IF(D61=0,"",H62/D61)</f>
        <v/>
      </c>
      <c r="F61" s="514" t="str">
        <f t="shared" ref="F61" si="89">IF(H61=0,"",H62/H61)</f>
        <v/>
      </c>
      <c r="G61" s="362" t="s">
        <v>168</v>
      </c>
      <c r="H61" s="368">
        <f t="shared" si="54"/>
        <v>0</v>
      </c>
      <c r="I61" s="312"/>
      <c r="J61" s="103"/>
      <c r="K61" s="103"/>
      <c r="L61" s="103"/>
      <c r="M61" s="103"/>
      <c r="N61" s="103"/>
      <c r="O61" s="103"/>
      <c r="P61" s="103"/>
      <c r="Q61" s="103"/>
      <c r="R61" s="103"/>
      <c r="S61" s="103"/>
      <c r="T61" s="103"/>
      <c r="U61" s="103"/>
      <c r="V61" s="103"/>
      <c r="W61" s="103"/>
      <c r="X61" s="103"/>
      <c r="Y61" s="103"/>
      <c r="Z61" s="103"/>
      <c r="AA61" s="103"/>
      <c r="AB61" s="103"/>
      <c r="AC61" s="103"/>
      <c r="AD61" s="103"/>
      <c r="AE61" s="103"/>
      <c r="AF61" s="103"/>
      <c r="AG61" s="103"/>
      <c r="AH61" s="103"/>
      <c r="AI61" s="103"/>
      <c r="AJ61" s="103"/>
      <c r="AK61" s="103"/>
      <c r="AL61" s="103"/>
      <c r="AM61" s="103"/>
      <c r="AN61" s="103"/>
      <c r="AO61" s="103"/>
      <c r="AP61" s="103"/>
      <c r="AQ61" s="103"/>
      <c r="AR61" s="103"/>
      <c r="AS61" s="103"/>
      <c r="AT61" s="103"/>
      <c r="AU61" s="103"/>
      <c r="AV61" s="103"/>
      <c r="AW61" s="103"/>
      <c r="AX61" s="103"/>
      <c r="AY61" s="103"/>
      <c r="AZ61" s="103"/>
      <c r="BA61" s="103"/>
      <c r="BB61" s="103"/>
      <c r="BC61" s="103"/>
      <c r="BD61" s="103"/>
      <c r="BE61" s="103"/>
      <c r="BF61" s="104"/>
    </row>
    <row r="62" spans="1:58">
      <c r="A62" s="466"/>
      <c r="B62" s="465"/>
      <c r="C62" s="490"/>
      <c r="D62" s="492"/>
      <c r="E62" s="494"/>
      <c r="F62" s="494"/>
      <c r="G62" s="363" t="s">
        <v>167</v>
      </c>
      <c r="H62" s="369">
        <f t="shared" si="54"/>
        <v>0</v>
      </c>
      <c r="I62" s="105"/>
      <c r="J62" s="106"/>
      <c r="K62" s="106"/>
      <c r="L62" s="106"/>
      <c r="M62" s="106"/>
      <c r="N62" s="106"/>
      <c r="O62" s="106"/>
      <c r="P62" s="106"/>
      <c r="Q62" s="106"/>
      <c r="R62" s="106"/>
      <c r="S62" s="106"/>
      <c r="T62" s="106"/>
      <c r="U62" s="106"/>
      <c r="V62" s="106"/>
      <c r="W62" s="106"/>
      <c r="X62" s="106"/>
      <c r="Y62" s="106"/>
      <c r="Z62" s="106"/>
      <c r="AA62" s="106"/>
      <c r="AB62" s="106"/>
      <c r="AC62" s="106"/>
      <c r="AD62" s="106"/>
      <c r="AE62" s="106"/>
      <c r="AF62" s="106"/>
      <c r="AG62" s="106"/>
      <c r="AH62" s="106"/>
      <c r="AI62" s="106"/>
      <c r="AJ62" s="106"/>
      <c r="AK62" s="106"/>
      <c r="AL62" s="106"/>
      <c r="AM62" s="106"/>
      <c r="AN62" s="106"/>
      <c r="AO62" s="106"/>
      <c r="AP62" s="106"/>
      <c r="AQ62" s="106"/>
      <c r="AR62" s="106"/>
      <c r="AS62" s="106"/>
      <c r="AT62" s="106"/>
      <c r="AU62" s="106"/>
      <c r="AV62" s="106"/>
      <c r="AW62" s="106"/>
      <c r="AX62" s="106"/>
      <c r="AY62" s="106"/>
      <c r="AZ62" s="106"/>
      <c r="BA62" s="106"/>
      <c r="BB62" s="106"/>
      <c r="BC62" s="106"/>
      <c r="BD62" s="106"/>
      <c r="BE62" s="106"/>
      <c r="BF62" s="107"/>
    </row>
    <row r="63" spans="1:58">
      <c r="A63" s="464">
        <f t="shared" ref="A63" si="90">A61+1</f>
        <v>27</v>
      </c>
      <c r="B63" s="465"/>
      <c r="C63" s="489" t="s">
        <v>596</v>
      </c>
      <c r="D63" s="515">
        <f t="shared" ref="D63" si="91">SUM(I63:BF63)</f>
        <v>0</v>
      </c>
      <c r="E63" s="514" t="str">
        <f t="shared" ref="E63" si="92">IF(D63=0,"",H64/D63)</f>
        <v/>
      </c>
      <c r="F63" s="514" t="str">
        <f t="shared" ref="F63" si="93">IF(H63=0,"",H64/H63)</f>
        <v/>
      </c>
      <c r="G63" s="362" t="s">
        <v>168</v>
      </c>
      <c r="H63" s="368">
        <f t="shared" si="54"/>
        <v>0</v>
      </c>
      <c r="I63" s="312"/>
      <c r="J63" s="103"/>
      <c r="K63" s="103"/>
      <c r="L63" s="103"/>
      <c r="M63" s="103"/>
      <c r="N63" s="103"/>
      <c r="O63" s="103"/>
      <c r="P63" s="103"/>
      <c r="Q63" s="103"/>
      <c r="R63" s="103"/>
      <c r="S63" s="103"/>
      <c r="T63" s="103"/>
      <c r="U63" s="103"/>
      <c r="V63" s="103"/>
      <c r="W63" s="103"/>
      <c r="X63" s="103"/>
      <c r="Y63" s="103"/>
      <c r="Z63" s="103"/>
      <c r="AA63" s="103"/>
      <c r="AB63" s="103"/>
      <c r="AC63" s="103"/>
      <c r="AD63" s="103"/>
      <c r="AE63" s="103"/>
      <c r="AF63" s="103"/>
      <c r="AG63" s="103"/>
      <c r="AH63" s="103"/>
      <c r="AI63" s="103"/>
      <c r="AJ63" s="103"/>
      <c r="AK63" s="103"/>
      <c r="AL63" s="103"/>
      <c r="AM63" s="103"/>
      <c r="AN63" s="103"/>
      <c r="AO63" s="103"/>
      <c r="AP63" s="103"/>
      <c r="AQ63" s="103"/>
      <c r="AR63" s="103"/>
      <c r="AS63" s="103"/>
      <c r="AT63" s="103"/>
      <c r="AU63" s="103"/>
      <c r="AV63" s="103"/>
      <c r="AW63" s="103"/>
      <c r="AX63" s="103"/>
      <c r="AY63" s="103"/>
      <c r="AZ63" s="103"/>
      <c r="BA63" s="103"/>
      <c r="BB63" s="103"/>
      <c r="BC63" s="103"/>
      <c r="BD63" s="103"/>
      <c r="BE63" s="103"/>
      <c r="BF63" s="104"/>
    </row>
    <row r="64" spans="1:58">
      <c r="A64" s="466"/>
      <c r="B64" s="465"/>
      <c r="C64" s="490"/>
      <c r="D64" s="492"/>
      <c r="E64" s="494"/>
      <c r="F64" s="494"/>
      <c r="G64" s="363" t="s">
        <v>167</v>
      </c>
      <c r="H64" s="369">
        <f t="shared" si="54"/>
        <v>0</v>
      </c>
      <c r="I64" s="105"/>
      <c r="J64" s="106"/>
      <c r="K64" s="106"/>
      <c r="L64" s="106"/>
      <c r="M64" s="106"/>
      <c r="N64" s="106"/>
      <c r="O64" s="106"/>
      <c r="P64" s="106"/>
      <c r="Q64" s="106"/>
      <c r="R64" s="106"/>
      <c r="S64" s="106"/>
      <c r="T64" s="106"/>
      <c r="U64" s="106"/>
      <c r="V64" s="106"/>
      <c r="W64" s="106"/>
      <c r="X64" s="106"/>
      <c r="Y64" s="106"/>
      <c r="Z64" s="106"/>
      <c r="AA64" s="106"/>
      <c r="AB64" s="106"/>
      <c r="AC64" s="106"/>
      <c r="AD64" s="106"/>
      <c r="AE64" s="106"/>
      <c r="AF64" s="106"/>
      <c r="AG64" s="106"/>
      <c r="AH64" s="106"/>
      <c r="AI64" s="106"/>
      <c r="AJ64" s="106"/>
      <c r="AK64" s="106"/>
      <c r="AL64" s="106"/>
      <c r="AM64" s="106"/>
      <c r="AN64" s="106"/>
      <c r="AO64" s="106"/>
      <c r="AP64" s="106"/>
      <c r="AQ64" s="106"/>
      <c r="AR64" s="106"/>
      <c r="AS64" s="106"/>
      <c r="AT64" s="106"/>
      <c r="AU64" s="106"/>
      <c r="AV64" s="106"/>
      <c r="AW64" s="106"/>
      <c r="AX64" s="106"/>
      <c r="AY64" s="106"/>
      <c r="AZ64" s="106"/>
      <c r="BA64" s="106"/>
      <c r="BB64" s="106"/>
      <c r="BC64" s="106"/>
      <c r="BD64" s="106"/>
      <c r="BE64" s="106"/>
      <c r="BF64" s="107"/>
    </row>
    <row r="65" spans="1:58">
      <c r="A65" s="464">
        <f t="shared" ref="A65" si="94">A63+1</f>
        <v>28</v>
      </c>
      <c r="B65" s="465"/>
      <c r="C65" s="489" t="s">
        <v>596</v>
      </c>
      <c r="D65" s="515">
        <f t="shared" ref="D65" si="95">SUM(I65:BF65)</f>
        <v>0</v>
      </c>
      <c r="E65" s="514" t="str">
        <f t="shared" ref="E65" si="96">IF(D65=0,"",H66/D65)</f>
        <v/>
      </c>
      <c r="F65" s="514" t="str">
        <f t="shared" ref="F65" si="97">IF(H65=0,"",H66/H65)</f>
        <v/>
      </c>
      <c r="G65" s="362" t="s">
        <v>168</v>
      </c>
      <c r="H65" s="368">
        <f t="shared" si="54"/>
        <v>0</v>
      </c>
      <c r="I65" s="312"/>
      <c r="J65" s="103"/>
      <c r="K65" s="103"/>
      <c r="L65" s="103"/>
      <c r="M65" s="103"/>
      <c r="N65" s="103"/>
      <c r="O65" s="103"/>
      <c r="P65" s="103"/>
      <c r="Q65" s="103"/>
      <c r="R65" s="103"/>
      <c r="S65" s="103"/>
      <c r="T65" s="103"/>
      <c r="U65" s="103"/>
      <c r="V65" s="103"/>
      <c r="W65" s="103"/>
      <c r="X65" s="103"/>
      <c r="Y65" s="103"/>
      <c r="Z65" s="103"/>
      <c r="AA65" s="103"/>
      <c r="AB65" s="103"/>
      <c r="AC65" s="103"/>
      <c r="AD65" s="103"/>
      <c r="AE65" s="103"/>
      <c r="AF65" s="103"/>
      <c r="AG65" s="103"/>
      <c r="AH65" s="103"/>
      <c r="AI65" s="103"/>
      <c r="AJ65" s="103"/>
      <c r="AK65" s="103"/>
      <c r="AL65" s="103"/>
      <c r="AM65" s="103"/>
      <c r="AN65" s="103"/>
      <c r="AO65" s="103"/>
      <c r="AP65" s="103"/>
      <c r="AQ65" s="103"/>
      <c r="AR65" s="103"/>
      <c r="AS65" s="103"/>
      <c r="AT65" s="103"/>
      <c r="AU65" s="103"/>
      <c r="AV65" s="103"/>
      <c r="AW65" s="103"/>
      <c r="AX65" s="103"/>
      <c r="AY65" s="103"/>
      <c r="AZ65" s="103"/>
      <c r="BA65" s="103"/>
      <c r="BB65" s="103"/>
      <c r="BC65" s="103"/>
      <c r="BD65" s="103"/>
      <c r="BE65" s="103"/>
      <c r="BF65" s="104"/>
    </row>
    <row r="66" spans="1:58">
      <c r="A66" s="466"/>
      <c r="B66" s="465"/>
      <c r="C66" s="490"/>
      <c r="D66" s="492"/>
      <c r="E66" s="494"/>
      <c r="F66" s="494"/>
      <c r="G66" s="363" t="s">
        <v>167</v>
      </c>
      <c r="H66" s="369">
        <f t="shared" si="54"/>
        <v>0</v>
      </c>
      <c r="I66" s="105"/>
      <c r="J66" s="106"/>
      <c r="K66" s="106"/>
      <c r="L66" s="106"/>
      <c r="M66" s="106"/>
      <c r="N66" s="106"/>
      <c r="O66" s="106"/>
      <c r="P66" s="106"/>
      <c r="Q66" s="106"/>
      <c r="R66" s="106"/>
      <c r="S66" s="106"/>
      <c r="T66" s="106"/>
      <c r="U66" s="106"/>
      <c r="V66" s="106"/>
      <c r="W66" s="106"/>
      <c r="X66" s="106"/>
      <c r="Y66" s="106"/>
      <c r="Z66" s="106"/>
      <c r="AA66" s="106"/>
      <c r="AB66" s="106"/>
      <c r="AC66" s="106"/>
      <c r="AD66" s="106"/>
      <c r="AE66" s="106"/>
      <c r="AF66" s="106"/>
      <c r="AG66" s="106"/>
      <c r="AH66" s="106"/>
      <c r="AI66" s="106"/>
      <c r="AJ66" s="106"/>
      <c r="AK66" s="106"/>
      <c r="AL66" s="106"/>
      <c r="AM66" s="106"/>
      <c r="AN66" s="106"/>
      <c r="AO66" s="106"/>
      <c r="AP66" s="106"/>
      <c r="AQ66" s="106"/>
      <c r="AR66" s="106"/>
      <c r="AS66" s="106"/>
      <c r="AT66" s="106"/>
      <c r="AU66" s="106"/>
      <c r="AV66" s="106"/>
      <c r="AW66" s="106"/>
      <c r="AX66" s="106"/>
      <c r="AY66" s="106"/>
      <c r="AZ66" s="106"/>
      <c r="BA66" s="106"/>
      <c r="BB66" s="106"/>
      <c r="BC66" s="106"/>
      <c r="BD66" s="106"/>
      <c r="BE66" s="106"/>
      <c r="BF66" s="107"/>
    </row>
    <row r="67" spans="1:58">
      <c r="A67" s="464">
        <f t="shared" ref="A67" si="98">A65+1</f>
        <v>29</v>
      </c>
      <c r="B67" s="465"/>
      <c r="C67" s="489" t="s">
        <v>596</v>
      </c>
      <c r="D67" s="515">
        <f>SUM(I67:BF67)</f>
        <v>0</v>
      </c>
      <c r="E67" s="514" t="str">
        <f>IF(D67=0,"",H68/D67)</f>
        <v/>
      </c>
      <c r="F67" s="514" t="str">
        <f>IF(H67=0,"",H68/H67)</f>
        <v/>
      </c>
      <c r="G67" s="362" t="s">
        <v>168</v>
      </c>
      <c r="H67" s="368">
        <f t="shared" si="3"/>
        <v>0</v>
      </c>
      <c r="I67" s="312"/>
      <c r="J67" s="103"/>
      <c r="K67" s="103"/>
      <c r="L67" s="103"/>
      <c r="M67" s="103"/>
      <c r="N67" s="103"/>
      <c r="O67" s="103"/>
      <c r="P67" s="103"/>
      <c r="Q67" s="103"/>
      <c r="R67" s="103"/>
      <c r="S67" s="103"/>
      <c r="T67" s="103"/>
      <c r="U67" s="103"/>
      <c r="V67" s="103"/>
      <c r="W67" s="103"/>
      <c r="X67" s="103"/>
      <c r="Y67" s="103"/>
      <c r="Z67" s="103"/>
      <c r="AA67" s="103"/>
      <c r="AB67" s="103"/>
      <c r="AC67" s="103"/>
      <c r="AD67" s="103"/>
      <c r="AE67" s="103"/>
      <c r="AF67" s="103"/>
      <c r="AG67" s="103"/>
      <c r="AH67" s="103"/>
      <c r="AI67" s="103"/>
      <c r="AJ67" s="103"/>
      <c r="AK67" s="103"/>
      <c r="AL67" s="103"/>
      <c r="AM67" s="103"/>
      <c r="AN67" s="103"/>
      <c r="AO67" s="103"/>
      <c r="AP67" s="103"/>
      <c r="AQ67" s="103"/>
      <c r="AR67" s="103"/>
      <c r="AS67" s="103"/>
      <c r="AT67" s="103"/>
      <c r="AU67" s="103"/>
      <c r="AV67" s="103"/>
      <c r="AW67" s="103"/>
      <c r="AX67" s="103"/>
      <c r="AY67" s="103"/>
      <c r="AZ67" s="103"/>
      <c r="BA67" s="103"/>
      <c r="BB67" s="103"/>
      <c r="BC67" s="103"/>
      <c r="BD67" s="103"/>
      <c r="BE67" s="103"/>
      <c r="BF67" s="104"/>
    </row>
    <row r="68" spans="1:58">
      <c r="A68" s="466"/>
      <c r="B68" s="465"/>
      <c r="C68" s="490"/>
      <c r="D68" s="492"/>
      <c r="E68" s="494"/>
      <c r="F68" s="494"/>
      <c r="G68" s="363" t="s">
        <v>167</v>
      </c>
      <c r="H68" s="369">
        <f t="shared" si="3"/>
        <v>0</v>
      </c>
      <c r="I68" s="105"/>
      <c r="J68" s="106"/>
      <c r="K68" s="106"/>
      <c r="L68" s="106"/>
      <c r="M68" s="106"/>
      <c r="N68" s="106"/>
      <c r="O68" s="106"/>
      <c r="P68" s="106"/>
      <c r="Q68" s="106"/>
      <c r="R68" s="106"/>
      <c r="S68" s="106"/>
      <c r="T68" s="106"/>
      <c r="U68" s="106"/>
      <c r="V68" s="106"/>
      <c r="W68" s="106"/>
      <c r="X68" s="106"/>
      <c r="Y68" s="106"/>
      <c r="Z68" s="106"/>
      <c r="AA68" s="106"/>
      <c r="AB68" s="106"/>
      <c r="AC68" s="106"/>
      <c r="AD68" s="106"/>
      <c r="AE68" s="106"/>
      <c r="AF68" s="106"/>
      <c r="AG68" s="106"/>
      <c r="AH68" s="106"/>
      <c r="AI68" s="106"/>
      <c r="AJ68" s="106"/>
      <c r="AK68" s="106"/>
      <c r="AL68" s="106"/>
      <c r="AM68" s="106"/>
      <c r="AN68" s="106"/>
      <c r="AO68" s="106"/>
      <c r="AP68" s="106"/>
      <c r="AQ68" s="106"/>
      <c r="AR68" s="106"/>
      <c r="AS68" s="106"/>
      <c r="AT68" s="106"/>
      <c r="AU68" s="106"/>
      <c r="AV68" s="106"/>
      <c r="AW68" s="106"/>
      <c r="AX68" s="106"/>
      <c r="AY68" s="106"/>
      <c r="AZ68" s="106"/>
      <c r="BA68" s="106"/>
      <c r="BB68" s="106"/>
      <c r="BC68" s="106"/>
      <c r="BD68" s="106"/>
      <c r="BE68" s="106"/>
      <c r="BF68" s="107"/>
    </row>
    <row r="69" spans="1:58">
      <c r="A69" s="464">
        <f t="shared" ref="A69" si="99">A67+1</f>
        <v>30</v>
      </c>
      <c r="B69" s="465"/>
      <c r="C69" s="489" t="s">
        <v>596</v>
      </c>
      <c r="D69" s="543">
        <f>SUM(I69:BF69)</f>
        <v>0</v>
      </c>
      <c r="E69" s="545" t="str">
        <f>IF(D69=0,"",H70/D69)</f>
        <v/>
      </c>
      <c r="F69" s="545" t="str">
        <f>IF(H69=0,"",H70/H69)</f>
        <v/>
      </c>
      <c r="G69" s="364" t="s">
        <v>168</v>
      </c>
      <c r="H69" s="365">
        <f t="shared" si="3"/>
        <v>0</v>
      </c>
      <c r="I69" s="313"/>
      <c r="J69" s="108"/>
      <c r="K69" s="108"/>
      <c r="L69" s="108"/>
      <c r="M69" s="108"/>
      <c r="N69" s="108"/>
      <c r="O69" s="108"/>
      <c r="P69" s="108"/>
      <c r="Q69" s="108"/>
      <c r="R69" s="108"/>
      <c r="S69" s="108"/>
      <c r="T69" s="108"/>
      <c r="U69" s="108"/>
      <c r="V69" s="108"/>
      <c r="W69" s="108"/>
      <c r="X69" s="108"/>
      <c r="Y69" s="108"/>
      <c r="Z69" s="108"/>
      <c r="AA69" s="108"/>
      <c r="AB69" s="108"/>
      <c r="AC69" s="108"/>
      <c r="AD69" s="108"/>
      <c r="AE69" s="108"/>
      <c r="AF69" s="108"/>
      <c r="AG69" s="108"/>
      <c r="AH69" s="108"/>
      <c r="AI69" s="108"/>
      <c r="AJ69" s="108"/>
      <c r="AK69" s="108"/>
      <c r="AL69" s="108"/>
      <c r="AM69" s="108"/>
      <c r="AN69" s="108"/>
      <c r="AO69" s="108"/>
      <c r="AP69" s="108"/>
      <c r="AQ69" s="108"/>
      <c r="AR69" s="108"/>
      <c r="AS69" s="108"/>
      <c r="AT69" s="108"/>
      <c r="AU69" s="108"/>
      <c r="AV69" s="108"/>
      <c r="AW69" s="108"/>
      <c r="AX69" s="108"/>
      <c r="AY69" s="108"/>
      <c r="AZ69" s="108"/>
      <c r="BA69" s="108"/>
      <c r="BB69" s="108"/>
      <c r="BC69" s="108"/>
      <c r="BD69" s="108"/>
      <c r="BE69" s="108"/>
      <c r="BF69" s="109"/>
    </row>
    <row r="70" spans="1:58">
      <c r="A70" s="466"/>
      <c r="B70" s="465"/>
      <c r="C70" s="490"/>
      <c r="D70" s="544"/>
      <c r="E70" s="546"/>
      <c r="F70" s="546"/>
      <c r="G70" s="366" t="s">
        <v>167</v>
      </c>
      <c r="H70" s="367">
        <f t="shared" si="3"/>
        <v>0</v>
      </c>
      <c r="I70" s="314"/>
      <c r="J70" s="110"/>
      <c r="K70" s="110"/>
      <c r="L70" s="110"/>
      <c r="M70" s="110"/>
      <c r="N70" s="110"/>
      <c r="O70" s="110"/>
      <c r="P70" s="110"/>
      <c r="Q70" s="110"/>
      <c r="R70" s="110"/>
      <c r="S70" s="110"/>
      <c r="T70" s="110"/>
      <c r="U70" s="110"/>
      <c r="V70" s="110"/>
      <c r="W70" s="110"/>
      <c r="X70" s="110"/>
      <c r="Y70" s="110"/>
      <c r="Z70" s="110"/>
      <c r="AA70" s="110"/>
      <c r="AB70" s="110"/>
      <c r="AC70" s="110"/>
      <c r="AD70" s="110"/>
      <c r="AE70" s="110"/>
      <c r="AF70" s="110"/>
      <c r="AG70" s="110"/>
      <c r="AH70" s="110"/>
      <c r="AI70" s="110"/>
      <c r="AJ70" s="110"/>
      <c r="AK70" s="110"/>
      <c r="AL70" s="110"/>
      <c r="AM70" s="110"/>
      <c r="AN70" s="110"/>
      <c r="AO70" s="110"/>
      <c r="AP70" s="110"/>
      <c r="AQ70" s="110"/>
      <c r="AR70" s="110"/>
      <c r="AS70" s="110"/>
      <c r="AT70" s="110"/>
      <c r="AU70" s="110"/>
      <c r="AV70" s="110"/>
      <c r="AW70" s="110"/>
      <c r="AX70" s="110"/>
      <c r="AY70" s="110"/>
      <c r="AZ70" s="110"/>
      <c r="BA70" s="110"/>
      <c r="BB70" s="110"/>
      <c r="BC70" s="110"/>
      <c r="BD70" s="110"/>
      <c r="BE70" s="110"/>
      <c r="BF70" s="111"/>
    </row>
    <row r="71" spans="1:58">
      <c r="A71" s="464">
        <f t="shared" ref="A71" si="100">A69+1</f>
        <v>31</v>
      </c>
      <c r="B71" s="465"/>
      <c r="C71" s="489" t="s">
        <v>596</v>
      </c>
      <c r="D71" s="516">
        <f>SUM(I71:BF71)</f>
        <v>0</v>
      </c>
      <c r="E71" s="517" t="str">
        <f>IF(D71=0,"",H72/D71)</f>
        <v/>
      </c>
      <c r="F71" s="517" t="str">
        <f>IF(H71=0,"",H72/H71)</f>
        <v/>
      </c>
      <c r="G71" s="97" t="s">
        <v>168</v>
      </c>
      <c r="H71" s="69">
        <f t="shared" ref="H71:H108" si="101">SUMPRODUCT((I$8:BF$8&lt;&gt;"")*1,(I$8:BF$8&lt;=$O$2)*1,I71:BF71)</f>
        <v>0</v>
      </c>
      <c r="I71" s="312"/>
      <c r="J71" s="103"/>
      <c r="K71" s="103"/>
      <c r="L71" s="103"/>
      <c r="M71" s="103"/>
      <c r="N71" s="103"/>
      <c r="O71" s="103"/>
      <c r="P71" s="103"/>
      <c r="Q71" s="103"/>
      <c r="R71" s="103"/>
      <c r="S71" s="103"/>
      <c r="T71" s="103"/>
      <c r="U71" s="103"/>
      <c r="V71" s="103"/>
      <c r="W71" s="103"/>
      <c r="X71" s="103"/>
      <c r="Y71" s="103"/>
      <c r="Z71" s="103"/>
      <c r="AA71" s="103"/>
      <c r="AB71" s="103"/>
      <c r="AC71" s="103"/>
      <c r="AD71" s="103"/>
      <c r="AE71" s="103"/>
      <c r="AF71" s="103"/>
      <c r="AG71" s="103"/>
      <c r="AH71" s="103"/>
      <c r="AI71" s="103"/>
      <c r="AJ71" s="103"/>
      <c r="AK71" s="103"/>
      <c r="AL71" s="103"/>
      <c r="AM71" s="103"/>
      <c r="AN71" s="103"/>
      <c r="AO71" s="103"/>
      <c r="AP71" s="103"/>
      <c r="AQ71" s="103"/>
      <c r="AR71" s="103"/>
      <c r="AS71" s="103"/>
      <c r="AT71" s="103"/>
      <c r="AU71" s="103"/>
      <c r="AV71" s="103"/>
      <c r="AW71" s="103"/>
      <c r="AX71" s="103"/>
      <c r="AY71" s="103"/>
      <c r="AZ71" s="103"/>
      <c r="BA71" s="103"/>
      <c r="BB71" s="103"/>
      <c r="BC71" s="103"/>
      <c r="BD71" s="103"/>
      <c r="BE71" s="103"/>
      <c r="BF71" s="104"/>
    </row>
    <row r="72" spans="1:58">
      <c r="A72" s="466"/>
      <c r="B72" s="465"/>
      <c r="C72" s="490"/>
      <c r="D72" s="470"/>
      <c r="E72" s="472"/>
      <c r="F72" s="472"/>
      <c r="G72" s="72" t="s">
        <v>167</v>
      </c>
      <c r="H72" s="68">
        <f t="shared" si="101"/>
        <v>0</v>
      </c>
      <c r="I72" s="105"/>
      <c r="J72" s="106"/>
      <c r="K72" s="106"/>
      <c r="L72" s="106"/>
      <c r="M72" s="106"/>
      <c r="N72" s="106"/>
      <c r="O72" s="106"/>
      <c r="P72" s="106"/>
      <c r="Q72" s="106"/>
      <c r="R72" s="106"/>
      <c r="S72" s="106"/>
      <c r="T72" s="106"/>
      <c r="U72" s="106"/>
      <c r="V72" s="106"/>
      <c r="W72" s="106"/>
      <c r="X72" s="106"/>
      <c r="Y72" s="106"/>
      <c r="Z72" s="106"/>
      <c r="AA72" s="106"/>
      <c r="AB72" s="106"/>
      <c r="AC72" s="106"/>
      <c r="AD72" s="106"/>
      <c r="AE72" s="106"/>
      <c r="AF72" s="106"/>
      <c r="AG72" s="106"/>
      <c r="AH72" s="106"/>
      <c r="AI72" s="106"/>
      <c r="AJ72" s="106"/>
      <c r="AK72" s="106"/>
      <c r="AL72" s="106"/>
      <c r="AM72" s="106"/>
      <c r="AN72" s="106"/>
      <c r="AO72" s="106"/>
      <c r="AP72" s="106"/>
      <c r="AQ72" s="106"/>
      <c r="AR72" s="106"/>
      <c r="AS72" s="106"/>
      <c r="AT72" s="106"/>
      <c r="AU72" s="106"/>
      <c r="AV72" s="106"/>
      <c r="AW72" s="106"/>
      <c r="AX72" s="106"/>
      <c r="AY72" s="106"/>
      <c r="AZ72" s="106"/>
      <c r="BA72" s="106"/>
      <c r="BB72" s="106"/>
      <c r="BC72" s="106"/>
      <c r="BD72" s="106"/>
      <c r="BE72" s="106"/>
      <c r="BF72" s="107"/>
    </row>
    <row r="73" spans="1:58">
      <c r="A73" s="464">
        <f t="shared" ref="A73" si="102">A71+1</f>
        <v>32</v>
      </c>
      <c r="B73" s="465"/>
      <c r="C73" s="489" t="s">
        <v>596</v>
      </c>
      <c r="D73" s="539">
        <f>SUM(I73:BF73)</f>
        <v>0</v>
      </c>
      <c r="E73" s="541" t="str">
        <f>IF(D73=0,"",H74/D73)</f>
        <v/>
      </c>
      <c r="F73" s="541" t="str">
        <f>IF(H73=0,"",H74/H73)</f>
        <v/>
      </c>
      <c r="G73" s="99" t="s">
        <v>168</v>
      </c>
      <c r="H73" s="66">
        <f t="shared" si="101"/>
        <v>0</v>
      </c>
      <c r="I73" s="313"/>
      <c r="J73" s="108"/>
      <c r="K73" s="108"/>
      <c r="L73" s="108"/>
      <c r="M73" s="108"/>
      <c r="N73" s="108"/>
      <c r="O73" s="108"/>
      <c r="P73" s="108"/>
      <c r="Q73" s="108"/>
      <c r="R73" s="108"/>
      <c r="S73" s="108"/>
      <c r="T73" s="108"/>
      <c r="U73" s="108"/>
      <c r="V73" s="108"/>
      <c r="W73" s="108"/>
      <c r="X73" s="108"/>
      <c r="Y73" s="108"/>
      <c r="Z73" s="108"/>
      <c r="AA73" s="108"/>
      <c r="AB73" s="108"/>
      <c r="AC73" s="108"/>
      <c r="AD73" s="108"/>
      <c r="AE73" s="108"/>
      <c r="AF73" s="108"/>
      <c r="AG73" s="108"/>
      <c r="AH73" s="108"/>
      <c r="AI73" s="108"/>
      <c r="AJ73" s="108"/>
      <c r="AK73" s="108"/>
      <c r="AL73" s="108"/>
      <c r="AM73" s="108"/>
      <c r="AN73" s="108"/>
      <c r="AO73" s="108"/>
      <c r="AP73" s="108"/>
      <c r="AQ73" s="108"/>
      <c r="AR73" s="108"/>
      <c r="AS73" s="108"/>
      <c r="AT73" s="108"/>
      <c r="AU73" s="108"/>
      <c r="AV73" s="108"/>
      <c r="AW73" s="108"/>
      <c r="AX73" s="108"/>
      <c r="AY73" s="108"/>
      <c r="AZ73" s="108"/>
      <c r="BA73" s="108"/>
      <c r="BB73" s="108"/>
      <c r="BC73" s="108"/>
      <c r="BD73" s="108"/>
      <c r="BE73" s="108"/>
      <c r="BF73" s="109"/>
    </row>
    <row r="74" spans="1:58">
      <c r="A74" s="466"/>
      <c r="B74" s="465"/>
      <c r="C74" s="490"/>
      <c r="D74" s="540"/>
      <c r="E74" s="542"/>
      <c r="F74" s="542"/>
      <c r="G74" s="100" t="s">
        <v>167</v>
      </c>
      <c r="H74" s="101">
        <f t="shared" si="101"/>
        <v>0</v>
      </c>
      <c r="I74" s="314"/>
      <c r="J74" s="110"/>
      <c r="K74" s="110"/>
      <c r="L74" s="110"/>
      <c r="M74" s="110"/>
      <c r="N74" s="110"/>
      <c r="O74" s="110"/>
      <c r="P74" s="110"/>
      <c r="Q74" s="110"/>
      <c r="R74" s="110"/>
      <c r="S74" s="110"/>
      <c r="T74" s="110"/>
      <c r="U74" s="110"/>
      <c r="V74" s="110"/>
      <c r="W74" s="110"/>
      <c r="X74" s="110"/>
      <c r="Y74" s="110"/>
      <c r="Z74" s="110"/>
      <c r="AA74" s="110"/>
      <c r="AB74" s="110"/>
      <c r="AC74" s="110"/>
      <c r="AD74" s="110"/>
      <c r="AE74" s="110"/>
      <c r="AF74" s="110"/>
      <c r="AG74" s="110"/>
      <c r="AH74" s="110"/>
      <c r="AI74" s="110"/>
      <c r="AJ74" s="110"/>
      <c r="AK74" s="110"/>
      <c r="AL74" s="110"/>
      <c r="AM74" s="110"/>
      <c r="AN74" s="110"/>
      <c r="AO74" s="110"/>
      <c r="AP74" s="110"/>
      <c r="AQ74" s="110"/>
      <c r="AR74" s="110"/>
      <c r="AS74" s="110"/>
      <c r="AT74" s="110"/>
      <c r="AU74" s="110"/>
      <c r="AV74" s="110"/>
      <c r="AW74" s="110"/>
      <c r="AX74" s="110"/>
      <c r="AY74" s="110"/>
      <c r="AZ74" s="110"/>
      <c r="BA74" s="110"/>
      <c r="BB74" s="110"/>
      <c r="BC74" s="110"/>
      <c r="BD74" s="110"/>
      <c r="BE74" s="110"/>
      <c r="BF74" s="111"/>
    </row>
    <row r="75" spans="1:58">
      <c r="A75" s="464">
        <f t="shared" ref="A75" si="103">A73+1</f>
        <v>33</v>
      </c>
      <c r="B75" s="465"/>
      <c r="C75" s="489" t="s">
        <v>596</v>
      </c>
      <c r="D75" s="516">
        <f>SUM(I75:BF75)</f>
        <v>0</v>
      </c>
      <c r="E75" s="517" t="str">
        <f>IF(D75=0,"",H76/D75)</f>
        <v/>
      </c>
      <c r="F75" s="517" t="str">
        <f>IF(H75=0,"",H76/H75)</f>
        <v/>
      </c>
      <c r="G75" s="97" t="s">
        <v>168</v>
      </c>
      <c r="H75" s="69">
        <f t="shared" si="101"/>
        <v>0</v>
      </c>
      <c r="I75" s="312"/>
      <c r="J75" s="103"/>
      <c r="K75" s="103"/>
      <c r="L75" s="103"/>
      <c r="M75" s="103"/>
      <c r="N75" s="103"/>
      <c r="O75" s="103"/>
      <c r="P75" s="103"/>
      <c r="Q75" s="103"/>
      <c r="R75" s="103"/>
      <c r="S75" s="103"/>
      <c r="T75" s="103"/>
      <c r="U75" s="103"/>
      <c r="V75" s="103"/>
      <c r="W75" s="103"/>
      <c r="X75" s="103"/>
      <c r="Y75" s="103"/>
      <c r="Z75" s="103"/>
      <c r="AA75" s="103"/>
      <c r="AB75" s="103"/>
      <c r="AC75" s="103"/>
      <c r="AD75" s="103"/>
      <c r="AE75" s="103"/>
      <c r="AF75" s="103"/>
      <c r="AG75" s="103"/>
      <c r="AH75" s="103"/>
      <c r="AI75" s="103"/>
      <c r="AJ75" s="103"/>
      <c r="AK75" s="103"/>
      <c r="AL75" s="103"/>
      <c r="AM75" s="103"/>
      <c r="AN75" s="103"/>
      <c r="AO75" s="103"/>
      <c r="AP75" s="103"/>
      <c r="AQ75" s="103"/>
      <c r="AR75" s="103"/>
      <c r="AS75" s="103"/>
      <c r="AT75" s="103"/>
      <c r="AU75" s="103"/>
      <c r="AV75" s="103"/>
      <c r="AW75" s="103"/>
      <c r="AX75" s="103"/>
      <c r="AY75" s="103"/>
      <c r="AZ75" s="103"/>
      <c r="BA75" s="103"/>
      <c r="BB75" s="103"/>
      <c r="BC75" s="103"/>
      <c r="BD75" s="103"/>
      <c r="BE75" s="103"/>
      <c r="BF75" s="104"/>
    </row>
    <row r="76" spans="1:58">
      <c r="A76" s="466"/>
      <c r="B76" s="465"/>
      <c r="C76" s="490"/>
      <c r="D76" s="470"/>
      <c r="E76" s="472"/>
      <c r="F76" s="472"/>
      <c r="G76" s="72" t="s">
        <v>167</v>
      </c>
      <c r="H76" s="68">
        <f t="shared" si="101"/>
        <v>0</v>
      </c>
      <c r="I76" s="105"/>
      <c r="J76" s="106"/>
      <c r="K76" s="106"/>
      <c r="L76" s="106"/>
      <c r="M76" s="106"/>
      <c r="N76" s="106"/>
      <c r="O76" s="106"/>
      <c r="P76" s="106"/>
      <c r="Q76" s="106"/>
      <c r="R76" s="106"/>
      <c r="S76" s="106"/>
      <c r="T76" s="106"/>
      <c r="U76" s="106"/>
      <c r="V76" s="106"/>
      <c r="W76" s="106"/>
      <c r="X76" s="106"/>
      <c r="Y76" s="106"/>
      <c r="Z76" s="106"/>
      <c r="AA76" s="106"/>
      <c r="AB76" s="106"/>
      <c r="AC76" s="106"/>
      <c r="AD76" s="106"/>
      <c r="AE76" s="106"/>
      <c r="AF76" s="106"/>
      <c r="AG76" s="106"/>
      <c r="AH76" s="106"/>
      <c r="AI76" s="106"/>
      <c r="AJ76" s="106"/>
      <c r="AK76" s="106"/>
      <c r="AL76" s="106"/>
      <c r="AM76" s="106"/>
      <c r="AN76" s="106"/>
      <c r="AO76" s="106"/>
      <c r="AP76" s="106"/>
      <c r="AQ76" s="106"/>
      <c r="AR76" s="106"/>
      <c r="AS76" s="106"/>
      <c r="AT76" s="106"/>
      <c r="AU76" s="106"/>
      <c r="AV76" s="106"/>
      <c r="AW76" s="106"/>
      <c r="AX76" s="106"/>
      <c r="AY76" s="106"/>
      <c r="AZ76" s="106"/>
      <c r="BA76" s="106"/>
      <c r="BB76" s="106"/>
      <c r="BC76" s="106"/>
      <c r="BD76" s="106"/>
      <c r="BE76" s="106"/>
      <c r="BF76" s="107"/>
    </row>
    <row r="77" spans="1:58">
      <c r="A77" s="464">
        <f t="shared" ref="A77" si="104">A75+1</f>
        <v>34</v>
      </c>
      <c r="B77" s="465"/>
      <c r="C77" s="489" t="s">
        <v>596</v>
      </c>
      <c r="D77" s="543">
        <f>SUM(I77:BF77)</f>
        <v>0</v>
      </c>
      <c r="E77" s="545" t="str">
        <f>IF(D77=0,"",H78/D77)</f>
        <v/>
      </c>
      <c r="F77" s="545" t="str">
        <f>IF(H77=0,"",H78/H77)</f>
        <v/>
      </c>
      <c r="G77" s="364" t="s">
        <v>168</v>
      </c>
      <c r="H77" s="365">
        <f t="shared" si="101"/>
        <v>0</v>
      </c>
      <c r="I77" s="313"/>
      <c r="J77" s="108"/>
      <c r="K77" s="108"/>
      <c r="L77" s="108"/>
      <c r="M77" s="108"/>
      <c r="N77" s="108"/>
      <c r="O77" s="108"/>
      <c r="P77" s="108"/>
      <c r="Q77" s="108"/>
      <c r="R77" s="108"/>
      <c r="S77" s="108"/>
      <c r="T77" s="108"/>
      <c r="U77" s="108"/>
      <c r="V77" s="108"/>
      <c r="W77" s="108"/>
      <c r="X77" s="108"/>
      <c r="Y77" s="108"/>
      <c r="Z77" s="108"/>
      <c r="AA77" s="108"/>
      <c r="AB77" s="108"/>
      <c r="AC77" s="108"/>
      <c r="AD77" s="108"/>
      <c r="AE77" s="108"/>
      <c r="AF77" s="108"/>
      <c r="AG77" s="108"/>
      <c r="AH77" s="108"/>
      <c r="AI77" s="108"/>
      <c r="AJ77" s="108"/>
      <c r="AK77" s="108"/>
      <c r="AL77" s="108"/>
      <c r="AM77" s="108"/>
      <c r="AN77" s="108"/>
      <c r="AO77" s="108"/>
      <c r="AP77" s="108"/>
      <c r="AQ77" s="108"/>
      <c r="AR77" s="108"/>
      <c r="AS77" s="108"/>
      <c r="AT77" s="108"/>
      <c r="AU77" s="108"/>
      <c r="AV77" s="108"/>
      <c r="AW77" s="108"/>
      <c r="AX77" s="108"/>
      <c r="AY77" s="108"/>
      <c r="AZ77" s="108"/>
      <c r="BA77" s="108"/>
      <c r="BB77" s="108"/>
      <c r="BC77" s="108"/>
      <c r="BD77" s="108"/>
      <c r="BE77" s="108"/>
      <c r="BF77" s="109"/>
    </row>
    <row r="78" spans="1:58">
      <c r="A78" s="466"/>
      <c r="B78" s="465"/>
      <c r="C78" s="490"/>
      <c r="D78" s="544"/>
      <c r="E78" s="546"/>
      <c r="F78" s="546"/>
      <c r="G78" s="366" t="s">
        <v>167</v>
      </c>
      <c r="H78" s="367">
        <f t="shared" si="101"/>
        <v>0</v>
      </c>
      <c r="I78" s="314"/>
      <c r="J78" s="110"/>
      <c r="K78" s="110"/>
      <c r="L78" s="110"/>
      <c r="M78" s="110"/>
      <c r="N78" s="110"/>
      <c r="O78" s="110"/>
      <c r="P78" s="110"/>
      <c r="Q78" s="110"/>
      <c r="R78" s="110"/>
      <c r="S78" s="110"/>
      <c r="T78" s="110"/>
      <c r="U78" s="110"/>
      <c r="V78" s="110"/>
      <c r="W78" s="110"/>
      <c r="X78" s="110"/>
      <c r="Y78" s="110"/>
      <c r="Z78" s="110"/>
      <c r="AA78" s="110"/>
      <c r="AB78" s="110"/>
      <c r="AC78" s="110"/>
      <c r="AD78" s="110"/>
      <c r="AE78" s="110"/>
      <c r="AF78" s="110"/>
      <c r="AG78" s="110"/>
      <c r="AH78" s="110"/>
      <c r="AI78" s="110"/>
      <c r="AJ78" s="110"/>
      <c r="AK78" s="110"/>
      <c r="AL78" s="110"/>
      <c r="AM78" s="110"/>
      <c r="AN78" s="110"/>
      <c r="AO78" s="110"/>
      <c r="AP78" s="110"/>
      <c r="AQ78" s="110"/>
      <c r="AR78" s="110"/>
      <c r="AS78" s="110"/>
      <c r="AT78" s="110"/>
      <c r="AU78" s="110"/>
      <c r="AV78" s="110"/>
      <c r="AW78" s="110"/>
      <c r="AX78" s="110"/>
      <c r="AY78" s="110"/>
      <c r="AZ78" s="110"/>
      <c r="BA78" s="110"/>
      <c r="BB78" s="110"/>
      <c r="BC78" s="110"/>
      <c r="BD78" s="110"/>
      <c r="BE78" s="110"/>
      <c r="BF78" s="111"/>
    </row>
    <row r="79" spans="1:58">
      <c r="A79" s="464">
        <f t="shared" ref="A79" si="105">A77+1</f>
        <v>35</v>
      </c>
      <c r="B79" s="465"/>
      <c r="C79" s="489" t="s">
        <v>596</v>
      </c>
      <c r="D79" s="516">
        <f>SUM(I79:BF79)</f>
        <v>0</v>
      </c>
      <c r="E79" s="517" t="str">
        <f>IF(D79=0,"",H80/D79)</f>
        <v/>
      </c>
      <c r="F79" s="517" t="str">
        <f>IF(H79=0,"",H80/H79)</f>
        <v/>
      </c>
      <c r="G79" s="97" t="s">
        <v>168</v>
      </c>
      <c r="H79" s="69">
        <f t="shared" si="101"/>
        <v>0</v>
      </c>
      <c r="I79" s="312"/>
      <c r="J79" s="103"/>
      <c r="K79" s="103"/>
      <c r="L79" s="103"/>
      <c r="M79" s="103"/>
      <c r="N79" s="103"/>
      <c r="O79" s="103"/>
      <c r="P79" s="103"/>
      <c r="Q79" s="103"/>
      <c r="R79" s="103"/>
      <c r="S79" s="103"/>
      <c r="T79" s="103"/>
      <c r="U79" s="103"/>
      <c r="V79" s="103"/>
      <c r="W79" s="103"/>
      <c r="X79" s="103"/>
      <c r="Y79" s="103"/>
      <c r="Z79" s="103"/>
      <c r="AA79" s="103"/>
      <c r="AB79" s="103"/>
      <c r="AC79" s="103"/>
      <c r="AD79" s="103"/>
      <c r="AE79" s="103"/>
      <c r="AF79" s="103"/>
      <c r="AG79" s="103"/>
      <c r="AH79" s="103"/>
      <c r="AI79" s="103"/>
      <c r="AJ79" s="103"/>
      <c r="AK79" s="103"/>
      <c r="AL79" s="103"/>
      <c r="AM79" s="103"/>
      <c r="AN79" s="103"/>
      <c r="AO79" s="103"/>
      <c r="AP79" s="103"/>
      <c r="AQ79" s="103"/>
      <c r="AR79" s="103"/>
      <c r="AS79" s="103"/>
      <c r="AT79" s="103"/>
      <c r="AU79" s="103"/>
      <c r="AV79" s="103"/>
      <c r="AW79" s="103"/>
      <c r="AX79" s="103"/>
      <c r="AY79" s="103"/>
      <c r="AZ79" s="103"/>
      <c r="BA79" s="103"/>
      <c r="BB79" s="103"/>
      <c r="BC79" s="103"/>
      <c r="BD79" s="103"/>
      <c r="BE79" s="103"/>
      <c r="BF79" s="104"/>
    </row>
    <row r="80" spans="1:58">
      <c r="A80" s="466"/>
      <c r="B80" s="465"/>
      <c r="C80" s="490"/>
      <c r="D80" s="470"/>
      <c r="E80" s="472"/>
      <c r="F80" s="472"/>
      <c r="G80" s="72" t="s">
        <v>167</v>
      </c>
      <c r="H80" s="68">
        <f t="shared" si="101"/>
        <v>0</v>
      </c>
      <c r="I80" s="105"/>
      <c r="J80" s="106"/>
      <c r="K80" s="106"/>
      <c r="L80" s="106"/>
      <c r="M80" s="106"/>
      <c r="N80" s="106"/>
      <c r="O80" s="106"/>
      <c r="P80" s="106"/>
      <c r="Q80" s="106"/>
      <c r="R80" s="106"/>
      <c r="S80" s="106"/>
      <c r="T80" s="106"/>
      <c r="U80" s="106"/>
      <c r="V80" s="106"/>
      <c r="W80" s="106"/>
      <c r="X80" s="106"/>
      <c r="Y80" s="106"/>
      <c r="Z80" s="106"/>
      <c r="AA80" s="106"/>
      <c r="AB80" s="106"/>
      <c r="AC80" s="106"/>
      <c r="AD80" s="106"/>
      <c r="AE80" s="106"/>
      <c r="AF80" s="106"/>
      <c r="AG80" s="106"/>
      <c r="AH80" s="106"/>
      <c r="AI80" s="106"/>
      <c r="AJ80" s="106"/>
      <c r="AK80" s="106"/>
      <c r="AL80" s="106"/>
      <c r="AM80" s="106"/>
      <c r="AN80" s="106"/>
      <c r="AO80" s="106"/>
      <c r="AP80" s="106"/>
      <c r="AQ80" s="106"/>
      <c r="AR80" s="106"/>
      <c r="AS80" s="106"/>
      <c r="AT80" s="106"/>
      <c r="AU80" s="106"/>
      <c r="AV80" s="106"/>
      <c r="AW80" s="106"/>
      <c r="AX80" s="106"/>
      <c r="AY80" s="106"/>
      <c r="AZ80" s="106"/>
      <c r="BA80" s="106"/>
      <c r="BB80" s="106"/>
      <c r="BC80" s="106"/>
      <c r="BD80" s="106"/>
      <c r="BE80" s="106"/>
      <c r="BF80" s="107"/>
    </row>
    <row r="81" spans="1:58">
      <c r="A81" s="464">
        <f t="shared" ref="A81:A143" si="106">A79+1</f>
        <v>36</v>
      </c>
      <c r="B81" s="465"/>
      <c r="C81" s="489" t="s">
        <v>596</v>
      </c>
      <c r="D81" s="539">
        <f>SUM(I81:BF81)</f>
        <v>0</v>
      </c>
      <c r="E81" s="541" t="str">
        <f>IF(D81=0,"",H82/D81)</f>
        <v/>
      </c>
      <c r="F81" s="541" t="str">
        <f>IF(H81=0,"",H82/H81)</f>
        <v/>
      </c>
      <c r="G81" s="99" t="s">
        <v>168</v>
      </c>
      <c r="H81" s="66">
        <f t="shared" si="101"/>
        <v>0</v>
      </c>
      <c r="I81" s="313"/>
      <c r="J81" s="108"/>
      <c r="K81" s="108"/>
      <c r="L81" s="108"/>
      <c r="M81" s="108"/>
      <c r="N81" s="108"/>
      <c r="O81" s="108"/>
      <c r="P81" s="108"/>
      <c r="Q81" s="108"/>
      <c r="R81" s="108"/>
      <c r="S81" s="108"/>
      <c r="T81" s="108"/>
      <c r="U81" s="108"/>
      <c r="V81" s="108"/>
      <c r="W81" s="108"/>
      <c r="X81" s="108"/>
      <c r="Y81" s="108"/>
      <c r="Z81" s="108"/>
      <c r="AA81" s="108"/>
      <c r="AB81" s="108"/>
      <c r="AC81" s="108"/>
      <c r="AD81" s="108"/>
      <c r="AE81" s="108"/>
      <c r="AF81" s="108"/>
      <c r="AG81" s="108"/>
      <c r="AH81" s="108"/>
      <c r="AI81" s="108"/>
      <c r="AJ81" s="108"/>
      <c r="AK81" s="108"/>
      <c r="AL81" s="108"/>
      <c r="AM81" s="108"/>
      <c r="AN81" s="108"/>
      <c r="AO81" s="108"/>
      <c r="AP81" s="108"/>
      <c r="AQ81" s="108"/>
      <c r="AR81" s="108"/>
      <c r="AS81" s="108"/>
      <c r="AT81" s="108"/>
      <c r="AU81" s="108"/>
      <c r="AV81" s="108"/>
      <c r="AW81" s="108"/>
      <c r="AX81" s="108"/>
      <c r="AY81" s="108"/>
      <c r="AZ81" s="108"/>
      <c r="BA81" s="108"/>
      <c r="BB81" s="108"/>
      <c r="BC81" s="108"/>
      <c r="BD81" s="108"/>
      <c r="BE81" s="108"/>
      <c r="BF81" s="109"/>
    </row>
    <row r="82" spans="1:58">
      <c r="A82" s="466"/>
      <c r="B82" s="465"/>
      <c r="C82" s="490"/>
      <c r="D82" s="540"/>
      <c r="E82" s="542"/>
      <c r="F82" s="542"/>
      <c r="G82" s="100" t="s">
        <v>167</v>
      </c>
      <c r="H82" s="101">
        <f t="shared" si="101"/>
        <v>0</v>
      </c>
      <c r="I82" s="314"/>
      <c r="J82" s="110"/>
      <c r="K82" s="110"/>
      <c r="L82" s="110"/>
      <c r="M82" s="110"/>
      <c r="N82" s="110"/>
      <c r="O82" s="110"/>
      <c r="P82" s="110"/>
      <c r="Q82" s="110"/>
      <c r="R82" s="110"/>
      <c r="S82" s="110"/>
      <c r="T82" s="110"/>
      <c r="U82" s="110"/>
      <c r="V82" s="110"/>
      <c r="W82" s="110"/>
      <c r="X82" s="110"/>
      <c r="Y82" s="110"/>
      <c r="Z82" s="110"/>
      <c r="AA82" s="110"/>
      <c r="AB82" s="110"/>
      <c r="AC82" s="110"/>
      <c r="AD82" s="110"/>
      <c r="AE82" s="110"/>
      <c r="AF82" s="110"/>
      <c r="AG82" s="110"/>
      <c r="AH82" s="110"/>
      <c r="AI82" s="110"/>
      <c r="AJ82" s="110"/>
      <c r="AK82" s="110"/>
      <c r="AL82" s="110"/>
      <c r="AM82" s="110"/>
      <c r="AN82" s="110"/>
      <c r="AO82" s="110"/>
      <c r="AP82" s="110"/>
      <c r="AQ82" s="110"/>
      <c r="AR82" s="110"/>
      <c r="AS82" s="110"/>
      <c r="AT82" s="110"/>
      <c r="AU82" s="110"/>
      <c r="AV82" s="110"/>
      <c r="AW82" s="110"/>
      <c r="AX82" s="110"/>
      <c r="AY82" s="110"/>
      <c r="AZ82" s="110"/>
      <c r="BA82" s="110"/>
      <c r="BB82" s="110"/>
      <c r="BC82" s="110"/>
      <c r="BD82" s="110"/>
      <c r="BE82" s="110"/>
      <c r="BF82" s="111"/>
    </row>
    <row r="83" spans="1:58">
      <c r="A83" s="464">
        <f t="shared" si="106"/>
        <v>37</v>
      </c>
      <c r="B83" s="465"/>
      <c r="C83" s="489" t="s">
        <v>596</v>
      </c>
      <c r="D83" s="516">
        <f>SUM(I83:BF83)</f>
        <v>0</v>
      </c>
      <c r="E83" s="517" t="str">
        <f>IF(D83=0,"",H84/D83)</f>
        <v/>
      </c>
      <c r="F83" s="517" t="str">
        <f>IF(H83=0,"",H84/H83)</f>
        <v/>
      </c>
      <c r="G83" s="97" t="s">
        <v>168</v>
      </c>
      <c r="H83" s="69">
        <f t="shared" si="101"/>
        <v>0</v>
      </c>
      <c r="I83" s="312"/>
      <c r="J83" s="103"/>
      <c r="K83" s="103"/>
      <c r="L83" s="103"/>
      <c r="M83" s="103"/>
      <c r="N83" s="103"/>
      <c r="O83" s="103"/>
      <c r="P83" s="103"/>
      <c r="Q83" s="103"/>
      <c r="R83" s="103"/>
      <c r="S83" s="103"/>
      <c r="T83" s="103"/>
      <c r="U83" s="103"/>
      <c r="V83" s="103"/>
      <c r="W83" s="103"/>
      <c r="X83" s="103"/>
      <c r="Y83" s="103"/>
      <c r="Z83" s="103"/>
      <c r="AA83" s="103"/>
      <c r="AB83" s="103"/>
      <c r="AC83" s="103"/>
      <c r="AD83" s="103"/>
      <c r="AE83" s="103"/>
      <c r="AF83" s="103"/>
      <c r="AG83" s="103"/>
      <c r="AH83" s="103"/>
      <c r="AI83" s="103"/>
      <c r="AJ83" s="103"/>
      <c r="AK83" s="103"/>
      <c r="AL83" s="103"/>
      <c r="AM83" s="103"/>
      <c r="AN83" s="103"/>
      <c r="AO83" s="103"/>
      <c r="AP83" s="103"/>
      <c r="AQ83" s="103"/>
      <c r="AR83" s="103"/>
      <c r="AS83" s="103"/>
      <c r="AT83" s="103"/>
      <c r="AU83" s="103"/>
      <c r="AV83" s="103"/>
      <c r="AW83" s="103"/>
      <c r="AX83" s="103"/>
      <c r="AY83" s="103"/>
      <c r="AZ83" s="103"/>
      <c r="BA83" s="103"/>
      <c r="BB83" s="103"/>
      <c r="BC83" s="103"/>
      <c r="BD83" s="103"/>
      <c r="BE83" s="103"/>
      <c r="BF83" s="104"/>
    </row>
    <row r="84" spans="1:58">
      <c r="A84" s="466"/>
      <c r="B84" s="465"/>
      <c r="C84" s="490"/>
      <c r="D84" s="470"/>
      <c r="E84" s="472"/>
      <c r="F84" s="472"/>
      <c r="G84" s="72" t="s">
        <v>167</v>
      </c>
      <c r="H84" s="68">
        <f t="shared" si="101"/>
        <v>0</v>
      </c>
      <c r="I84" s="105"/>
      <c r="J84" s="106"/>
      <c r="K84" s="106"/>
      <c r="L84" s="106"/>
      <c r="M84" s="106"/>
      <c r="N84" s="106"/>
      <c r="O84" s="106"/>
      <c r="P84" s="106"/>
      <c r="Q84" s="106"/>
      <c r="R84" s="106"/>
      <c r="S84" s="106"/>
      <c r="T84" s="106"/>
      <c r="U84" s="106"/>
      <c r="V84" s="106"/>
      <c r="W84" s="106"/>
      <c r="X84" s="106"/>
      <c r="Y84" s="106"/>
      <c r="Z84" s="106"/>
      <c r="AA84" s="106"/>
      <c r="AB84" s="106"/>
      <c r="AC84" s="106"/>
      <c r="AD84" s="106"/>
      <c r="AE84" s="106"/>
      <c r="AF84" s="106"/>
      <c r="AG84" s="106"/>
      <c r="AH84" s="106"/>
      <c r="AI84" s="106"/>
      <c r="AJ84" s="106"/>
      <c r="AK84" s="106"/>
      <c r="AL84" s="106"/>
      <c r="AM84" s="106"/>
      <c r="AN84" s="106"/>
      <c r="AO84" s="106"/>
      <c r="AP84" s="106"/>
      <c r="AQ84" s="106"/>
      <c r="AR84" s="106"/>
      <c r="AS84" s="106"/>
      <c r="AT84" s="106"/>
      <c r="AU84" s="106"/>
      <c r="AV84" s="106"/>
      <c r="AW84" s="106"/>
      <c r="AX84" s="106"/>
      <c r="AY84" s="106"/>
      <c r="AZ84" s="106"/>
      <c r="BA84" s="106"/>
      <c r="BB84" s="106"/>
      <c r="BC84" s="106"/>
      <c r="BD84" s="106"/>
      <c r="BE84" s="106"/>
      <c r="BF84" s="107"/>
    </row>
    <row r="85" spans="1:58">
      <c r="A85" s="464">
        <f t="shared" si="106"/>
        <v>38</v>
      </c>
      <c r="B85" s="465"/>
      <c r="C85" s="489" t="s">
        <v>596</v>
      </c>
      <c r="D85" s="539">
        <f>SUM(I85:BF85)</f>
        <v>0</v>
      </c>
      <c r="E85" s="541" t="str">
        <f>IF(D85=0,"",H86/D85)</f>
        <v/>
      </c>
      <c r="F85" s="541" t="str">
        <f>IF(H85=0,"",H86/H85)</f>
        <v/>
      </c>
      <c r="G85" s="99" t="s">
        <v>168</v>
      </c>
      <c r="H85" s="66">
        <f t="shared" si="101"/>
        <v>0</v>
      </c>
      <c r="I85" s="313"/>
      <c r="J85" s="108"/>
      <c r="K85" s="108"/>
      <c r="L85" s="108"/>
      <c r="M85" s="108"/>
      <c r="N85" s="108"/>
      <c r="O85" s="108"/>
      <c r="P85" s="108"/>
      <c r="Q85" s="108"/>
      <c r="R85" s="108"/>
      <c r="S85" s="108"/>
      <c r="T85" s="108"/>
      <c r="U85" s="108"/>
      <c r="V85" s="108"/>
      <c r="W85" s="108"/>
      <c r="X85" s="108"/>
      <c r="Y85" s="108"/>
      <c r="Z85" s="108"/>
      <c r="AA85" s="108"/>
      <c r="AB85" s="108"/>
      <c r="AC85" s="108"/>
      <c r="AD85" s="108"/>
      <c r="AE85" s="108"/>
      <c r="AF85" s="108"/>
      <c r="AG85" s="108"/>
      <c r="AH85" s="108"/>
      <c r="AI85" s="108"/>
      <c r="AJ85" s="108"/>
      <c r="AK85" s="108"/>
      <c r="AL85" s="108"/>
      <c r="AM85" s="108"/>
      <c r="AN85" s="108"/>
      <c r="AO85" s="108"/>
      <c r="AP85" s="108"/>
      <c r="AQ85" s="108"/>
      <c r="AR85" s="108"/>
      <c r="AS85" s="108"/>
      <c r="AT85" s="108"/>
      <c r="AU85" s="108"/>
      <c r="AV85" s="108"/>
      <c r="AW85" s="108"/>
      <c r="AX85" s="108"/>
      <c r="AY85" s="108"/>
      <c r="AZ85" s="108"/>
      <c r="BA85" s="108"/>
      <c r="BB85" s="108"/>
      <c r="BC85" s="108"/>
      <c r="BD85" s="108"/>
      <c r="BE85" s="108"/>
      <c r="BF85" s="109"/>
    </row>
    <row r="86" spans="1:58">
      <c r="A86" s="466"/>
      <c r="B86" s="465"/>
      <c r="C86" s="490"/>
      <c r="D86" s="540"/>
      <c r="E86" s="542"/>
      <c r="F86" s="542"/>
      <c r="G86" s="100" t="s">
        <v>167</v>
      </c>
      <c r="H86" s="101">
        <f t="shared" si="101"/>
        <v>0</v>
      </c>
      <c r="I86" s="314"/>
      <c r="J86" s="110"/>
      <c r="K86" s="110"/>
      <c r="L86" s="110"/>
      <c r="M86" s="110"/>
      <c r="N86" s="110"/>
      <c r="O86" s="110"/>
      <c r="P86" s="110"/>
      <c r="Q86" s="110"/>
      <c r="R86" s="110"/>
      <c r="S86" s="110"/>
      <c r="T86" s="110"/>
      <c r="U86" s="110"/>
      <c r="V86" s="110"/>
      <c r="W86" s="110"/>
      <c r="X86" s="110"/>
      <c r="Y86" s="110"/>
      <c r="Z86" s="110"/>
      <c r="AA86" s="110"/>
      <c r="AB86" s="110"/>
      <c r="AC86" s="110"/>
      <c r="AD86" s="110"/>
      <c r="AE86" s="110"/>
      <c r="AF86" s="110"/>
      <c r="AG86" s="110"/>
      <c r="AH86" s="110"/>
      <c r="AI86" s="110"/>
      <c r="AJ86" s="110"/>
      <c r="AK86" s="110"/>
      <c r="AL86" s="110"/>
      <c r="AM86" s="110"/>
      <c r="AN86" s="110"/>
      <c r="AO86" s="110"/>
      <c r="AP86" s="110"/>
      <c r="AQ86" s="110"/>
      <c r="AR86" s="110"/>
      <c r="AS86" s="110"/>
      <c r="AT86" s="110"/>
      <c r="AU86" s="110"/>
      <c r="AV86" s="110"/>
      <c r="AW86" s="110"/>
      <c r="AX86" s="110"/>
      <c r="AY86" s="110"/>
      <c r="AZ86" s="110"/>
      <c r="BA86" s="110"/>
      <c r="BB86" s="110"/>
      <c r="BC86" s="110"/>
      <c r="BD86" s="110"/>
      <c r="BE86" s="110"/>
      <c r="BF86" s="111"/>
    </row>
    <row r="87" spans="1:58">
      <c r="A87" s="464">
        <f t="shared" si="106"/>
        <v>39</v>
      </c>
      <c r="B87" s="465"/>
      <c r="C87" s="489" t="s">
        <v>596</v>
      </c>
      <c r="D87" s="516">
        <f>SUM(I87:BF87)</f>
        <v>0</v>
      </c>
      <c r="E87" s="517" t="str">
        <f>IF(D87=0,"",H88/D87)</f>
        <v/>
      </c>
      <c r="F87" s="517" t="str">
        <f>IF(H87=0,"",H88/H87)</f>
        <v/>
      </c>
      <c r="G87" s="97" t="s">
        <v>168</v>
      </c>
      <c r="H87" s="69">
        <f t="shared" si="101"/>
        <v>0</v>
      </c>
      <c r="I87" s="312"/>
      <c r="J87" s="103"/>
      <c r="K87" s="103"/>
      <c r="L87" s="103"/>
      <c r="M87" s="103"/>
      <c r="N87" s="103"/>
      <c r="O87" s="103"/>
      <c r="P87" s="103"/>
      <c r="Q87" s="103"/>
      <c r="R87" s="103"/>
      <c r="S87" s="103"/>
      <c r="T87" s="103"/>
      <c r="U87" s="103"/>
      <c r="V87" s="103"/>
      <c r="W87" s="103"/>
      <c r="X87" s="103"/>
      <c r="Y87" s="103"/>
      <c r="Z87" s="103"/>
      <c r="AA87" s="103"/>
      <c r="AB87" s="103"/>
      <c r="AC87" s="103"/>
      <c r="AD87" s="103"/>
      <c r="AE87" s="103"/>
      <c r="AF87" s="103"/>
      <c r="AG87" s="103"/>
      <c r="AH87" s="103"/>
      <c r="AI87" s="103"/>
      <c r="AJ87" s="103"/>
      <c r="AK87" s="103"/>
      <c r="AL87" s="103"/>
      <c r="AM87" s="103"/>
      <c r="AN87" s="103"/>
      <c r="AO87" s="103"/>
      <c r="AP87" s="103"/>
      <c r="AQ87" s="103"/>
      <c r="AR87" s="103"/>
      <c r="AS87" s="103"/>
      <c r="AT87" s="103"/>
      <c r="AU87" s="103"/>
      <c r="AV87" s="103"/>
      <c r="AW87" s="103"/>
      <c r="AX87" s="103"/>
      <c r="AY87" s="103"/>
      <c r="AZ87" s="103"/>
      <c r="BA87" s="103"/>
      <c r="BB87" s="103"/>
      <c r="BC87" s="103"/>
      <c r="BD87" s="103"/>
      <c r="BE87" s="103"/>
      <c r="BF87" s="104"/>
    </row>
    <row r="88" spans="1:58">
      <c r="A88" s="466"/>
      <c r="B88" s="465"/>
      <c r="C88" s="490"/>
      <c r="D88" s="470"/>
      <c r="E88" s="472"/>
      <c r="F88" s="472"/>
      <c r="G88" s="72" t="s">
        <v>167</v>
      </c>
      <c r="H88" s="68">
        <f t="shared" si="101"/>
        <v>0</v>
      </c>
      <c r="I88" s="105"/>
      <c r="J88" s="106"/>
      <c r="K88" s="106"/>
      <c r="L88" s="106"/>
      <c r="M88" s="106"/>
      <c r="N88" s="106"/>
      <c r="O88" s="106"/>
      <c r="P88" s="106"/>
      <c r="Q88" s="106"/>
      <c r="R88" s="106"/>
      <c r="S88" s="106"/>
      <c r="T88" s="106"/>
      <c r="U88" s="106"/>
      <c r="V88" s="106"/>
      <c r="W88" s="106"/>
      <c r="X88" s="106"/>
      <c r="Y88" s="106"/>
      <c r="Z88" s="106"/>
      <c r="AA88" s="106"/>
      <c r="AB88" s="106"/>
      <c r="AC88" s="106"/>
      <c r="AD88" s="106"/>
      <c r="AE88" s="106"/>
      <c r="AF88" s="106"/>
      <c r="AG88" s="106"/>
      <c r="AH88" s="106"/>
      <c r="AI88" s="106"/>
      <c r="AJ88" s="106"/>
      <c r="AK88" s="106"/>
      <c r="AL88" s="106"/>
      <c r="AM88" s="106"/>
      <c r="AN88" s="106"/>
      <c r="AO88" s="106"/>
      <c r="AP88" s="106"/>
      <c r="AQ88" s="106"/>
      <c r="AR88" s="106"/>
      <c r="AS88" s="106"/>
      <c r="AT88" s="106"/>
      <c r="AU88" s="106"/>
      <c r="AV88" s="106"/>
      <c r="AW88" s="106"/>
      <c r="AX88" s="106"/>
      <c r="AY88" s="106"/>
      <c r="AZ88" s="106"/>
      <c r="BA88" s="106"/>
      <c r="BB88" s="106"/>
      <c r="BC88" s="106"/>
      <c r="BD88" s="106"/>
      <c r="BE88" s="106"/>
      <c r="BF88" s="107"/>
    </row>
    <row r="89" spans="1:58">
      <c r="A89" s="464">
        <f t="shared" si="106"/>
        <v>40</v>
      </c>
      <c r="B89" s="465"/>
      <c r="C89" s="489" t="s">
        <v>596</v>
      </c>
      <c r="D89" s="516">
        <f>SUM(I89:BF89)</f>
        <v>0</v>
      </c>
      <c r="E89" s="517" t="str">
        <f>IF(D89=0,"",H90/D89)</f>
        <v/>
      </c>
      <c r="F89" s="517"/>
      <c r="G89" s="97" t="s">
        <v>168</v>
      </c>
      <c r="H89" s="69">
        <f t="shared" si="101"/>
        <v>0</v>
      </c>
      <c r="I89" s="312"/>
      <c r="J89" s="103"/>
      <c r="K89" s="103"/>
      <c r="L89" s="103"/>
      <c r="M89" s="103"/>
      <c r="N89" s="103"/>
      <c r="O89" s="103"/>
      <c r="P89" s="103"/>
      <c r="Q89" s="103"/>
      <c r="R89" s="103"/>
      <c r="S89" s="103"/>
      <c r="T89" s="103"/>
      <c r="U89" s="103"/>
      <c r="V89" s="103"/>
      <c r="W89" s="103"/>
      <c r="X89" s="103"/>
      <c r="Y89" s="103"/>
      <c r="Z89" s="103"/>
      <c r="AA89" s="103"/>
      <c r="AB89" s="103"/>
      <c r="AC89" s="103"/>
      <c r="AD89" s="103"/>
      <c r="AE89" s="103"/>
      <c r="AF89" s="103"/>
      <c r="AG89" s="103"/>
      <c r="AH89" s="103"/>
      <c r="AI89" s="103"/>
      <c r="AJ89" s="103"/>
      <c r="AK89" s="103"/>
      <c r="AL89" s="103"/>
      <c r="AM89" s="103"/>
      <c r="AN89" s="103"/>
      <c r="AO89" s="103"/>
      <c r="AP89" s="103"/>
      <c r="AQ89" s="103"/>
      <c r="AR89" s="103"/>
      <c r="AS89" s="103"/>
      <c r="AT89" s="103"/>
      <c r="AU89" s="103"/>
      <c r="AV89" s="103"/>
      <c r="AW89" s="103"/>
      <c r="AX89" s="103"/>
      <c r="AY89" s="103"/>
      <c r="AZ89" s="103"/>
      <c r="BA89" s="103"/>
      <c r="BB89" s="103"/>
      <c r="BC89" s="103"/>
      <c r="BD89" s="103"/>
      <c r="BE89" s="103"/>
      <c r="BF89" s="104"/>
    </row>
    <row r="90" spans="1:58">
      <c r="A90" s="466"/>
      <c r="B90" s="465"/>
      <c r="C90" s="490"/>
      <c r="D90" s="470"/>
      <c r="E90" s="472"/>
      <c r="F90" s="472"/>
      <c r="G90" s="72" t="s">
        <v>167</v>
      </c>
      <c r="H90" s="68">
        <f t="shared" si="101"/>
        <v>0</v>
      </c>
      <c r="I90" s="105"/>
      <c r="J90" s="106"/>
      <c r="K90" s="106"/>
      <c r="L90" s="106"/>
      <c r="M90" s="106"/>
      <c r="N90" s="106"/>
      <c r="O90" s="106"/>
      <c r="P90" s="106"/>
      <c r="Q90" s="106"/>
      <c r="R90" s="106"/>
      <c r="S90" s="106"/>
      <c r="T90" s="106"/>
      <c r="U90" s="106"/>
      <c r="V90" s="106"/>
      <c r="W90" s="106"/>
      <c r="X90" s="106"/>
      <c r="Y90" s="106"/>
      <c r="Z90" s="106"/>
      <c r="AA90" s="106"/>
      <c r="AB90" s="106"/>
      <c r="AC90" s="106"/>
      <c r="AD90" s="106"/>
      <c r="AE90" s="106"/>
      <c r="AF90" s="106"/>
      <c r="AG90" s="106"/>
      <c r="AH90" s="106"/>
      <c r="AI90" s="106"/>
      <c r="AJ90" s="106"/>
      <c r="AK90" s="106"/>
      <c r="AL90" s="106"/>
      <c r="AM90" s="106"/>
      <c r="AN90" s="106"/>
      <c r="AO90" s="106"/>
      <c r="AP90" s="106"/>
      <c r="AQ90" s="106"/>
      <c r="AR90" s="106"/>
      <c r="AS90" s="106"/>
      <c r="AT90" s="106"/>
      <c r="AU90" s="106"/>
      <c r="AV90" s="106"/>
      <c r="AW90" s="106"/>
      <c r="AX90" s="106"/>
      <c r="AY90" s="106"/>
      <c r="AZ90" s="106"/>
      <c r="BA90" s="106"/>
      <c r="BB90" s="106"/>
      <c r="BC90" s="106"/>
      <c r="BD90" s="106"/>
      <c r="BE90" s="106"/>
      <c r="BF90" s="107"/>
    </row>
    <row r="91" spans="1:58">
      <c r="A91" s="464">
        <f t="shared" si="106"/>
        <v>41</v>
      </c>
      <c r="B91" s="465"/>
      <c r="C91" s="489" t="s">
        <v>596</v>
      </c>
      <c r="D91" s="516">
        <f>SUM(I91:BF91)</f>
        <v>0</v>
      </c>
      <c r="E91" s="517" t="str">
        <f>IF(D91=0,"",H92/D91)</f>
        <v/>
      </c>
      <c r="F91" s="517" t="str">
        <f>IF(H91=0,"",H92/H91)</f>
        <v/>
      </c>
      <c r="G91" s="97" t="s">
        <v>168</v>
      </c>
      <c r="H91" s="69">
        <f t="shared" si="101"/>
        <v>0</v>
      </c>
      <c r="I91" s="312"/>
      <c r="J91" s="103"/>
      <c r="K91" s="103"/>
      <c r="L91" s="103"/>
      <c r="M91" s="103"/>
      <c r="N91" s="103"/>
      <c r="O91" s="103"/>
      <c r="P91" s="103"/>
      <c r="Q91" s="103"/>
      <c r="R91" s="103"/>
      <c r="S91" s="103"/>
      <c r="T91" s="103"/>
      <c r="U91" s="103"/>
      <c r="V91" s="103"/>
      <c r="W91" s="103"/>
      <c r="X91" s="103"/>
      <c r="Y91" s="103"/>
      <c r="Z91" s="103"/>
      <c r="AA91" s="103"/>
      <c r="AB91" s="103"/>
      <c r="AC91" s="103"/>
      <c r="AD91" s="103"/>
      <c r="AE91" s="103"/>
      <c r="AF91" s="103"/>
      <c r="AG91" s="103"/>
      <c r="AH91" s="103"/>
      <c r="AI91" s="103"/>
      <c r="AJ91" s="103"/>
      <c r="AK91" s="103"/>
      <c r="AL91" s="103"/>
      <c r="AM91" s="103"/>
      <c r="AN91" s="103"/>
      <c r="AO91" s="103"/>
      <c r="AP91" s="103"/>
      <c r="AQ91" s="103"/>
      <c r="AR91" s="103"/>
      <c r="AS91" s="103"/>
      <c r="AT91" s="103"/>
      <c r="AU91" s="103"/>
      <c r="AV91" s="103"/>
      <c r="AW91" s="103"/>
      <c r="AX91" s="103"/>
      <c r="AY91" s="103"/>
      <c r="AZ91" s="103"/>
      <c r="BA91" s="103"/>
      <c r="BB91" s="103"/>
      <c r="BC91" s="103"/>
      <c r="BD91" s="103"/>
      <c r="BE91" s="103"/>
      <c r="BF91" s="104"/>
    </row>
    <row r="92" spans="1:58">
      <c r="A92" s="466"/>
      <c r="B92" s="465"/>
      <c r="C92" s="490"/>
      <c r="D92" s="470"/>
      <c r="E92" s="472"/>
      <c r="F92" s="472"/>
      <c r="G92" s="72" t="s">
        <v>167</v>
      </c>
      <c r="H92" s="68">
        <f t="shared" si="101"/>
        <v>0</v>
      </c>
      <c r="I92" s="105"/>
      <c r="J92" s="106"/>
      <c r="K92" s="106"/>
      <c r="L92" s="106"/>
      <c r="M92" s="106"/>
      <c r="N92" s="106"/>
      <c r="O92" s="106"/>
      <c r="P92" s="106"/>
      <c r="Q92" s="106"/>
      <c r="R92" s="106"/>
      <c r="S92" s="106"/>
      <c r="T92" s="106"/>
      <c r="U92" s="106"/>
      <c r="V92" s="106"/>
      <c r="W92" s="106"/>
      <c r="X92" s="106"/>
      <c r="Y92" s="106"/>
      <c r="Z92" s="106"/>
      <c r="AA92" s="106"/>
      <c r="AB92" s="106"/>
      <c r="AC92" s="106"/>
      <c r="AD92" s="106"/>
      <c r="AE92" s="106"/>
      <c r="AF92" s="106"/>
      <c r="AG92" s="106"/>
      <c r="AH92" s="106"/>
      <c r="AI92" s="106"/>
      <c r="AJ92" s="106"/>
      <c r="AK92" s="106"/>
      <c r="AL92" s="106"/>
      <c r="AM92" s="106"/>
      <c r="AN92" s="106"/>
      <c r="AO92" s="106"/>
      <c r="AP92" s="106"/>
      <c r="AQ92" s="106"/>
      <c r="AR92" s="106"/>
      <c r="AS92" s="106"/>
      <c r="AT92" s="106"/>
      <c r="AU92" s="106"/>
      <c r="AV92" s="106"/>
      <c r="AW92" s="106"/>
      <c r="AX92" s="106"/>
      <c r="AY92" s="106"/>
      <c r="AZ92" s="106"/>
      <c r="BA92" s="106"/>
      <c r="BB92" s="106"/>
      <c r="BC92" s="106"/>
      <c r="BD92" s="106"/>
      <c r="BE92" s="106"/>
      <c r="BF92" s="107"/>
    </row>
    <row r="93" spans="1:58">
      <c r="A93" s="464">
        <f t="shared" si="106"/>
        <v>42</v>
      </c>
      <c r="B93" s="465"/>
      <c r="C93" s="489" t="s">
        <v>596</v>
      </c>
      <c r="D93" s="515">
        <f>SUM(I93:BF93)</f>
        <v>0</v>
      </c>
      <c r="E93" s="514" t="str">
        <f>IF(D93=0,"",H94/D93)</f>
        <v/>
      </c>
      <c r="F93" s="514" t="str">
        <f>IF(H93=0,"",H94/H93)</f>
        <v/>
      </c>
      <c r="G93" s="362" t="s">
        <v>168</v>
      </c>
      <c r="H93" s="368">
        <f t="shared" si="101"/>
        <v>0</v>
      </c>
      <c r="I93" s="312"/>
      <c r="J93" s="103"/>
      <c r="K93" s="103"/>
      <c r="L93" s="103"/>
      <c r="M93" s="103"/>
      <c r="N93" s="103"/>
      <c r="O93" s="103"/>
      <c r="P93" s="103"/>
      <c r="Q93" s="103"/>
      <c r="R93" s="103"/>
      <c r="S93" s="103"/>
      <c r="T93" s="103"/>
      <c r="U93" s="103"/>
      <c r="V93" s="103"/>
      <c r="W93" s="103"/>
      <c r="X93" s="103"/>
      <c r="Y93" s="103"/>
      <c r="Z93" s="103"/>
      <c r="AA93" s="103"/>
      <c r="AB93" s="103"/>
      <c r="AC93" s="103"/>
      <c r="AD93" s="103"/>
      <c r="AE93" s="103"/>
      <c r="AF93" s="103"/>
      <c r="AG93" s="103"/>
      <c r="AH93" s="103"/>
      <c r="AI93" s="103"/>
      <c r="AJ93" s="103"/>
      <c r="AK93" s="103"/>
      <c r="AL93" s="103"/>
      <c r="AM93" s="103"/>
      <c r="AN93" s="103"/>
      <c r="AO93" s="103"/>
      <c r="AP93" s="103"/>
      <c r="AQ93" s="103"/>
      <c r="AR93" s="103"/>
      <c r="AS93" s="103"/>
      <c r="AT93" s="103"/>
      <c r="AU93" s="103"/>
      <c r="AV93" s="103"/>
      <c r="AW93" s="103"/>
      <c r="AX93" s="103"/>
      <c r="AY93" s="103"/>
      <c r="AZ93" s="103"/>
      <c r="BA93" s="103"/>
      <c r="BB93" s="103"/>
      <c r="BC93" s="103"/>
      <c r="BD93" s="103"/>
      <c r="BE93" s="103"/>
      <c r="BF93" s="104"/>
    </row>
    <row r="94" spans="1:58">
      <c r="A94" s="466"/>
      <c r="B94" s="465"/>
      <c r="C94" s="490"/>
      <c r="D94" s="492"/>
      <c r="E94" s="494"/>
      <c r="F94" s="494"/>
      <c r="G94" s="363" t="s">
        <v>167</v>
      </c>
      <c r="H94" s="369">
        <f t="shared" si="101"/>
        <v>0</v>
      </c>
      <c r="I94" s="105"/>
      <c r="J94" s="106"/>
      <c r="K94" s="106"/>
      <c r="L94" s="106"/>
      <c r="M94" s="106"/>
      <c r="N94" s="106"/>
      <c r="O94" s="106"/>
      <c r="P94" s="106"/>
      <c r="Q94" s="106"/>
      <c r="R94" s="106"/>
      <c r="S94" s="106"/>
      <c r="T94" s="106"/>
      <c r="U94" s="106"/>
      <c r="V94" s="106"/>
      <c r="W94" s="106"/>
      <c r="X94" s="106"/>
      <c r="Y94" s="106"/>
      <c r="Z94" s="106"/>
      <c r="AA94" s="106"/>
      <c r="AB94" s="106"/>
      <c r="AC94" s="106"/>
      <c r="AD94" s="106"/>
      <c r="AE94" s="106"/>
      <c r="AF94" s="106"/>
      <c r="AG94" s="106"/>
      <c r="AH94" s="106"/>
      <c r="AI94" s="106"/>
      <c r="AJ94" s="106"/>
      <c r="AK94" s="106"/>
      <c r="AL94" s="106"/>
      <c r="AM94" s="106"/>
      <c r="AN94" s="106"/>
      <c r="AO94" s="106"/>
      <c r="AP94" s="106"/>
      <c r="AQ94" s="106"/>
      <c r="AR94" s="106"/>
      <c r="AS94" s="106"/>
      <c r="AT94" s="106"/>
      <c r="AU94" s="106"/>
      <c r="AV94" s="106"/>
      <c r="AW94" s="106"/>
      <c r="AX94" s="106"/>
      <c r="AY94" s="106"/>
      <c r="AZ94" s="106"/>
      <c r="BA94" s="106"/>
      <c r="BB94" s="106"/>
      <c r="BC94" s="106"/>
      <c r="BD94" s="106"/>
      <c r="BE94" s="106"/>
      <c r="BF94" s="107"/>
    </row>
    <row r="95" spans="1:58">
      <c r="A95" s="464">
        <f t="shared" si="106"/>
        <v>43</v>
      </c>
      <c r="B95" s="465"/>
      <c r="C95" s="489" t="s">
        <v>596</v>
      </c>
      <c r="D95" s="515">
        <f>SUM(I95:BF95)</f>
        <v>0</v>
      </c>
      <c r="E95" s="514" t="str">
        <f>IF(D95=0,"",H96/D95)</f>
        <v/>
      </c>
      <c r="F95" s="514" t="str">
        <f>IF(H95=0,"",H96/H95)</f>
        <v/>
      </c>
      <c r="G95" s="362" t="s">
        <v>168</v>
      </c>
      <c r="H95" s="368">
        <f t="shared" si="101"/>
        <v>0</v>
      </c>
      <c r="I95" s="312"/>
      <c r="J95" s="103"/>
      <c r="K95" s="103"/>
      <c r="L95" s="103"/>
      <c r="M95" s="103"/>
      <c r="N95" s="103"/>
      <c r="O95" s="103"/>
      <c r="P95" s="103"/>
      <c r="Q95" s="103"/>
      <c r="R95" s="103"/>
      <c r="S95" s="103"/>
      <c r="T95" s="103"/>
      <c r="U95" s="103"/>
      <c r="V95" s="103"/>
      <c r="W95" s="103"/>
      <c r="X95" s="103"/>
      <c r="Y95" s="103"/>
      <c r="Z95" s="103"/>
      <c r="AA95" s="103"/>
      <c r="AB95" s="103"/>
      <c r="AC95" s="103"/>
      <c r="AD95" s="103"/>
      <c r="AE95" s="103"/>
      <c r="AF95" s="103"/>
      <c r="AG95" s="103"/>
      <c r="AH95" s="103"/>
      <c r="AI95" s="103"/>
      <c r="AJ95" s="103"/>
      <c r="AK95" s="103"/>
      <c r="AL95" s="103"/>
      <c r="AM95" s="103"/>
      <c r="AN95" s="103"/>
      <c r="AO95" s="103"/>
      <c r="AP95" s="103"/>
      <c r="AQ95" s="103"/>
      <c r="AR95" s="103"/>
      <c r="AS95" s="103"/>
      <c r="AT95" s="103"/>
      <c r="AU95" s="103"/>
      <c r="AV95" s="103"/>
      <c r="AW95" s="103"/>
      <c r="AX95" s="103"/>
      <c r="AY95" s="103"/>
      <c r="AZ95" s="103"/>
      <c r="BA95" s="103"/>
      <c r="BB95" s="103"/>
      <c r="BC95" s="103"/>
      <c r="BD95" s="103"/>
      <c r="BE95" s="103"/>
      <c r="BF95" s="104"/>
    </row>
    <row r="96" spans="1:58">
      <c r="A96" s="466"/>
      <c r="B96" s="465"/>
      <c r="C96" s="490"/>
      <c r="D96" s="492"/>
      <c r="E96" s="494"/>
      <c r="F96" s="494"/>
      <c r="G96" s="363" t="s">
        <v>167</v>
      </c>
      <c r="H96" s="369">
        <f t="shared" si="101"/>
        <v>0</v>
      </c>
      <c r="I96" s="105"/>
      <c r="J96" s="106"/>
      <c r="K96" s="106"/>
      <c r="L96" s="106"/>
      <c r="M96" s="106"/>
      <c r="N96" s="106"/>
      <c r="O96" s="106"/>
      <c r="P96" s="106"/>
      <c r="Q96" s="106"/>
      <c r="R96" s="106"/>
      <c r="S96" s="106"/>
      <c r="T96" s="106"/>
      <c r="U96" s="106"/>
      <c r="V96" s="106"/>
      <c r="W96" s="106"/>
      <c r="X96" s="106"/>
      <c r="Y96" s="106"/>
      <c r="Z96" s="106"/>
      <c r="AA96" s="106"/>
      <c r="AB96" s="106"/>
      <c r="AC96" s="106"/>
      <c r="AD96" s="106"/>
      <c r="AE96" s="106"/>
      <c r="AF96" s="106"/>
      <c r="AG96" s="106"/>
      <c r="AH96" s="106"/>
      <c r="AI96" s="106"/>
      <c r="AJ96" s="106"/>
      <c r="AK96" s="106"/>
      <c r="AL96" s="106"/>
      <c r="AM96" s="106"/>
      <c r="AN96" s="106"/>
      <c r="AO96" s="106"/>
      <c r="AP96" s="106"/>
      <c r="AQ96" s="106"/>
      <c r="AR96" s="106"/>
      <c r="AS96" s="106"/>
      <c r="AT96" s="106"/>
      <c r="AU96" s="106"/>
      <c r="AV96" s="106"/>
      <c r="AW96" s="106"/>
      <c r="AX96" s="106"/>
      <c r="AY96" s="106"/>
      <c r="AZ96" s="106"/>
      <c r="BA96" s="106"/>
      <c r="BB96" s="106"/>
      <c r="BC96" s="106"/>
      <c r="BD96" s="106"/>
      <c r="BE96" s="106"/>
      <c r="BF96" s="107"/>
    </row>
    <row r="97" spans="1:58">
      <c r="A97" s="464">
        <f t="shared" si="106"/>
        <v>44</v>
      </c>
      <c r="B97" s="465"/>
      <c r="C97" s="489" t="s">
        <v>596</v>
      </c>
      <c r="D97" s="515">
        <f>SUM(I97:BF97)</f>
        <v>0</v>
      </c>
      <c r="E97" s="514" t="str">
        <f>IF(D97=0,"",H98/D97)</f>
        <v/>
      </c>
      <c r="F97" s="514" t="str">
        <f>IF(H97=0,"",H98/H97)</f>
        <v/>
      </c>
      <c r="G97" s="362" t="s">
        <v>168</v>
      </c>
      <c r="H97" s="368">
        <f t="shared" ref="H97:H102" si="107">SUMPRODUCT((I$8:BF$8&lt;&gt;"")*1,(I$8:BF$8&lt;=$O$2)*1,I97:BF97)</f>
        <v>0</v>
      </c>
      <c r="I97" s="312"/>
      <c r="J97" s="103"/>
      <c r="K97" s="103"/>
      <c r="L97" s="103"/>
      <c r="M97" s="103"/>
      <c r="N97" s="103"/>
      <c r="O97" s="103"/>
      <c r="P97" s="103"/>
      <c r="Q97" s="103"/>
      <c r="R97" s="103"/>
      <c r="S97" s="103"/>
      <c r="T97" s="103"/>
      <c r="U97" s="103"/>
      <c r="V97" s="103"/>
      <c r="W97" s="103"/>
      <c r="X97" s="103"/>
      <c r="Y97" s="103"/>
      <c r="Z97" s="103"/>
      <c r="AA97" s="103"/>
      <c r="AB97" s="103"/>
      <c r="AC97" s="103"/>
      <c r="AD97" s="103"/>
      <c r="AE97" s="103"/>
      <c r="AF97" s="103"/>
      <c r="AG97" s="103"/>
      <c r="AH97" s="103"/>
      <c r="AI97" s="103"/>
      <c r="AJ97" s="103"/>
      <c r="AK97" s="103"/>
      <c r="AL97" s="103"/>
      <c r="AM97" s="103"/>
      <c r="AN97" s="103"/>
      <c r="AO97" s="103"/>
      <c r="AP97" s="103"/>
      <c r="AQ97" s="103"/>
      <c r="AR97" s="103"/>
      <c r="AS97" s="103"/>
      <c r="AT97" s="103"/>
      <c r="AU97" s="103"/>
      <c r="AV97" s="103"/>
      <c r="AW97" s="103"/>
      <c r="AX97" s="103"/>
      <c r="AY97" s="103"/>
      <c r="AZ97" s="103"/>
      <c r="BA97" s="103"/>
      <c r="BB97" s="103"/>
      <c r="BC97" s="103"/>
      <c r="BD97" s="103"/>
      <c r="BE97" s="103"/>
      <c r="BF97" s="104"/>
    </row>
    <row r="98" spans="1:58">
      <c r="A98" s="466"/>
      <c r="B98" s="465"/>
      <c r="C98" s="490"/>
      <c r="D98" s="492"/>
      <c r="E98" s="494"/>
      <c r="F98" s="494"/>
      <c r="G98" s="363" t="s">
        <v>167</v>
      </c>
      <c r="H98" s="369">
        <f t="shared" si="107"/>
        <v>0</v>
      </c>
      <c r="I98" s="105"/>
      <c r="J98" s="106"/>
      <c r="K98" s="106"/>
      <c r="L98" s="106"/>
      <c r="M98" s="106"/>
      <c r="N98" s="106"/>
      <c r="O98" s="106"/>
      <c r="P98" s="106"/>
      <c r="Q98" s="106"/>
      <c r="R98" s="106"/>
      <c r="S98" s="106"/>
      <c r="T98" s="106"/>
      <c r="U98" s="106"/>
      <c r="V98" s="106"/>
      <c r="W98" s="106"/>
      <c r="X98" s="106"/>
      <c r="Y98" s="106"/>
      <c r="Z98" s="106"/>
      <c r="AA98" s="106"/>
      <c r="AB98" s="106"/>
      <c r="AC98" s="106"/>
      <c r="AD98" s="106"/>
      <c r="AE98" s="106"/>
      <c r="AF98" s="106"/>
      <c r="AG98" s="106"/>
      <c r="AH98" s="106"/>
      <c r="AI98" s="106"/>
      <c r="AJ98" s="106"/>
      <c r="AK98" s="106"/>
      <c r="AL98" s="106"/>
      <c r="AM98" s="106"/>
      <c r="AN98" s="106"/>
      <c r="AO98" s="106"/>
      <c r="AP98" s="106"/>
      <c r="AQ98" s="106"/>
      <c r="AR98" s="106"/>
      <c r="AS98" s="106"/>
      <c r="AT98" s="106"/>
      <c r="AU98" s="106"/>
      <c r="AV98" s="106"/>
      <c r="AW98" s="106"/>
      <c r="AX98" s="106"/>
      <c r="AY98" s="106"/>
      <c r="AZ98" s="106"/>
      <c r="BA98" s="106"/>
      <c r="BB98" s="106"/>
      <c r="BC98" s="106"/>
      <c r="BD98" s="106"/>
      <c r="BE98" s="106"/>
      <c r="BF98" s="107"/>
    </row>
    <row r="99" spans="1:58">
      <c r="A99" s="464">
        <f t="shared" si="106"/>
        <v>45</v>
      </c>
      <c r="B99" s="465"/>
      <c r="C99" s="489" t="s">
        <v>596</v>
      </c>
      <c r="D99" s="515">
        <f>SUM(I99:BF99)</f>
        <v>0</v>
      </c>
      <c r="E99" s="514" t="str">
        <f>IF(D99=0,"",H100/D99)</f>
        <v/>
      </c>
      <c r="F99" s="514" t="str">
        <f>IF(H99=0,"",H100/H99)</f>
        <v/>
      </c>
      <c r="G99" s="362" t="s">
        <v>168</v>
      </c>
      <c r="H99" s="368">
        <f t="shared" si="107"/>
        <v>0</v>
      </c>
      <c r="I99" s="312"/>
      <c r="J99" s="103"/>
      <c r="K99" s="103"/>
      <c r="L99" s="103"/>
      <c r="M99" s="103"/>
      <c r="N99" s="103"/>
      <c r="O99" s="103"/>
      <c r="P99" s="103"/>
      <c r="Q99" s="103"/>
      <c r="R99" s="103"/>
      <c r="S99" s="103"/>
      <c r="T99" s="103"/>
      <c r="U99" s="103"/>
      <c r="V99" s="103"/>
      <c r="W99" s="103"/>
      <c r="X99" s="103"/>
      <c r="Y99" s="103"/>
      <c r="Z99" s="103"/>
      <c r="AA99" s="103"/>
      <c r="AB99" s="103"/>
      <c r="AC99" s="103"/>
      <c r="AD99" s="103"/>
      <c r="AE99" s="103"/>
      <c r="AF99" s="103"/>
      <c r="AG99" s="103"/>
      <c r="AH99" s="103"/>
      <c r="AI99" s="103"/>
      <c r="AJ99" s="103"/>
      <c r="AK99" s="103"/>
      <c r="AL99" s="103"/>
      <c r="AM99" s="103"/>
      <c r="AN99" s="103"/>
      <c r="AO99" s="103"/>
      <c r="AP99" s="103"/>
      <c r="AQ99" s="103"/>
      <c r="AR99" s="103"/>
      <c r="AS99" s="103"/>
      <c r="AT99" s="103"/>
      <c r="AU99" s="103"/>
      <c r="AV99" s="103"/>
      <c r="AW99" s="103"/>
      <c r="AX99" s="103"/>
      <c r="AY99" s="103"/>
      <c r="AZ99" s="103"/>
      <c r="BA99" s="103"/>
      <c r="BB99" s="103"/>
      <c r="BC99" s="103"/>
      <c r="BD99" s="103"/>
      <c r="BE99" s="103"/>
      <c r="BF99" s="104"/>
    </row>
    <row r="100" spans="1:58">
      <c r="A100" s="466"/>
      <c r="B100" s="465"/>
      <c r="C100" s="490"/>
      <c r="D100" s="492"/>
      <c r="E100" s="494"/>
      <c r="F100" s="494"/>
      <c r="G100" s="363" t="s">
        <v>167</v>
      </c>
      <c r="H100" s="369">
        <f t="shared" si="107"/>
        <v>0</v>
      </c>
      <c r="I100" s="105"/>
      <c r="J100" s="106"/>
      <c r="K100" s="106"/>
      <c r="L100" s="106"/>
      <c r="M100" s="106"/>
      <c r="N100" s="106"/>
      <c r="O100" s="106"/>
      <c r="P100" s="106"/>
      <c r="Q100" s="106"/>
      <c r="R100" s="106"/>
      <c r="S100" s="106"/>
      <c r="T100" s="106"/>
      <c r="U100" s="106"/>
      <c r="V100" s="106"/>
      <c r="W100" s="106"/>
      <c r="X100" s="106"/>
      <c r="Y100" s="106"/>
      <c r="Z100" s="106"/>
      <c r="AA100" s="106"/>
      <c r="AB100" s="106"/>
      <c r="AC100" s="106"/>
      <c r="AD100" s="106"/>
      <c r="AE100" s="106"/>
      <c r="AF100" s="106"/>
      <c r="AG100" s="106"/>
      <c r="AH100" s="106"/>
      <c r="AI100" s="106"/>
      <c r="AJ100" s="106"/>
      <c r="AK100" s="106"/>
      <c r="AL100" s="106"/>
      <c r="AM100" s="106"/>
      <c r="AN100" s="106"/>
      <c r="AO100" s="106"/>
      <c r="AP100" s="106"/>
      <c r="AQ100" s="106"/>
      <c r="AR100" s="106"/>
      <c r="AS100" s="106"/>
      <c r="AT100" s="106"/>
      <c r="AU100" s="106"/>
      <c r="AV100" s="106"/>
      <c r="AW100" s="106"/>
      <c r="AX100" s="106"/>
      <c r="AY100" s="106"/>
      <c r="AZ100" s="106"/>
      <c r="BA100" s="106"/>
      <c r="BB100" s="106"/>
      <c r="BC100" s="106"/>
      <c r="BD100" s="106"/>
      <c r="BE100" s="106"/>
      <c r="BF100" s="107"/>
    </row>
    <row r="101" spans="1:58">
      <c r="A101" s="464">
        <f t="shared" si="106"/>
        <v>46</v>
      </c>
      <c r="B101" s="465"/>
      <c r="C101" s="489" t="s">
        <v>596</v>
      </c>
      <c r="D101" s="515">
        <f>SUM(I101:BF101)</f>
        <v>0</v>
      </c>
      <c r="E101" s="514" t="str">
        <f>IF(D101=0,"",H102/D101)</f>
        <v/>
      </c>
      <c r="F101" s="514" t="str">
        <f>IF(H101=0,"",H102/H101)</f>
        <v/>
      </c>
      <c r="G101" s="362" t="s">
        <v>168</v>
      </c>
      <c r="H101" s="368">
        <f t="shared" si="107"/>
        <v>0</v>
      </c>
      <c r="I101" s="312"/>
      <c r="J101" s="103"/>
      <c r="K101" s="103"/>
      <c r="L101" s="103"/>
      <c r="M101" s="103"/>
      <c r="N101" s="103"/>
      <c r="O101" s="103"/>
      <c r="P101" s="103"/>
      <c r="Q101" s="103"/>
      <c r="R101" s="103"/>
      <c r="S101" s="103"/>
      <c r="T101" s="103"/>
      <c r="U101" s="103"/>
      <c r="V101" s="103"/>
      <c r="W101" s="103"/>
      <c r="X101" s="103"/>
      <c r="Y101" s="103"/>
      <c r="Z101" s="103"/>
      <c r="AA101" s="103"/>
      <c r="AB101" s="103"/>
      <c r="AC101" s="103"/>
      <c r="AD101" s="103"/>
      <c r="AE101" s="103"/>
      <c r="AF101" s="103"/>
      <c r="AG101" s="103"/>
      <c r="AH101" s="103"/>
      <c r="AI101" s="103"/>
      <c r="AJ101" s="103"/>
      <c r="AK101" s="103"/>
      <c r="AL101" s="103"/>
      <c r="AM101" s="103"/>
      <c r="AN101" s="103"/>
      <c r="AO101" s="103"/>
      <c r="AP101" s="103"/>
      <c r="AQ101" s="103"/>
      <c r="AR101" s="103"/>
      <c r="AS101" s="103"/>
      <c r="AT101" s="103"/>
      <c r="AU101" s="103"/>
      <c r="AV101" s="103"/>
      <c r="AW101" s="103"/>
      <c r="AX101" s="103"/>
      <c r="AY101" s="103"/>
      <c r="AZ101" s="103"/>
      <c r="BA101" s="103"/>
      <c r="BB101" s="103"/>
      <c r="BC101" s="103"/>
      <c r="BD101" s="103"/>
      <c r="BE101" s="103"/>
      <c r="BF101" s="104"/>
    </row>
    <row r="102" spans="1:58">
      <c r="A102" s="466"/>
      <c r="B102" s="465"/>
      <c r="C102" s="490"/>
      <c r="D102" s="492"/>
      <c r="E102" s="494"/>
      <c r="F102" s="494"/>
      <c r="G102" s="363" t="s">
        <v>167</v>
      </c>
      <c r="H102" s="369">
        <f t="shared" si="107"/>
        <v>0</v>
      </c>
      <c r="I102" s="105"/>
      <c r="J102" s="106"/>
      <c r="K102" s="106"/>
      <c r="L102" s="106"/>
      <c r="M102" s="106"/>
      <c r="N102" s="106"/>
      <c r="O102" s="106"/>
      <c r="P102" s="106"/>
      <c r="Q102" s="106"/>
      <c r="R102" s="106"/>
      <c r="S102" s="106"/>
      <c r="T102" s="106"/>
      <c r="U102" s="106"/>
      <c r="V102" s="106"/>
      <c r="W102" s="106"/>
      <c r="X102" s="106"/>
      <c r="Y102" s="106"/>
      <c r="Z102" s="106"/>
      <c r="AA102" s="106"/>
      <c r="AB102" s="106"/>
      <c r="AC102" s="106"/>
      <c r="AD102" s="106"/>
      <c r="AE102" s="106"/>
      <c r="AF102" s="106"/>
      <c r="AG102" s="106"/>
      <c r="AH102" s="106"/>
      <c r="AI102" s="106"/>
      <c r="AJ102" s="106"/>
      <c r="AK102" s="106"/>
      <c r="AL102" s="106"/>
      <c r="AM102" s="106"/>
      <c r="AN102" s="106"/>
      <c r="AO102" s="106"/>
      <c r="AP102" s="106"/>
      <c r="AQ102" s="106"/>
      <c r="AR102" s="106"/>
      <c r="AS102" s="106"/>
      <c r="AT102" s="106"/>
      <c r="AU102" s="106"/>
      <c r="AV102" s="106"/>
      <c r="AW102" s="106"/>
      <c r="AX102" s="106"/>
      <c r="AY102" s="106"/>
      <c r="AZ102" s="106"/>
      <c r="BA102" s="106"/>
      <c r="BB102" s="106"/>
      <c r="BC102" s="106"/>
      <c r="BD102" s="106"/>
      <c r="BE102" s="106"/>
      <c r="BF102" s="107"/>
    </row>
    <row r="103" spans="1:58">
      <c r="A103" s="480">
        <f t="shared" si="106"/>
        <v>47</v>
      </c>
      <c r="B103" s="481"/>
      <c r="C103" s="489" t="s">
        <v>823</v>
      </c>
      <c r="D103" s="515">
        <f>SUM(I103:BF103)</f>
        <v>0</v>
      </c>
      <c r="E103" s="514" t="str">
        <f>IF(D103=0,"",H104/D103)</f>
        <v/>
      </c>
      <c r="F103" s="514" t="str">
        <f>IF(H103=0,"",H104/H103)</f>
        <v/>
      </c>
      <c r="G103" s="362" t="s">
        <v>168</v>
      </c>
      <c r="H103" s="368">
        <f>SUMPRODUCT((I$8:BF$8&lt;&gt;"")*1,(I$8:BF$8&lt;=$O$2)*1,I103:BF103)</f>
        <v>0</v>
      </c>
      <c r="I103" s="312"/>
      <c r="J103" s="103"/>
      <c r="K103" s="103"/>
      <c r="L103" s="103"/>
      <c r="M103" s="103"/>
      <c r="N103" s="103"/>
      <c r="O103" s="103"/>
      <c r="P103" s="103"/>
      <c r="Q103" s="103"/>
      <c r="R103" s="103"/>
      <c r="S103" s="103"/>
      <c r="T103" s="103"/>
      <c r="U103" s="103"/>
      <c r="V103" s="103"/>
      <c r="W103" s="103"/>
      <c r="X103" s="103"/>
      <c r="Y103" s="103"/>
      <c r="Z103" s="103"/>
      <c r="AA103" s="103"/>
      <c r="AB103" s="103"/>
      <c r="AC103" s="103"/>
      <c r="AD103" s="103"/>
      <c r="AE103" s="103"/>
      <c r="AF103" s="103"/>
      <c r="AG103" s="103"/>
      <c r="AH103" s="103"/>
      <c r="AI103" s="103"/>
      <c r="AJ103" s="103"/>
      <c r="AK103" s="103"/>
      <c r="AL103" s="103"/>
      <c r="AM103" s="103"/>
      <c r="AN103" s="103"/>
      <c r="AO103" s="103"/>
      <c r="AP103" s="103"/>
      <c r="AQ103" s="103"/>
      <c r="AR103" s="103"/>
      <c r="AS103" s="103"/>
      <c r="AT103" s="103"/>
      <c r="AU103" s="103"/>
      <c r="AV103" s="103"/>
      <c r="AW103" s="103"/>
      <c r="AX103" s="103"/>
      <c r="AY103" s="103"/>
      <c r="AZ103" s="103"/>
      <c r="BA103" s="103"/>
      <c r="BB103" s="103"/>
      <c r="BC103" s="103"/>
      <c r="BD103" s="103"/>
      <c r="BE103" s="103"/>
      <c r="BF103" s="104"/>
    </row>
    <row r="104" spans="1:58">
      <c r="A104" s="482"/>
      <c r="B104" s="481"/>
      <c r="C104" s="490"/>
      <c r="D104" s="492"/>
      <c r="E104" s="494"/>
      <c r="F104" s="494"/>
      <c r="G104" s="363" t="s">
        <v>167</v>
      </c>
      <c r="H104" s="369">
        <f>SUMPRODUCT((I$8:BF$8&lt;&gt;"")*1,(I$8:BF$8&lt;=$O$2)*1,I104:BF104)</f>
        <v>0</v>
      </c>
      <c r="I104" s="105"/>
      <c r="J104" s="106"/>
      <c r="K104" s="106"/>
      <c r="L104" s="106"/>
      <c r="M104" s="106"/>
      <c r="N104" s="106"/>
      <c r="O104" s="106"/>
      <c r="P104" s="106"/>
      <c r="Q104" s="106"/>
      <c r="R104" s="106"/>
      <c r="S104" s="106"/>
      <c r="T104" s="106"/>
      <c r="U104" s="106"/>
      <c r="V104" s="106"/>
      <c r="W104" s="106"/>
      <c r="X104" s="106"/>
      <c r="Y104" s="106"/>
      <c r="Z104" s="106"/>
      <c r="AA104" s="106"/>
      <c r="AB104" s="106"/>
      <c r="AC104" s="106"/>
      <c r="AD104" s="106"/>
      <c r="AE104" s="106"/>
      <c r="AF104" s="106"/>
      <c r="AG104" s="106"/>
      <c r="AH104" s="106"/>
      <c r="AI104" s="106"/>
      <c r="AJ104" s="106"/>
      <c r="AK104" s="106"/>
      <c r="AL104" s="106"/>
      <c r="AM104" s="106"/>
      <c r="AN104" s="106"/>
      <c r="AO104" s="106"/>
      <c r="AP104" s="106"/>
      <c r="AQ104" s="106"/>
      <c r="AR104" s="106"/>
      <c r="AS104" s="106"/>
      <c r="AT104" s="106"/>
      <c r="AU104" s="106"/>
      <c r="AV104" s="106"/>
      <c r="AW104" s="106"/>
      <c r="AX104" s="106"/>
      <c r="AY104" s="106"/>
      <c r="AZ104" s="106"/>
      <c r="BA104" s="106"/>
      <c r="BB104" s="106"/>
      <c r="BC104" s="106"/>
      <c r="BD104" s="106"/>
      <c r="BE104" s="106"/>
      <c r="BF104" s="107"/>
    </row>
    <row r="105" spans="1:58">
      <c r="A105" s="473">
        <f t="shared" si="106"/>
        <v>48</v>
      </c>
      <c r="B105" s="474"/>
      <c r="C105" s="489" t="s">
        <v>824</v>
      </c>
      <c r="D105" s="516">
        <f>SUM(I105:BF105)</f>
        <v>0</v>
      </c>
      <c r="E105" s="517" t="str">
        <f>IF(D105=0,"",H106/D105)</f>
        <v/>
      </c>
      <c r="F105" s="517" t="str">
        <f>IF(H105=0,"",H106/H105)</f>
        <v/>
      </c>
      <c r="G105" s="97" t="s">
        <v>168</v>
      </c>
      <c r="H105" s="69">
        <f>SUMPRODUCT((I$8:BF$8&lt;&gt;"")*1,(I$8:BF$8&lt;=$O$2)*1,I105:BF105)</f>
        <v>0</v>
      </c>
      <c r="I105" s="312"/>
      <c r="J105" s="103"/>
      <c r="K105" s="103"/>
      <c r="L105" s="103"/>
      <c r="M105" s="103"/>
      <c r="N105" s="103"/>
      <c r="O105" s="103"/>
      <c r="P105" s="103"/>
      <c r="Q105" s="103"/>
      <c r="R105" s="103"/>
      <c r="S105" s="103"/>
      <c r="T105" s="103"/>
      <c r="U105" s="103"/>
      <c r="V105" s="103"/>
      <c r="W105" s="103"/>
      <c r="X105" s="103"/>
      <c r="Y105" s="103"/>
      <c r="Z105" s="103"/>
      <c r="AA105" s="103"/>
      <c r="AB105" s="103"/>
      <c r="AC105" s="103"/>
      <c r="AD105" s="103"/>
      <c r="AE105" s="103"/>
      <c r="AF105" s="103"/>
      <c r="AG105" s="103"/>
      <c r="AH105" s="103"/>
      <c r="AI105" s="103"/>
      <c r="AJ105" s="103"/>
      <c r="AK105" s="103"/>
      <c r="AL105" s="103"/>
      <c r="AM105" s="103"/>
      <c r="AN105" s="103"/>
      <c r="AO105" s="103"/>
      <c r="AP105" s="103"/>
      <c r="AQ105" s="103"/>
      <c r="AR105" s="103"/>
      <c r="AS105" s="103"/>
      <c r="AT105" s="103"/>
      <c r="AU105" s="103"/>
      <c r="AV105" s="103"/>
      <c r="AW105" s="103"/>
      <c r="AX105" s="103"/>
      <c r="AY105" s="103"/>
      <c r="AZ105" s="103"/>
      <c r="BA105" s="103"/>
      <c r="BB105" s="103"/>
      <c r="BC105" s="103"/>
      <c r="BD105" s="103"/>
      <c r="BE105" s="103"/>
      <c r="BF105" s="104"/>
    </row>
    <row r="106" spans="1:58">
      <c r="A106" s="475"/>
      <c r="B106" s="474"/>
      <c r="C106" s="490"/>
      <c r="D106" s="470"/>
      <c r="E106" s="472"/>
      <c r="F106" s="472"/>
      <c r="G106" s="72" t="s">
        <v>167</v>
      </c>
      <c r="H106" s="68">
        <f>SUMPRODUCT((I$8:BF$8&lt;&gt;"")*1,(I$8:BF$8&lt;=$O$2)*1,I106:BF106)</f>
        <v>0</v>
      </c>
      <c r="I106" s="105"/>
      <c r="J106" s="106"/>
      <c r="K106" s="106"/>
      <c r="L106" s="106"/>
      <c r="M106" s="106"/>
      <c r="N106" s="106"/>
      <c r="O106" s="106"/>
      <c r="P106" s="106"/>
      <c r="Q106" s="106"/>
      <c r="R106" s="106"/>
      <c r="S106" s="106"/>
      <c r="T106" s="106"/>
      <c r="U106" s="106"/>
      <c r="V106" s="106"/>
      <c r="W106" s="106"/>
      <c r="X106" s="106"/>
      <c r="Y106" s="106"/>
      <c r="Z106" s="106"/>
      <c r="AA106" s="106"/>
      <c r="AB106" s="106"/>
      <c r="AC106" s="106"/>
      <c r="AD106" s="106"/>
      <c r="AE106" s="106"/>
      <c r="AF106" s="106"/>
      <c r="AG106" s="106"/>
      <c r="AH106" s="106"/>
      <c r="AI106" s="106"/>
      <c r="AJ106" s="106"/>
      <c r="AK106" s="106"/>
      <c r="AL106" s="106"/>
      <c r="AM106" s="106"/>
      <c r="AN106" s="106"/>
      <c r="AO106" s="106"/>
      <c r="AP106" s="106"/>
      <c r="AQ106" s="106"/>
      <c r="AR106" s="106"/>
      <c r="AS106" s="106"/>
      <c r="AT106" s="106"/>
      <c r="AU106" s="106"/>
      <c r="AV106" s="106"/>
      <c r="AW106" s="106"/>
      <c r="AX106" s="106"/>
      <c r="AY106" s="106"/>
      <c r="AZ106" s="106"/>
      <c r="BA106" s="106"/>
      <c r="BB106" s="106"/>
      <c r="BC106" s="106"/>
      <c r="BD106" s="106"/>
      <c r="BE106" s="106"/>
      <c r="BF106" s="107"/>
    </row>
    <row r="107" spans="1:58">
      <c r="A107" s="473">
        <f t="shared" si="106"/>
        <v>49</v>
      </c>
      <c r="B107" s="474"/>
      <c r="C107" s="489" t="s">
        <v>596</v>
      </c>
      <c r="D107" s="469">
        <f>SUM(I107:BF107)</f>
        <v>0</v>
      </c>
      <c r="E107" s="471" t="str">
        <f>IF(D107=0,"",H108/D107)</f>
        <v/>
      </c>
      <c r="F107" s="471" t="str">
        <f>IF(H107=0,"",H108/H107)</f>
        <v/>
      </c>
      <c r="G107" s="71" t="s">
        <v>168</v>
      </c>
      <c r="H107" s="67">
        <f t="shared" si="101"/>
        <v>0</v>
      </c>
      <c r="I107" s="112"/>
      <c r="J107" s="113"/>
      <c r="K107" s="113"/>
      <c r="L107" s="113"/>
      <c r="M107" s="113"/>
      <c r="N107" s="113"/>
      <c r="O107" s="113"/>
      <c r="P107" s="113"/>
      <c r="Q107" s="113"/>
      <c r="R107" s="113"/>
      <c r="S107" s="113"/>
      <c r="T107" s="113"/>
      <c r="U107" s="113"/>
      <c r="V107" s="113"/>
      <c r="W107" s="113"/>
      <c r="X107" s="113"/>
      <c r="Y107" s="113"/>
      <c r="Z107" s="113"/>
      <c r="AA107" s="113"/>
      <c r="AB107" s="113"/>
      <c r="AC107" s="113"/>
      <c r="AD107" s="113"/>
      <c r="AE107" s="113"/>
      <c r="AF107" s="113"/>
      <c r="AG107" s="113"/>
      <c r="AH107" s="113"/>
      <c r="AI107" s="113"/>
      <c r="AJ107" s="113"/>
      <c r="AK107" s="113"/>
      <c r="AL107" s="113"/>
      <c r="AM107" s="113"/>
      <c r="AN107" s="113"/>
      <c r="AO107" s="113"/>
      <c r="AP107" s="113"/>
      <c r="AQ107" s="113"/>
      <c r="AR107" s="113"/>
      <c r="AS107" s="113"/>
      <c r="AT107" s="113"/>
      <c r="AU107" s="113"/>
      <c r="AV107" s="113"/>
      <c r="AW107" s="113"/>
      <c r="AX107" s="113"/>
      <c r="AY107" s="113"/>
      <c r="AZ107" s="113"/>
      <c r="BA107" s="113"/>
      <c r="BB107" s="113"/>
      <c r="BC107" s="113"/>
      <c r="BD107" s="113"/>
      <c r="BE107" s="113"/>
      <c r="BF107" s="114"/>
    </row>
    <row r="108" spans="1:58">
      <c r="A108" s="475"/>
      <c r="B108" s="474"/>
      <c r="C108" s="490"/>
      <c r="D108" s="470"/>
      <c r="E108" s="472"/>
      <c r="F108" s="472"/>
      <c r="G108" s="72" t="s">
        <v>167</v>
      </c>
      <c r="H108" s="68">
        <f t="shared" si="101"/>
        <v>0</v>
      </c>
      <c r="I108" s="105"/>
      <c r="J108" s="106"/>
      <c r="K108" s="106"/>
      <c r="L108" s="106"/>
      <c r="M108" s="106"/>
      <c r="N108" s="106"/>
      <c r="O108" s="106"/>
      <c r="P108" s="106"/>
      <c r="Q108" s="106"/>
      <c r="R108" s="106"/>
      <c r="S108" s="106"/>
      <c r="T108" s="106"/>
      <c r="U108" s="106"/>
      <c r="V108" s="106"/>
      <c r="W108" s="106"/>
      <c r="X108" s="106"/>
      <c r="Y108" s="106"/>
      <c r="Z108" s="106"/>
      <c r="AA108" s="106"/>
      <c r="AB108" s="106"/>
      <c r="AC108" s="106"/>
      <c r="AD108" s="106"/>
      <c r="AE108" s="106"/>
      <c r="AF108" s="106"/>
      <c r="AG108" s="106"/>
      <c r="AH108" s="106"/>
      <c r="AI108" s="106"/>
      <c r="AJ108" s="106"/>
      <c r="AK108" s="106"/>
      <c r="AL108" s="106"/>
      <c r="AM108" s="106"/>
      <c r="AN108" s="106"/>
      <c r="AO108" s="106"/>
      <c r="AP108" s="106"/>
      <c r="AQ108" s="106"/>
      <c r="AR108" s="106"/>
      <c r="AS108" s="106"/>
      <c r="AT108" s="106"/>
      <c r="AU108" s="106"/>
      <c r="AV108" s="106"/>
      <c r="AW108" s="106"/>
      <c r="AX108" s="106"/>
      <c r="AY108" s="106"/>
      <c r="AZ108" s="106"/>
      <c r="BA108" s="106"/>
      <c r="BB108" s="106"/>
      <c r="BC108" s="106"/>
      <c r="BD108" s="106"/>
      <c r="BE108" s="106"/>
      <c r="BF108" s="107"/>
    </row>
    <row r="109" spans="1:58">
      <c r="A109" s="473">
        <f t="shared" si="106"/>
        <v>50</v>
      </c>
      <c r="B109" s="474"/>
      <c r="C109" s="489" t="s">
        <v>596</v>
      </c>
      <c r="D109" s="469">
        <f t="shared" ref="D109" si="108">SUM(I109:BF109)</f>
        <v>0</v>
      </c>
      <c r="E109" s="471" t="str">
        <f t="shared" ref="E109" si="109">IF(D109=0,"",H110/D109)</f>
        <v/>
      </c>
      <c r="F109" s="471" t="str">
        <f t="shared" ref="F109" si="110">IF(H109=0,"",H110/H109)</f>
        <v/>
      </c>
      <c r="G109" s="71" t="s">
        <v>168</v>
      </c>
      <c r="H109" s="67">
        <f t="shared" ref="H109:H142" si="111">SUMPRODUCT((I$8:BF$8&lt;&gt;"")*1,(I$8:BF$8&lt;=$O$2)*1,I109:BF109)</f>
        <v>0</v>
      </c>
      <c r="I109" s="112"/>
      <c r="J109" s="113"/>
      <c r="K109" s="113"/>
      <c r="L109" s="113"/>
      <c r="M109" s="113"/>
      <c r="N109" s="113"/>
      <c r="O109" s="113"/>
      <c r="P109" s="113"/>
      <c r="Q109" s="113"/>
      <c r="R109" s="113"/>
      <c r="S109" s="113"/>
      <c r="T109" s="113"/>
      <c r="U109" s="113"/>
      <c r="V109" s="113"/>
      <c r="W109" s="113"/>
      <c r="X109" s="113"/>
      <c r="Y109" s="113"/>
      <c r="Z109" s="113"/>
      <c r="AA109" s="113"/>
      <c r="AB109" s="113"/>
      <c r="AC109" s="113"/>
      <c r="AD109" s="113"/>
      <c r="AE109" s="113"/>
      <c r="AF109" s="113"/>
      <c r="AG109" s="113"/>
      <c r="AH109" s="113"/>
      <c r="AI109" s="113"/>
      <c r="AJ109" s="113"/>
      <c r="AK109" s="113"/>
      <c r="AL109" s="113"/>
      <c r="AM109" s="113"/>
      <c r="AN109" s="113"/>
      <c r="AO109" s="113"/>
      <c r="AP109" s="113"/>
      <c r="AQ109" s="113"/>
      <c r="AR109" s="113"/>
      <c r="AS109" s="113"/>
      <c r="AT109" s="113"/>
      <c r="AU109" s="113"/>
      <c r="AV109" s="113"/>
      <c r="AW109" s="113"/>
      <c r="AX109" s="113"/>
      <c r="AY109" s="113"/>
      <c r="AZ109" s="113"/>
      <c r="BA109" s="113"/>
      <c r="BB109" s="113"/>
      <c r="BC109" s="113"/>
      <c r="BD109" s="113"/>
      <c r="BE109" s="113"/>
      <c r="BF109" s="114"/>
    </row>
    <row r="110" spans="1:58">
      <c r="A110" s="475"/>
      <c r="B110" s="474"/>
      <c r="C110" s="490"/>
      <c r="D110" s="470"/>
      <c r="E110" s="472"/>
      <c r="F110" s="472"/>
      <c r="G110" s="72" t="s">
        <v>167</v>
      </c>
      <c r="H110" s="68">
        <f t="shared" si="111"/>
        <v>0</v>
      </c>
      <c r="I110" s="105"/>
      <c r="J110" s="106"/>
      <c r="K110" s="106"/>
      <c r="L110" s="106"/>
      <c r="M110" s="106"/>
      <c r="N110" s="106"/>
      <c r="O110" s="106"/>
      <c r="P110" s="106"/>
      <c r="Q110" s="106"/>
      <c r="R110" s="106"/>
      <c r="S110" s="106"/>
      <c r="T110" s="106"/>
      <c r="U110" s="106"/>
      <c r="V110" s="106"/>
      <c r="W110" s="106"/>
      <c r="X110" s="106"/>
      <c r="Y110" s="106"/>
      <c r="Z110" s="106"/>
      <c r="AA110" s="106"/>
      <c r="AB110" s="106"/>
      <c r="AC110" s="106"/>
      <c r="AD110" s="106"/>
      <c r="AE110" s="106"/>
      <c r="AF110" s="106"/>
      <c r="AG110" s="106"/>
      <c r="AH110" s="106"/>
      <c r="AI110" s="106"/>
      <c r="AJ110" s="106"/>
      <c r="AK110" s="106"/>
      <c r="AL110" s="106"/>
      <c r="AM110" s="106"/>
      <c r="AN110" s="106"/>
      <c r="AO110" s="106"/>
      <c r="AP110" s="106"/>
      <c r="AQ110" s="106"/>
      <c r="AR110" s="106"/>
      <c r="AS110" s="106"/>
      <c r="AT110" s="106"/>
      <c r="AU110" s="106"/>
      <c r="AV110" s="106"/>
      <c r="AW110" s="106"/>
      <c r="AX110" s="106"/>
      <c r="AY110" s="106"/>
      <c r="AZ110" s="106"/>
      <c r="BA110" s="106"/>
      <c r="BB110" s="106"/>
      <c r="BC110" s="106"/>
      <c r="BD110" s="106"/>
      <c r="BE110" s="106"/>
      <c r="BF110" s="107"/>
    </row>
    <row r="111" spans="1:58">
      <c r="A111" s="473">
        <f t="shared" si="106"/>
        <v>51</v>
      </c>
      <c r="B111" s="474"/>
      <c r="C111" s="489" t="s">
        <v>596</v>
      </c>
      <c r="D111" s="491">
        <f t="shared" ref="D111" si="112">SUM(I111:BF111)</f>
        <v>0</v>
      </c>
      <c r="E111" s="493" t="str">
        <f t="shared" ref="E111" si="113">IF(D111=0,"",H112/D111)</f>
        <v/>
      </c>
      <c r="F111" s="493" t="str">
        <f t="shared" ref="F111" si="114">IF(H111=0,"",H112/H111)</f>
        <v/>
      </c>
      <c r="G111" s="370" t="s">
        <v>168</v>
      </c>
      <c r="H111" s="371">
        <f t="shared" si="111"/>
        <v>0</v>
      </c>
      <c r="I111" s="112"/>
      <c r="J111" s="113"/>
      <c r="K111" s="113"/>
      <c r="L111" s="113"/>
      <c r="M111" s="113"/>
      <c r="N111" s="113"/>
      <c r="O111" s="113"/>
      <c r="P111" s="113"/>
      <c r="Q111" s="113"/>
      <c r="R111" s="113"/>
      <c r="S111" s="113"/>
      <c r="T111" s="113"/>
      <c r="U111" s="113"/>
      <c r="V111" s="113"/>
      <c r="W111" s="113"/>
      <c r="X111" s="113"/>
      <c r="Y111" s="113"/>
      <c r="Z111" s="113"/>
      <c r="AA111" s="113"/>
      <c r="AB111" s="113"/>
      <c r="AC111" s="113"/>
      <c r="AD111" s="113"/>
      <c r="AE111" s="113"/>
      <c r="AF111" s="113"/>
      <c r="AG111" s="113"/>
      <c r="AH111" s="113"/>
      <c r="AI111" s="113"/>
      <c r="AJ111" s="113"/>
      <c r="AK111" s="113"/>
      <c r="AL111" s="113"/>
      <c r="AM111" s="113"/>
      <c r="AN111" s="113"/>
      <c r="AO111" s="113"/>
      <c r="AP111" s="113"/>
      <c r="AQ111" s="113"/>
      <c r="AR111" s="113"/>
      <c r="AS111" s="113"/>
      <c r="AT111" s="113"/>
      <c r="AU111" s="113"/>
      <c r="AV111" s="113"/>
      <c r="AW111" s="113"/>
      <c r="AX111" s="113"/>
      <c r="AY111" s="113"/>
      <c r="AZ111" s="113"/>
      <c r="BA111" s="113"/>
      <c r="BB111" s="113"/>
      <c r="BC111" s="113"/>
      <c r="BD111" s="113"/>
      <c r="BE111" s="113"/>
      <c r="BF111" s="114"/>
    </row>
    <row r="112" spans="1:58">
      <c r="A112" s="475"/>
      <c r="B112" s="474"/>
      <c r="C112" s="490"/>
      <c r="D112" s="492"/>
      <c r="E112" s="494"/>
      <c r="F112" s="494"/>
      <c r="G112" s="363" t="s">
        <v>167</v>
      </c>
      <c r="H112" s="369">
        <f t="shared" si="111"/>
        <v>0</v>
      </c>
      <c r="I112" s="105"/>
      <c r="J112" s="106"/>
      <c r="K112" s="106"/>
      <c r="L112" s="106"/>
      <c r="M112" s="106"/>
      <c r="N112" s="106"/>
      <c r="O112" s="106"/>
      <c r="P112" s="106"/>
      <c r="Q112" s="106"/>
      <c r="R112" s="106"/>
      <c r="S112" s="106"/>
      <c r="T112" s="106"/>
      <c r="U112" s="106"/>
      <c r="V112" s="106"/>
      <c r="W112" s="106"/>
      <c r="X112" s="106"/>
      <c r="Y112" s="106"/>
      <c r="Z112" s="106"/>
      <c r="AA112" s="106"/>
      <c r="AB112" s="106"/>
      <c r="AC112" s="106"/>
      <c r="AD112" s="106"/>
      <c r="AE112" s="106"/>
      <c r="AF112" s="106"/>
      <c r="AG112" s="106"/>
      <c r="AH112" s="106"/>
      <c r="AI112" s="106"/>
      <c r="AJ112" s="106"/>
      <c r="AK112" s="106"/>
      <c r="AL112" s="106"/>
      <c r="AM112" s="106"/>
      <c r="AN112" s="106"/>
      <c r="AO112" s="106"/>
      <c r="AP112" s="106"/>
      <c r="AQ112" s="106"/>
      <c r="AR112" s="106"/>
      <c r="AS112" s="106"/>
      <c r="AT112" s="106"/>
      <c r="AU112" s="106"/>
      <c r="AV112" s="106"/>
      <c r="AW112" s="106"/>
      <c r="AX112" s="106"/>
      <c r="AY112" s="106"/>
      <c r="AZ112" s="106"/>
      <c r="BA112" s="106"/>
      <c r="BB112" s="106"/>
      <c r="BC112" s="106"/>
      <c r="BD112" s="106"/>
      <c r="BE112" s="106"/>
      <c r="BF112" s="107"/>
    </row>
    <row r="113" spans="1:58">
      <c r="A113" s="473">
        <f t="shared" si="106"/>
        <v>52</v>
      </c>
      <c r="B113" s="474"/>
      <c r="C113" s="489" t="s">
        <v>596</v>
      </c>
      <c r="D113" s="491">
        <f t="shared" ref="D113" si="115">SUM(I113:BF113)</f>
        <v>0</v>
      </c>
      <c r="E113" s="493" t="str">
        <f t="shared" ref="E113" si="116">IF(D113=0,"",H114/D113)</f>
        <v/>
      </c>
      <c r="F113" s="493" t="str">
        <f t="shared" ref="F113" si="117">IF(H113=0,"",H114/H113)</f>
        <v/>
      </c>
      <c r="G113" s="370" t="s">
        <v>168</v>
      </c>
      <c r="H113" s="371">
        <f t="shared" si="111"/>
        <v>0</v>
      </c>
      <c r="I113" s="112"/>
      <c r="J113" s="113"/>
      <c r="K113" s="113"/>
      <c r="L113" s="113"/>
      <c r="M113" s="113"/>
      <c r="N113" s="113"/>
      <c r="O113" s="113"/>
      <c r="P113" s="113"/>
      <c r="Q113" s="113"/>
      <c r="R113" s="113"/>
      <c r="S113" s="113"/>
      <c r="T113" s="113"/>
      <c r="U113" s="113"/>
      <c r="V113" s="113"/>
      <c r="W113" s="113"/>
      <c r="X113" s="113"/>
      <c r="Y113" s="113"/>
      <c r="Z113" s="113"/>
      <c r="AA113" s="113"/>
      <c r="AB113" s="113"/>
      <c r="AC113" s="113"/>
      <c r="AD113" s="113"/>
      <c r="AE113" s="113"/>
      <c r="AF113" s="113"/>
      <c r="AG113" s="113"/>
      <c r="AH113" s="113"/>
      <c r="AI113" s="113"/>
      <c r="AJ113" s="113"/>
      <c r="AK113" s="113"/>
      <c r="AL113" s="113"/>
      <c r="AM113" s="113"/>
      <c r="AN113" s="113"/>
      <c r="AO113" s="113"/>
      <c r="AP113" s="113"/>
      <c r="AQ113" s="113"/>
      <c r="AR113" s="113"/>
      <c r="AS113" s="113"/>
      <c r="AT113" s="113"/>
      <c r="AU113" s="113"/>
      <c r="AV113" s="113"/>
      <c r="AW113" s="113"/>
      <c r="AX113" s="113"/>
      <c r="AY113" s="113"/>
      <c r="AZ113" s="113"/>
      <c r="BA113" s="113"/>
      <c r="BB113" s="113"/>
      <c r="BC113" s="113"/>
      <c r="BD113" s="113"/>
      <c r="BE113" s="113"/>
      <c r="BF113" s="114"/>
    </row>
    <row r="114" spans="1:58">
      <c r="A114" s="475"/>
      <c r="B114" s="474"/>
      <c r="C114" s="490"/>
      <c r="D114" s="492"/>
      <c r="E114" s="494"/>
      <c r="F114" s="494"/>
      <c r="G114" s="363" t="s">
        <v>167</v>
      </c>
      <c r="H114" s="369">
        <f t="shared" si="111"/>
        <v>0</v>
      </c>
      <c r="I114" s="105"/>
      <c r="J114" s="106"/>
      <c r="K114" s="106"/>
      <c r="L114" s="106"/>
      <c r="M114" s="106"/>
      <c r="N114" s="106"/>
      <c r="O114" s="106"/>
      <c r="P114" s="106"/>
      <c r="Q114" s="106"/>
      <c r="R114" s="106"/>
      <c r="S114" s="106"/>
      <c r="T114" s="106"/>
      <c r="U114" s="106"/>
      <c r="V114" s="106"/>
      <c r="W114" s="106"/>
      <c r="X114" s="106"/>
      <c r="Y114" s="106"/>
      <c r="Z114" s="106"/>
      <c r="AA114" s="106"/>
      <c r="AB114" s="106"/>
      <c r="AC114" s="106"/>
      <c r="AD114" s="106"/>
      <c r="AE114" s="106"/>
      <c r="AF114" s="106"/>
      <c r="AG114" s="106"/>
      <c r="AH114" s="106"/>
      <c r="AI114" s="106"/>
      <c r="AJ114" s="106"/>
      <c r="AK114" s="106"/>
      <c r="AL114" s="106"/>
      <c r="AM114" s="106"/>
      <c r="AN114" s="106"/>
      <c r="AO114" s="106"/>
      <c r="AP114" s="106"/>
      <c r="AQ114" s="106"/>
      <c r="AR114" s="106"/>
      <c r="AS114" s="106"/>
      <c r="AT114" s="106"/>
      <c r="AU114" s="106"/>
      <c r="AV114" s="106"/>
      <c r="AW114" s="106"/>
      <c r="AX114" s="106"/>
      <c r="AY114" s="106"/>
      <c r="AZ114" s="106"/>
      <c r="BA114" s="106"/>
      <c r="BB114" s="106"/>
      <c r="BC114" s="106"/>
      <c r="BD114" s="106"/>
      <c r="BE114" s="106"/>
      <c r="BF114" s="107"/>
    </row>
    <row r="115" spans="1:58">
      <c r="A115" s="473">
        <f t="shared" si="106"/>
        <v>53</v>
      </c>
      <c r="B115" s="474"/>
      <c r="C115" s="489" t="s">
        <v>596</v>
      </c>
      <c r="D115" s="491">
        <f t="shared" ref="D115" si="118">SUM(I115:BF115)</f>
        <v>0</v>
      </c>
      <c r="E115" s="493" t="str">
        <f t="shared" ref="E115" si="119">IF(D115=0,"",H116/D115)</f>
        <v/>
      </c>
      <c r="F115" s="493" t="str">
        <f t="shared" ref="F115" si="120">IF(H115=0,"",H116/H115)</f>
        <v/>
      </c>
      <c r="G115" s="370" t="s">
        <v>168</v>
      </c>
      <c r="H115" s="371">
        <f t="shared" si="111"/>
        <v>0</v>
      </c>
      <c r="I115" s="112"/>
      <c r="J115" s="113"/>
      <c r="K115" s="113"/>
      <c r="L115" s="113"/>
      <c r="M115" s="113"/>
      <c r="N115" s="113"/>
      <c r="O115" s="113"/>
      <c r="P115" s="113"/>
      <c r="Q115" s="113"/>
      <c r="R115" s="113"/>
      <c r="S115" s="113"/>
      <c r="T115" s="113"/>
      <c r="U115" s="113"/>
      <c r="V115" s="113"/>
      <c r="W115" s="113"/>
      <c r="X115" s="113"/>
      <c r="Y115" s="113"/>
      <c r="Z115" s="113"/>
      <c r="AA115" s="113"/>
      <c r="AB115" s="113"/>
      <c r="AC115" s="113"/>
      <c r="AD115" s="113"/>
      <c r="AE115" s="113"/>
      <c r="AF115" s="113"/>
      <c r="AG115" s="113"/>
      <c r="AH115" s="113"/>
      <c r="AI115" s="113"/>
      <c r="AJ115" s="113"/>
      <c r="AK115" s="113"/>
      <c r="AL115" s="113"/>
      <c r="AM115" s="113"/>
      <c r="AN115" s="113"/>
      <c r="AO115" s="113"/>
      <c r="AP115" s="113"/>
      <c r="AQ115" s="113"/>
      <c r="AR115" s="113"/>
      <c r="AS115" s="113"/>
      <c r="AT115" s="113"/>
      <c r="AU115" s="113"/>
      <c r="AV115" s="113"/>
      <c r="AW115" s="113"/>
      <c r="AX115" s="113"/>
      <c r="AY115" s="113"/>
      <c r="AZ115" s="113"/>
      <c r="BA115" s="113"/>
      <c r="BB115" s="113"/>
      <c r="BC115" s="113"/>
      <c r="BD115" s="113"/>
      <c r="BE115" s="113"/>
      <c r="BF115" s="114"/>
    </row>
    <row r="116" spans="1:58">
      <c r="A116" s="475"/>
      <c r="B116" s="474"/>
      <c r="C116" s="490"/>
      <c r="D116" s="492"/>
      <c r="E116" s="494"/>
      <c r="F116" s="494"/>
      <c r="G116" s="363" t="s">
        <v>167</v>
      </c>
      <c r="H116" s="369">
        <f t="shared" si="111"/>
        <v>0</v>
      </c>
      <c r="I116" s="105"/>
      <c r="J116" s="106"/>
      <c r="K116" s="106"/>
      <c r="L116" s="106"/>
      <c r="M116" s="106"/>
      <c r="N116" s="106"/>
      <c r="O116" s="106"/>
      <c r="P116" s="106"/>
      <c r="Q116" s="106"/>
      <c r="R116" s="106"/>
      <c r="S116" s="106"/>
      <c r="T116" s="106"/>
      <c r="U116" s="106"/>
      <c r="V116" s="106"/>
      <c r="W116" s="106"/>
      <c r="X116" s="106"/>
      <c r="Y116" s="106"/>
      <c r="Z116" s="106"/>
      <c r="AA116" s="106"/>
      <c r="AB116" s="106"/>
      <c r="AC116" s="106"/>
      <c r="AD116" s="106"/>
      <c r="AE116" s="106"/>
      <c r="AF116" s="106"/>
      <c r="AG116" s="106"/>
      <c r="AH116" s="106"/>
      <c r="AI116" s="106"/>
      <c r="AJ116" s="106"/>
      <c r="AK116" s="106"/>
      <c r="AL116" s="106"/>
      <c r="AM116" s="106"/>
      <c r="AN116" s="106"/>
      <c r="AO116" s="106"/>
      <c r="AP116" s="106"/>
      <c r="AQ116" s="106"/>
      <c r="AR116" s="106"/>
      <c r="AS116" s="106"/>
      <c r="AT116" s="106"/>
      <c r="AU116" s="106"/>
      <c r="AV116" s="106"/>
      <c r="AW116" s="106"/>
      <c r="AX116" s="106"/>
      <c r="AY116" s="106"/>
      <c r="AZ116" s="106"/>
      <c r="BA116" s="106"/>
      <c r="BB116" s="106"/>
      <c r="BC116" s="106"/>
      <c r="BD116" s="106"/>
      <c r="BE116" s="106"/>
      <c r="BF116" s="107"/>
    </row>
    <row r="117" spans="1:58">
      <c r="A117" s="473">
        <f t="shared" si="106"/>
        <v>54</v>
      </c>
      <c r="B117" s="474"/>
      <c r="C117" s="489" t="s">
        <v>596</v>
      </c>
      <c r="D117" s="491">
        <f t="shared" ref="D117" si="121">SUM(I117:BF117)</f>
        <v>0</v>
      </c>
      <c r="E117" s="493" t="str">
        <f t="shared" ref="E117" si="122">IF(D117=0,"",H118/D117)</f>
        <v/>
      </c>
      <c r="F117" s="493" t="str">
        <f t="shared" ref="F117" si="123">IF(H117=0,"",H118/H117)</f>
        <v/>
      </c>
      <c r="G117" s="370" t="s">
        <v>168</v>
      </c>
      <c r="H117" s="371">
        <f t="shared" si="111"/>
        <v>0</v>
      </c>
      <c r="I117" s="112"/>
      <c r="J117" s="113"/>
      <c r="K117" s="113"/>
      <c r="L117" s="113"/>
      <c r="M117" s="113"/>
      <c r="N117" s="113"/>
      <c r="O117" s="113"/>
      <c r="P117" s="113"/>
      <c r="Q117" s="113"/>
      <c r="R117" s="113"/>
      <c r="S117" s="113"/>
      <c r="T117" s="113"/>
      <c r="U117" s="113"/>
      <c r="V117" s="113"/>
      <c r="W117" s="113"/>
      <c r="X117" s="113"/>
      <c r="Y117" s="113"/>
      <c r="Z117" s="113"/>
      <c r="AA117" s="113"/>
      <c r="AB117" s="113"/>
      <c r="AC117" s="113"/>
      <c r="AD117" s="113"/>
      <c r="AE117" s="113"/>
      <c r="AF117" s="113"/>
      <c r="AG117" s="113"/>
      <c r="AH117" s="113"/>
      <c r="AI117" s="113"/>
      <c r="AJ117" s="113"/>
      <c r="AK117" s="113"/>
      <c r="AL117" s="113"/>
      <c r="AM117" s="113"/>
      <c r="AN117" s="113"/>
      <c r="AO117" s="113"/>
      <c r="AP117" s="113"/>
      <c r="AQ117" s="113"/>
      <c r="AR117" s="113"/>
      <c r="AS117" s="113"/>
      <c r="AT117" s="113"/>
      <c r="AU117" s="113"/>
      <c r="AV117" s="113"/>
      <c r="AW117" s="113"/>
      <c r="AX117" s="113"/>
      <c r="AY117" s="113"/>
      <c r="AZ117" s="113"/>
      <c r="BA117" s="113"/>
      <c r="BB117" s="113"/>
      <c r="BC117" s="113"/>
      <c r="BD117" s="113"/>
      <c r="BE117" s="113"/>
      <c r="BF117" s="114"/>
    </row>
    <row r="118" spans="1:58">
      <c r="A118" s="475"/>
      <c r="B118" s="474"/>
      <c r="C118" s="490"/>
      <c r="D118" s="492"/>
      <c r="E118" s="494"/>
      <c r="F118" s="494"/>
      <c r="G118" s="363" t="s">
        <v>167</v>
      </c>
      <c r="H118" s="369">
        <f t="shared" si="111"/>
        <v>0</v>
      </c>
      <c r="I118" s="105"/>
      <c r="J118" s="106"/>
      <c r="K118" s="106"/>
      <c r="L118" s="106"/>
      <c r="M118" s="106"/>
      <c r="N118" s="106"/>
      <c r="O118" s="106"/>
      <c r="P118" s="106"/>
      <c r="Q118" s="106"/>
      <c r="R118" s="106"/>
      <c r="S118" s="106"/>
      <c r="T118" s="106"/>
      <c r="U118" s="106"/>
      <c r="V118" s="106"/>
      <c r="W118" s="106"/>
      <c r="X118" s="106"/>
      <c r="Y118" s="106"/>
      <c r="Z118" s="106"/>
      <c r="AA118" s="106"/>
      <c r="AB118" s="106"/>
      <c r="AC118" s="106"/>
      <c r="AD118" s="106"/>
      <c r="AE118" s="106"/>
      <c r="AF118" s="106"/>
      <c r="AG118" s="106"/>
      <c r="AH118" s="106"/>
      <c r="AI118" s="106"/>
      <c r="AJ118" s="106"/>
      <c r="AK118" s="106"/>
      <c r="AL118" s="106"/>
      <c r="AM118" s="106"/>
      <c r="AN118" s="106"/>
      <c r="AO118" s="106"/>
      <c r="AP118" s="106"/>
      <c r="AQ118" s="106"/>
      <c r="AR118" s="106"/>
      <c r="AS118" s="106"/>
      <c r="AT118" s="106"/>
      <c r="AU118" s="106"/>
      <c r="AV118" s="106"/>
      <c r="AW118" s="106"/>
      <c r="AX118" s="106"/>
      <c r="AY118" s="106"/>
      <c r="AZ118" s="106"/>
      <c r="BA118" s="106"/>
      <c r="BB118" s="106"/>
      <c r="BC118" s="106"/>
      <c r="BD118" s="106"/>
      <c r="BE118" s="106"/>
      <c r="BF118" s="107"/>
    </row>
    <row r="119" spans="1:58">
      <c r="A119" s="473">
        <f t="shared" si="106"/>
        <v>55</v>
      </c>
      <c r="B119" s="474"/>
      <c r="C119" s="489" t="s">
        <v>596</v>
      </c>
      <c r="D119" s="491">
        <f t="shared" ref="D119" si="124">SUM(I119:BF119)</f>
        <v>0</v>
      </c>
      <c r="E119" s="493" t="str">
        <f t="shared" ref="E119" si="125">IF(D119=0,"",H120/D119)</f>
        <v/>
      </c>
      <c r="F119" s="493" t="str">
        <f t="shared" ref="F119" si="126">IF(H119=0,"",H120/H119)</f>
        <v/>
      </c>
      <c r="G119" s="370" t="s">
        <v>168</v>
      </c>
      <c r="H119" s="371">
        <f t="shared" si="111"/>
        <v>0</v>
      </c>
      <c r="I119" s="112"/>
      <c r="J119" s="113"/>
      <c r="K119" s="113"/>
      <c r="L119" s="113"/>
      <c r="M119" s="113"/>
      <c r="N119" s="113"/>
      <c r="O119" s="113"/>
      <c r="P119" s="113"/>
      <c r="Q119" s="113"/>
      <c r="R119" s="113"/>
      <c r="S119" s="113"/>
      <c r="T119" s="113"/>
      <c r="U119" s="113"/>
      <c r="V119" s="113"/>
      <c r="W119" s="113"/>
      <c r="X119" s="113"/>
      <c r="Y119" s="113"/>
      <c r="Z119" s="113"/>
      <c r="AA119" s="113"/>
      <c r="AB119" s="113"/>
      <c r="AC119" s="113"/>
      <c r="AD119" s="113"/>
      <c r="AE119" s="113"/>
      <c r="AF119" s="113"/>
      <c r="AG119" s="113"/>
      <c r="AH119" s="113"/>
      <c r="AI119" s="113"/>
      <c r="AJ119" s="113"/>
      <c r="AK119" s="113"/>
      <c r="AL119" s="113"/>
      <c r="AM119" s="113"/>
      <c r="AN119" s="113"/>
      <c r="AO119" s="113"/>
      <c r="AP119" s="113"/>
      <c r="AQ119" s="113"/>
      <c r="AR119" s="113"/>
      <c r="AS119" s="113"/>
      <c r="AT119" s="113"/>
      <c r="AU119" s="113"/>
      <c r="AV119" s="113"/>
      <c r="AW119" s="113"/>
      <c r="AX119" s="113"/>
      <c r="AY119" s="113"/>
      <c r="AZ119" s="113"/>
      <c r="BA119" s="113"/>
      <c r="BB119" s="113"/>
      <c r="BC119" s="113"/>
      <c r="BD119" s="113"/>
      <c r="BE119" s="113"/>
      <c r="BF119" s="114"/>
    </row>
    <row r="120" spans="1:58">
      <c r="A120" s="475"/>
      <c r="B120" s="474"/>
      <c r="C120" s="490"/>
      <c r="D120" s="492"/>
      <c r="E120" s="494"/>
      <c r="F120" s="494"/>
      <c r="G120" s="363" t="s">
        <v>167</v>
      </c>
      <c r="H120" s="369">
        <f t="shared" si="111"/>
        <v>0</v>
      </c>
      <c r="I120" s="105"/>
      <c r="J120" s="106"/>
      <c r="K120" s="106"/>
      <c r="L120" s="106"/>
      <c r="M120" s="106"/>
      <c r="N120" s="106"/>
      <c r="O120" s="106"/>
      <c r="P120" s="106"/>
      <c r="Q120" s="106"/>
      <c r="R120" s="106"/>
      <c r="S120" s="106"/>
      <c r="T120" s="106"/>
      <c r="U120" s="106"/>
      <c r="V120" s="106"/>
      <c r="W120" s="106"/>
      <c r="X120" s="106"/>
      <c r="Y120" s="106"/>
      <c r="Z120" s="106"/>
      <c r="AA120" s="106"/>
      <c r="AB120" s="106"/>
      <c r="AC120" s="106"/>
      <c r="AD120" s="106"/>
      <c r="AE120" s="106"/>
      <c r="AF120" s="106"/>
      <c r="AG120" s="106"/>
      <c r="AH120" s="106"/>
      <c r="AI120" s="106"/>
      <c r="AJ120" s="106"/>
      <c r="AK120" s="106"/>
      <c r="AL120" s="106"/>
      <c r="AM120" s="106"/>
      <c r="AN120" s="106"/>
      <c r="AO120" s="106"/>
      <c r="AP120" s="106"/>
      <c r="AQ120" s="106"/>
      <c r="AR120" s="106"/>
      <c r="AS120" s="106"/>
      <c r="AT120" s="106"/>
      <c r="AU120" s="106"/>
      <c r="AV120" s="106"/>
      <c r="AW120" s="106"/>
      <c r="AX120" s="106"/>
      <c r="AY120" s="106"/>
      <c r="AZ120" s="106"/>
      <c r="BA120" s="106"/>
      <c r="BB120" s="106"/>
      <c r="BC120" s="106"/>
      <c r="BD120" s="106"/>
      <c r="BE120" s="106"/>
      <c r="BF120" s="107"/>
    </row>
    <row r="121" spans="1:58">
      <c r="A121" s="473">
        <f t="shared" si="106"/>
        <v>56</v>
      </c>
      <c r="B121" s="474"/>
      <c r="C121" s="489" t="s">
        <v>596</v>
      </c>
      <c r="D121" s="491">
        <f t="shared" ref="D121" si="127">SUM(I121:BF121)</f>
        <v>0</v>
      </c>
      <c r="E121" s="493" t="str">
        <f t="shared" ref="E121" si="128">IF(D121=0,"",H122/D121)</f>
        <v/>
      </c>
      <c r="F121" s="493" t="str">
        <f t="shared" ref="F121" si="129">IF(H121=0,"",H122/H121)</f>
        <v/>
      </c>
      <c r="G121" s="370" t="s">
        <v>168</v>
      </c>
      <c r="H121" s="371">
        <f t="shared" si="111"/>
        <v>0</v>
      </c>
      <c r="I121" s="112"/>
      <c r="J121" s="113"/>
      <c r="K121" s="113"/>
      <c r="L121" s="113"/>
      <c r="M121" s="113"/>
      <c r="N121" s="113"/>
      <c r="O121" s="113"/>
      <c r="P121" s="113"/>
      <c r="Q121" s="113"/>
      <c r="R121" s="113"/>
      <c r="S121" s="113"/>
      <c r="T121" s="113"/>
      <c r="U121" s="113"/>
      <c r="V121" s="113"/>
      <c r="W121" s="113"/>
      <c r="X121" s="113"/>
      <c r="Y121" s="113"/>
      <c r="Z121" s="113"/>
      <c r="AA121" s="113"/>
      <c r="AB121" s="113"/>
      <c r="AC121" s="113"/>
      <c r="AD121" s="113"/>
      <c r="AE121" s="113"/>
      <c r="AF121" s="113"/>
      <c r="AG121" s="113"/>
      <c r="AH121" s="113"/>
      <c r="AI121" s="113"/>
      <c r="AJ121" s="113"/>
      <c r="AK121" s="113"/>
      <c r="AL121" s="113"/>
      <c r="AM121" s="113"/>
      <c r="AN121" s="113"/>
      <c r="AO121" s="113"/>
      <c r="AP121" s="113"/>
      <c r="AQ121" s="113"/>
      <c r="AR121" s="113"/>
      <c r="AS121" s="113"/>
      <c r="AT121" s="113"/>
      <c r="AU121" s="113"/>
      <c r="AV121" s="113"/>
      <c r="AW121" s="113"/>
      <c r="AX121" s="113"/>
      <c r="AY121" s="113"/>
      <c r="AZ121" s="113"/>
      <c r="BA121" s="113"/>
      <c r="BB121" s="113"/>
      <c r="BC121" s="113"/>
      <c r="BD121" s="113"/>
      <c r="BE121" s="113"/>
      <c r="BF121" s="114"/>
    </row>
    <row r="122" spans="1:58">
      <c r="A122" s="475"/>
      <c r="B122" s="474"/>
      <c r="C122" s="490"/>
      <c r="D122" s="492"/>
      <c r="E122" s="494"/>
      <c r="F122" s="494"/>
      <c r="G122" s="363" t="s">
        <v>167</v>
      </c>
      <c r="H122" s="369">
        <f t="shared" si="111"/>
        <v>0</v>
      </c>
      <c r="I122" s="105"/>
      <c r="J122" s="106"/>
      <c r="K122" s="106"/>
      <c r="L122" s="106"/>
      <c r="M122" s="106"/>
      <c r="N122" s="106"/>
      <c r="O122" s="106"/>
      <c r="P122" s="106"/>
      <c r="Q122" s="106"/>
      <c r="R122" s="106"/>
      <c r="S122" s="106"/>
      <c r="T122" s="106"/>
      <c r="U122" s="106"/>
      <c r="V122" s="106"/>
      <c r="W122" s="106"/>
      <c r="X122" s="106"/>
      <c r="Y122" s="106"/>
      <c r="Z122" s="106"/>
      <c r="AA122" s="106"/>
      <c r="AB122" s="106"/>
      <c r="AC122" s="106"/>
      <c r="AD122" s="106"/>
      <c r="AE122" s="106"/>
      <c r="AF122" s="106"/>
      <c r="AG122" s="106"/>
      <c r="AH122" s="106"/>
      <c r="AI122" s="106"/>
      <c r="AJ122" s="106"/>
      <c r="AK122" s="106"/>
      <c r="AL122" s="106"/>
      <c r="AM122" s="106"/>
      <c r="AN122" s="106"/>
      <c r="AO122" s="106"/>
      <c r="AP122" s="106"/>
      <c r="AQ122" s="106"/>
      <c r="AR122" s="106"/>
      <c r="AS122" s="106"/>
      <c r="AT122" s="106"/>
      <c r="AU122" s="106"/>
      <c r="AV122" s="106"/>
      <c r="AW122" s="106"/>
      <c r="AX122" s="106"/>
      <c r="AY122" s="106"/>
      <c r="AZ122" s="106"/>
      <c r="BA122" s="106"/>
      <c r="BB122" s="106"/>
      <c r="BC122" s="106"/>
      <c r="BD122" s="106"/>
      <c r="BE122" s="106"/>
      <c r="BF122" s="107"/>
    </row>
    <row r="123" spans="1:58">
      <c r="A123" s="473">
        <f t="shared" si="106"/>
        <v>57</v>
      </c>
      <c r="B123" s="474"/>
      <c r="C123" s="489" t="s">
        <v>596</v>
      </c>
      <c r="D123" s="491">
        <f t="shared" ref="D123" si="130">SUM(I123:BF123)</f>
        <v>0</v>
      </c>
      <c r="E123" s="493" t="str">
        <f t="shared" ref="E123" si="131">IF(D123=0,"",H124/D123)</f>
        <v/>
      </c>
      <c r="F123" s="493" t="str">
        <f t="shared" ref="F123" si="132">IF(H123=0,"",H124/H123)</f>
        <v/>
      </c>
      <c r="G123" s="370" t="s">
        <v>168</v>
      </c>
      <c r="H123" s="371">
        <f t="shared" si="111"/>
        <v>0</v>
      </c>
      <c r="I123" s="112"/>
      <c r="J123" s="113"/>
      <c r="K123" s="113"/>
      <c r="L123" s="113"/>
      <c r="M123" s="113"/>
      <c r="N123" s="113"/>
      <c r="O123" s="113"/>
      <c r="P123" s="113"/>
      <c r="Q123" s="113"/>
      <c r="R123" s="113"/>
      <c r="S123" s="113"/>
      <c r="T123" s="113"/>
      <c r="U123" s="113"/>
      <c r="V123" s="113"/>
      <c r="W123" s="113"/>
      <c r="X123" s="113"/>
      <c r="Y123" s="113"/>
      <c r="Z123" s="113"/>
      <c r="AA123" s="113"/>
      <c r="AB123" s="113"/>
      <c r="AC123" s="113"/>
      <c r="AD123" s="113"/>
      <c r="AE123" s="113"/>
      <c r="AF123" s="113"/>
      <c r="AG123" s="113"/>
      <c r="AH123" s="113"/>
      <c r="AI123" s="113"/>
      <c r="AJ123" s="113"/>
      <c r="AK123" s="113"/>
      <c r="AL123" s="113"/>
      <c r="AM123" s="113"/>
      <c r="AN123" s="113"/>
      <c r="AO123" s="113"/>
      <c r="AP123" s="113"/>
      <c r="AQ123" s="113"/>
      <c r="AR123" s="113"/>
      <c r="AS123" s="113"/>
      <c r="AT123" s="113"/>
      <c r="AU123" s="113"/>
      <c r="AV123" s="113"/>
      <c r="AW123" s="113"/>
      <c r="AX123" s="113"/>
      <c r="AY123" s="113"/>
      <c r="AZ123" s="113"/>
      <c r="BA123" s="113"/>
      <c r="BB123" s="113"/>
      <c r="BC123" s="113"/>
      <c r="BD123" s="113"/>
      <c r="BE123" s="113"/>
      <c r="BF123" s="114"/>
    </row>
    <row r="124" spans="1:58">
      <c r="A124" s="475"/>
      <c r="B124" s="474"/>
      <c r="C124" s="490"/>
      <c r="D124" s="492"/>
      <c r="E124" s="494"/>
      <c r="F124" s="494"/>
      <c r="G124" s="363" t="s">
        <v>167</v>
      </c>
      <c r="H124" s="369">
        <f t="shared" si="111"/>
        <v>0</v>
      </c>
      <c r="I124" s="105"/>
      <c r="J124" s="106"/>
      <c r="K124" s="106"/>
      <c r="L124" s="106"/>
      <c r="M124" s="106"/>
      <c r="N124" s="106"/>
      <c r="O124" s="106"/>
      <c r="P124" s="106"/>
      <c r="Q124" s="106"/>
      <c r="R124" s="106"/>
      <c r="S124" s="106"/>
      <c r="T124" s="106"/>
      <c r="U124" s="106"/>
      <c r="V124" s="106"/>
      <c r="W124" s="106"/>
      <c r="X124" s="106"/>
      <c r="Y124" s="106"/>
      <c r="Z124" s="106"/>
      <c r="AA124" s="106"/>
      <c r="AB124" s="106"/>
      <c r="AC124" s="106"/>
      <c r="AD124" s="106"/>
      <c r="AE124" s="106"/>
      <c r="AF124" s="106"/>
      <c r="AG124" s="106"/>
      <c r="AH124" s="106"/>
      <c r="AI124" s="106"/>
      <c r="AJ124" s="106"/>
      <c r="AK124" s="106"/>
      <c r="AL124" s="106"/>
      <c r="AM124" s="106"/>
      <c r="AN124" s="106"/>
      <c r="AO124" s="106"/>
      <c r="AP124" s="106"/>
      <c r="AQ124" s="106"/>
      <c r="AR124" s="106"/>
      <c r="AS124" s="106"/>
      <c r="AT124" s="106"/>
      <c r="AU124" s="106"/>
      <c r="AV124" s="106"/>
      <c r="AW124" s="106"/>
      <c r="AX124" s="106"/>
      <c r="AY124" s="106"/>
      <c r="AZ124" s="106"/>
      <c r="BA124" s="106"/>
      <c r="BB124" s="106"/>
      <c r="BC124" s="106"/>
      <c r="BD124" s="106"/>
      <c r="BE124" s="106"/>
      <c r="BF124" s="107"/>
    </row>
    <row r="125" spans="1:58">
      <c r="A125" s="473">
        <f t="shared" si="106"/>
        <v>58</v>
      </c>
      <c r="B125" s="474"/>
      <c r="C125" s="489" t="s">
        <v>596</v>
      </c>
      <c r="D125" s="491">
        <f t="shared" ref="D125" si="133">SUM(I125:BF125)</f>
        <v>0</v>
      </c>
      <c r="E125" s="493" t="str">
        <f t="shared" ref="E125" si="134">IF(D125=0,"",H126/D125)</f>
        <v/>
      </c>
      <c r="F125" s="493" t="str">
        <f t="shared" ref="F125" si="135">IF(H125=0,"",H126/H125)</f>
        <v/>
      </c>
      <c r="G125" s="370" t="s">
        <v>168</v>
      </c>
      <c r="H125" s="371">
        <f t="shared" si="111"/>
        <v>0</v>
      </c>
      <c r="I125" s="112"/>
      <c r="J125" s="113"/>
      <c r="K125" s="113"/>
      <c r="L125" s="113"/>
      <c r="M125" s="113"/>
      <c r="N125" s="113"/>
      <c r="O125" s="113"/>
      <c r="P125" s="113"/>
      <c r="Q125" s="113"/>
      <c r="R125" s="113"/>
      <c r="S125" s="113"/>
      <c r="T125" s="113"/>
      <c r="U125" s="113"/>
      <c r="V125" s="113"/>
      <c r="W125" s="113"/>
      <c r="X125" s="113"/>
      <c r="Y125" s="113"/>
      <c r="Z125" s="113"/>
      <c r="AA125" s="113"/>
      <c r="AB125" s="113"/>
      <c r="AC125" s="113"/>
      <c r="AD125" s="113"/>
      <c r="AE125" s="113"/>
      <c r="AF125" s="113"/>
      <c r="AG125" s="113"/>
      <c r="AH125" s="113"/>
      <c r="AI125" s="113"/>
      <c r="AJ125" s="113"/>
      <c r="AK125" s="113"/>
      <c r="AL125" s="113"/>
      <c r="AM125" s="113"/>
      <c r="AN125" s="113"/>
      <c r="AO125" s="113"/>
      <c r="AP125" s="113"/>
      <c r="AQ125" s="113"/>
      <c r="AR125" s="113"/>
      <c r="AS125" s="113"/>
      <c r="AT125" s="113"/>
      <c r="AU125" s="113"/>
      <c r="AV125" s="113"/>
      <c r="AW125" s="113"/>
      <c r="AX125" s="113"/>
      <c r="AY125" s="113"/>
      <c r="AZ125" s="113"/>
      <c r="BA125" s="113"/>
      <c r="BB125" s="113"/>
      <c r="BC125" s="113"/>
      <c r="BD125" s="113"/>
      <c r="BE125" s="113"/>
      <c r="BF125" s="114"/>
    </row>
    <row r="126" spans="1:58">
      <c r="A126" s="475"/>
      <c r="B126" s="474"/>
      <c r="C126" s="490"/>
      <c r="D126" s="492"/>
      <c r="E126" s="494"/>
      <c r="F126" s="494"/>
      <c r="G126" s="363" t="s">
        <v>167</v>
      </c>
      <c r="H126" s="369">
        <f t="shared" si="111"/>
        <v>0</v>
      </c>
      <c r="I126" s="105"/>
      <c r="J126" s="106"/>
      <c r="K126" s="106"/>
      <c r="L126" s="106"/>
      <c r="M126" s="106"/>
      <c r="N126" s="106"/>
      <c r="O126" s="106"/>
      <c r="P126" s="106"/>
      <c r="Q126" s="106"/>
      <c r="R126" s="106"/>
      <c r="S126" s="106"/>
      <c r="T126" s="106"/>
      <c r="U126" s="106"/>
      <c r="V126" s="106"/>
      <c r="W126" s="106"/>
      <c r="X126" s="106"/>
      <c r="Y126" s="106"/>
      <c r="Z126" s="106"/>
      <c r="AA126" s="106"/>
      <c r="AB126" s="106"/>
      <c r="AC126" s="106"/>
      <c r="AD126" s="106"/>
      <c r="AE126" s="106"/>
      <c r="AF126" s="106"/>
      <c r="AG126" s="106"/>
      <c r="AH126" s="106"/>
      <c r="AI126" s="106"/>
      <c r="AJ126" s="106"/>
      <c r="AK126" s="106"/>
      <c r="AL126" s="106"/>
      <c r="AM126" s="106"/>
      <c r="AN126" s="106"/>
      <c r="AO126" s="106"/>
      <c r="AP126" s="106"/>
      <c r="AQ126" s="106"/>
      <c r="AR126" s="106"/>
      <c r="AS126" s="106"/>
      <c r="AT126" s="106"/>
      <c r="AU126" s="106"/>
      <c r="AV126" s="106"/>
      <c r="AW126" s="106"/>
      <c r="AX126" s="106"/>
      <c r="AY126" s="106"/>
      <c r="AZ126" s="106"/>
      <c r="BA126" s="106"/>
      <c r="BB126" s="106"/>
      <c r="BC126" s="106"/>
      <c r="BD126" s="106"/>
      <c r="BE126" s="106"/>
      <c r="BF126" s="107"/>
    </row>
    <row r="127" spans="1:58">
      <c r="A127" s="473">
        <f t="shared" si="106"/>
        <v>59</v>
      </c>
      <c r="B127" s="474"/>
      <c r="C127" s="489" t="s">
        <v>596</v>
      </c>
      <c r="D127" s="491">
        <f t="shared" ref="D127" si="136">SUM(I127:BF127)</f>
        <v>0</v>
      </c>
      <c r="E127" s="493" t="str">
        <f t="shared" ref="E127" si="137">IF(D127=0,"",H128/D127)</f>
        <v/>
      </c>
      <c r="F127" s="493" t="str">
        <f t="shared" ref="F127" si="138">IF(H127=0,"",H128/H127)</f>
        <v/>
      </c>
      <c r="G127" s="370" t="s">
        <v>168</v>
      </c>
      <c r="H127" s="371">
        <f t="shared" si="111"/>
        <v>0</v>
      </c>
      <c r="I127" s="112"/>
      <c r="J127" s="113"/>
      <c r="K127" s="113"/>
      <c r="L127" s="113"/>
      <c r="M127" s="113"/>
      <c r="N127" s="113"/>
      <c r="O127" s="113"/>
      <c r="P127" s="113"/>
      <c r="Q127" s="113"/>
      <c r="R127" s="113"/>
      <c r="S127" s="113"/>
      <c r="T127" s="113"/>
      <c r="U127" s="113"/>
      <c r="V127" s="113"/>
      <c r="W127" s="113"/>
      <c r="X127" s="113"/>
      <c r="Y127" s="113"/>
      <c r="Z127" s="113"/>
      <c r="AA127" s="113"/>
      <c r="AB127" s="113"/>
      <c r="AC127" s="113"/>
      <c r="AD127" s="113"/>
      <c r="AE127" s="113"/>
      <c r="AF127" s="113"/>
      <c r="AG127" s="113"/>
      <c r="AH127" s="113"/>
      <c r="AI127" s="113"/>
      <c r="AJ127" s="113"/>
      <c r="AK127" s="113"/>
      <c r="AL127" s="113"/>
      <c r="AM127" s="113"/>
      <c r="AN127" s="113"/>
      <c r="AO127" s="113"/>
      <c r="AP127" s="113"/>
      <c r="AQ127" s="113"/>
      <c r="AR127" s="113"/>
      <c r="AS127" s="113"/>
      <c r="AT127" s="113"/>
      <c r="AU127" s="113"/>
      <c r="AV127" s="113"/>
      <c r="AW127" s="113"/>
      <c r="AX127" s="113"/>
      <c r="AY127" s="113"/>
      <c r="AZ127" s="113"/>
      <c r="BA127" s="113"/>
      <c r="BB127" s="113"/>
      <c r="BC127" s="113"/>
      <c r="BD127" s="113"/>
      <c r="BE127" s="113"/>
      <c r="BF127" s="114"/>
    </row>
    <row r="128" spans="1:58">
      <c r="A128" s="475"/>
      <c r="B128" s="474"/>
      <c r="C128" s="490"/>
      <c r="D128" s="492"/>
      <c r="E128" s="494"/>
      <c r="F128" s="494"/>
      <c r="G128" s="363" t="s">
        <v>167</v>
      </c>
      <c r="H128" s="369">
        <f t="shared" si="111"/>
        <v>0</v>
      </c>
      <c r="I128" s="105"/>
      <c r="J128" s="106"/>
      <c r="K128" s="106"/>
      <c r="L128" s="106"/>
      <c r="M128" s="106"/>
      <c r="N128" s="106"/>
      <c r="O128" s="106"/>
      <c r="P128" s="106"/>
      <c r="Q128" s="106"/>
      <c r="R128" s="106"/>
      <c r="S128" s="106"/>
      <c r="T128" s="106"/>
      <c r="U128" s="106"/>
      <c r="V128" s="106"/>
      <c r="W128" s="106"/>
      <c r="X128" s="106"/>
      <c r="Y128" s="106"/>
      <c r="Z128" s="106"/>
      <c r="AA128" s="106"/>
      <c r="AB128" s="106"/>
      <c r="AC128" s="106"/>
      <c r="AD128" s="106"/>
      <c r="AE128" s="106"/>
      <c r="AF128" s="106"/>
      <c r="AG128" s="106"/>
      <c r="AH128" s="106"/>
      <c r="AI128" s="106"/>
      <c r="AJ128" s="106"/>
      <c r="AK128" s="106"/>
      <c r="AL128" s="106"/>
      <c r="AM128" s="106"/>
      <c r="AN128" s="106"/>
      <c r="AO128" s="106"/>
      <c r="AP128" s="106"/>
      <c r="AQ128" s="106"/>
      <c r="AR128" s="106"/>
      <c r="AS128" s="106"/>
      <c r="AT128" s="106"/>
      <c r="AU128" s="106"/>
      <c r="AV128" s="106"/>
      <c r="AW128" s="106"/>
      <c r="AX128" s="106"/>
      <c r="AY128" s="106"/>
      <c r="AZ128" s="106"/>
      <c r="BA128" s="106"/>
      <c r="BB128" s="106"/>
      <c r="BC128" s="106"/>
      <c r="BD128" s="106"/>
      <c r="BE128" s="106"/>
      <c r="BF128" s="107"/>
    </row>
    <row r="129" spans="1:58">
      <c r="A129" s="473">
        <f t="shared" si="106"/>
        <v>60</v>
      </c>
      <c r="B129" s="474"/>
      <c r="C129" s="489" t="s">
        <v>596</v>
      </c>
      <c r="D129" s="491">
        <f t="shared" ref="D129" si="139">SUM(I129:BF129)</f>
        <v>0</v>
      </c>
      <c r="E129" s="493" t="str">
        <f t="shared" ref="E129" si="140">IF(D129=0,"",H130/D129)</f>
        <v/>
      </c>
      <c r="F129" s="493" t="str">
        <f t="shared" ref="F129" si="141">IF(H129=0,"",H130/H129)</f>
        <v/>
      </c>
      <c r="G129" s="370" t="s">
        <v>168</v>
      </c>
      <c r="H129" s="371">
        <f t="shared" si="111"/>
        <v>0</v>
      </c>
      <c r="I129" s="112"/>
      <c r="J129" s="113"/>
      <c r="K129" s="113"/>
      <c r="L129" s="113"/>
      <c r="M129" s="113"/>
      <c r="N129" s="113"/>
      <c r="O129" s="113"/>
      <c r="P129" s="113"/>
      <c r="Q129" s="113"/>
      <c r="R129" s="113"/>
      <c r="S129" s="113"/>
      <c r="T129" s="113"/>
      <c r="U129" s="113"/>
      <c r="V129" s="113"/>
      <c r="W129" s="113"/>
      <c r="X129" s="113"/>
      <c r="Y129" s="113"/>
      <c r="Z129" s="113"/>
      <c r="AA129" s="113"/>
      <c r="AB129" s="113"/>
      <c r="AC129" s="113"/>
      <c r="AD129" s="113"/>
      <c r="AE129" s="113"/>
      <c r="AF129" s="113"/>
      <c r="AG129" s="113"/>
      <c r="AH129" s="113"/>
      <c r="AI129" s="113"/>
      <c r="AJ129" s="113"/>
      <c r="AK129" s="113"/>
      <c r="AL129" s="113"/>
      <c r="AM129" s="113"/>
      <c r="AN129" s="113"/>
      <c r="AO129" s="113"/>
      <c r="AP129" s="113"/>
      <c r="AQ129" s="113"/>
      <c r="AR129" s="113"/>
      <c r="AS129" s="113"/>
      <c r="AT129" s="113"/>
      <c r="AU129" s="113"/>
      <c r="AV129" s="113"/>
      <c r="AW129" s="113"/>
      <c r="AX129" s="113"/>
      <c r="AY129" s="113"/>
      <c r="AZ129" s="113"/>
      <c r="BA129" s="113"/>
      <c r="BB129" s="113"/>
      <c r="BC129" s="113"/>
      <c r="BD129" s="113"/>
      <c r="BE129" s="113"/>
      <c r="BF129" s="114"/>
    </row>
    <row r="130" spans="1:58">
      <c r="A130" s="475"/>
      <c r="B130" s="474"/>
      <c r="C130" s="490"/>
      <c r="D130" s="492"/>
      <c r="E130" s="494"/>
      <c r="F130" s="494"/>
      <c r="G130" s="363" t="s">
        <v>167</v>
      </c>
      <c r="H130" s="369">
        <f t="shared" si="111"/>
        <v>0</v>
      </c>
      <c r="I130" s="105"/>
      <c r="J130" s="106"/>
      <c r="K130" s="106"/>
      <c r="L130" s="106"/>
      <c r="M130" s="106"/>
      <c r="N130" s="106"/>
      <c r="O130" s="106"/>
      <c r="P130" s="106"/>
      <c r="Q130" s="106"/>
      <c r="R130" s="106"/>
      <c r="S130" s="106"/>
      <c r="T130" s="106"/>
      <c r="U130" s="106"/>
      <c r="V130" s="106"/>
      <c r="W130" s="106"/>
      <c r="X130" s="106"/>
      <c r="Y130" s="106"/>
      <c r="Z130" s="106"/>
      <c r="AA130" s="106"/>
      <c r="AB130" s="106"/>
      <c r="AC130" s="106"/>
      <c r="AD130" s="106"/>
      <c r="AE130" s="106"/>
      <c r="AF130" s="106"/>
      <c r="AG130" s="106"/>
      <c r="AH130" s="106"/>
      <c r="AI130" s="106"/>
      <c r="AJ130" s="106"/>
      <c r="AK130" s="106"/>
      <c r="AL130" s="106"/>
      <c r="AM130" s="106"/>
      <c r="AN130" s="106"/>
      <c r="AO130" s="106"/>
      <c r="AP130" s="106"/>
      <c r="AQ130" s="106"/>
      <c r="AR130" s="106"/>
      <c r="AS130" s="106"/>
      <c r="AT130" s="106"/>
      <c r="AU130" s="106"/>
      <c r="AV130" s="106"/>
      <c r="AW130" s="106"/>
      <c r="AX130" s="106"/>
      <c r="AY130" s="106"/>
      <c r="AZ130" s="106"/>
      <c r="BA130" s="106"/>
      <c r="BB130" s="106"/>
      <c r="BC130" s="106"/>
      <c r="BD130" s="106"/>
      <c r="BE130" s="106"/>
      <c r="BF130" s="107"/>
    </row>
    <row r="131" spans="1:58">
      <c r="A131" s="473">
        <f t="shared" si="106"/>
        <v>61</v>
      </c>
      <c r="B131" s="474"/>
      <c r="C131" s="489" t="s">
        <v>596</v>
      </c>
      <c r="D131" s="469">
        <f t="shared" ref="D131" si="142">SUM(I131:BF131)</f>
        <v>0</v>
      </c>
      <c r="E131" s="471" t="str">
        <f t="shared" ref="E131" si="143">IF(D131=0,"",H132/D131)</f>
        <v/>
      </c>
      <c r="F131" s="471" t="str">
        <f t="shared" ref="F131" si="144">IF(H131=0,"",H132/H131)</f>
        <v/>
      </c>
      <c r="G131" s="71" t="s">
        <v>168</v>
      </c>
      <c r="H131" s="67">
        <f t="shared" si="111"/>
        <v>0</v>
      </c>
      <c r="I131" s="112"/>
      <c r="J131" s="113"/>
      <c r="K131" s="113"/>
      <c r="L131" s="113"/>
      <c r="M131" s="113"/>
      <c r="N131" s="113"/>
      <c r="O131" s="113"/>
      <c r="P131" s="113"/>
      <c r="Q131" s="113"/>
      <c r="R131" s="113"/>
      <c r="S131" s="113"/>
      <c r="T131" s="113"/>
      <c r="U131" s="113"/>
      <c r="V131" s="113"/>
      <c r="W131" s="113"/>
      <c r="X131" s="113"/>
      <c r="Y131" s="113"/>
      <c r="Z131" s="113"/>
      <c r="AA131" s="113"/>
      <c r="AB131" s="113"/>
      <c r="AC131" s="113"/>
      <c r="AD131" s="113"/>
      <c r="AE131" s="113"/>
      <c r="AF131" s="113"/>
      <c r="AG131" s="113"/>
      <c r="AH131" s="113"/>
      <c r="AI131" s="113"/>
      <c r="AJ131" s="113"/>
      <c r="AK131" s="113"/>
      <c r="AL131" s="113"/>
      <c r="AM131" s="113"/>
      <c r="AN131" s="113"/>
      <c r="AO131" s="113"/>
      <c r="AP131" s="113"/>
      <c r="AQ131" s="113"/>
      <c r="AR131" s="113"/>
      <c r="AS131" s="113"/>
      <c r="AT131" s="113"/>
      <c r="AU131" s="113"/>
      <c r="AV131" s="113"/>
      <c r="AW131" s="113"/>
      <c r="AX131" s="113"/>
      <c r="AY131" s="113"/>
      <c r="AZ131" s="113"/>
      <c r="BA131" s="113"/>
      <c r="BB131" s="113"/>
      <c r="BC131" s="113"/>
      <c r="BD131" s="113"/>
      <c r="BE131" s="113"/>
      <c r="BF131" s="114"/>
    </row>
    <row r="132" spans="1:58">
      <c r="A132" s="475"/>
      <c r="B132" s="474"/>
      <c r="C132" s="490"/>
      <c r="D132" s="470"/>
      <c r="E132" s="472"/>
      <c r="F132" s="472"/>
      <c r="G132" s="72" t="s">
        <v>167</v>
      </c>
      <c r="H132" s="68">
        <f t="shared" si="111"/>
        <v>0</v>
      </c>
      <c r="I132" s="105"/>
      <c r="J132" s="106"/>
      <c r="K132" s="106"/>
      <c r="L132" s="106"/>
      <c r="M132" s="106"/>
      <c r="N132" s="106"/>
      <c r="O132" s="106"/>
      <c r="P132" s="106"/>
      <c r="Q132" s="106"/>
      <c r="R132" s="106"/>
      <c r="S132" s="106"/>
      <c r="T132" s="106"/>
      <c r="U132" s="106"/>
      <c r="V132" s="106"/>
      <c r="W132" s="106"/>
      <c r="X132" s="106"/>
      <c r="Y132" s="106"/>
      <c r="Z132" s="106"/>
      <c r="AA132" s="106"/>
      <c r="AB132" s="106"/>
      <c r="AC132" s="106"/>
      <c r="AD132" s="106"/>
      <c r="AE132" s="106"/>
      <c r="AF132" s="106"/>
      <c r="AG132" s="106"/>
      <c r="AH132" s="106"/>
      <c r="AI132" s="106"/>
      <c r="AJ132" s="106"/>
      <c r="AK132" s="106"/>
      <c r="AL132" s="106"/>
      <c r="AM132" s="106"/>
      <c r="AN132" s="106"/>
      <c r="AO132" s="106"/>
      <c r="AP132" s="106"/>
      <c r="AQ132" s="106"/>
      <c r="AR132" s="106"/>
      <c r="AS132" s="106"/>
      <c r="AT132" s="106"/>
      <c r="AU132" s="106"/>
      <c r="AV132" s="106"/>
      <c r="AW132" s="106"/>
      <c r="AX132" s="106"/>
      <c r="AY132" s="106"/>
      <c r="AZ132" s="106"/>
      <c r="BA132" s="106"/>
      <c r="BB132" s="106"/>
      <c r="BC132" s="106"/>
      <c r="BD132" s="106"/>
      <c r="BE132" s="106"/>
      <c r="BF132" s="107"/>
    </row>
    <row r="133" spans="1:58">
      <c r="A133" s="473">
        <f t="shared" si="106"/>
        <v>62</v>
      </c>
      <c r="B133" s="474"/>
      <c r="C133" s="489" t="s">
        <v>596</v>
      </c>
      <c r="D133" s="469">
        <f t="shared" ref="D133" si="145">SUM(I133:BF133)</f>
        <v>0</v>
      </c>
      <c r="E133" s="471" t="str">
        <f t="shared" ref="E133" si="146">IF(D133=0,"",H134/D133)</f>
        <v/>
      </c>
      <c r="F133" s="471" t="str">
        <f t="shared" ref="F133" si="147">IF(H133=0,"",H134/H133)</f>
        <v/>
      </c>
      <c r="G133" s="71" t="s">
        <v>168</v>
      </c>
      <c r="H133" s="67">
        <f t="shared" si="111"/>
        <v>0</v>
      </c>
      <c r="I133" s="112"/>
      <c r="J133" s="113"/>
      <c r="K133" s="113"/>
      <c r="L133" s="113"/>
      <c r="M133" s="113"/>
      <c r="N133" s="113"/>
      <c r="O133" s="113"/>
      <c r="P133" s="113"/>
      <c r="Q133" s="113"/>
      <c r="R133" s="113"/>
      <c r="S133" s="113"/>
      <c r="T133" s="113"/>
      <c r="U133" s="113"/>
      <c r="V133" s="113"/>
      <c r="W133" s="113"/>
      <c r="X133" s="113"/>
      <c r="Y133" s="113"/>
      <c r="Z133" s="113"/>
      <c r="AA133" s="113"/>
      <c r="AB133" s="113"/>
      <c r="AC133" s="113"/>
      <c r="AD133" s="113"/>
      <c r="AE133" s="113"/>
      <c r="AF133" s="113"/>
      <c r="AG133" s="113"/>
      <c r="AH133" s="113"/>
      <c r="AI133" s="113"/>
      <c r="AJ133" s="113"/>
      <c r="AK133" s="113"/>
      <c r="AL133" s="113"/>
      <c r="AM133" s="113"/>
      <c r="AN133" s="113"/>
      <c r="AO133" s="113"/>
      <c r="AP133" s="113"/>
      <c r="AQ133" s="113"/>
      <c r="AR133" s="113"/>
      <c r="AS133" s="113"/>
      <c r="AT133" s="113"/>
      <c r="AU133" s="113"/>
      <c r="AV133" s="113"/>
      <c r="AW133" s="113"/>
      <c r="AX133" s="113"/>
      <c r="AY133" s="113"/>
      <c r="AZ133" s="113"/>
      <c r="BA133" s="113"/>
      <c r="BB133" s="113"/>
      <c r="BC133" s="113"/>
      <c r="BD133" s="113"/>
      <c r="BE133" s="113"/>
      <c r="BF133" s="114"/>
    </row>
    <row r="134" spans="1:58">
      <c r="A134" s="475"/>
      <c r="B134" s="474"/>
      <c r="C134" s="490"/>
      <c r="D134" s="470"/>
      <c r="E134" s="472"/>
      <c r="F134" s="472"/>
      <c r="G134" s="72" t="s">
        <v>167</v>
      </c>
      <c r="H134" s="68">
        <f t="shared" si="111"/>
        <v>0</v>
      </c>
      <c r="I134" s="105"/>
      <c r="J134" s="106"/>
      <c r="K134" s="106"/>
      <c r="L134" s="106"/>
      <c r="M134" s="106"/>
      <c r="N134" s="106"/>
      <c r="O134" s="106"/>
      <c r="P134" s="106"/>
      <c r="Q134" s="106"/>
      <c r="R134" s="106"/>
      <c r="S134" s="106"/>
      <c r="T134" s="106"/>
      <c r="U134" s="106"/>
      <c r="V134" s="106"/>
      <c r="W134" s="106"/>
      <c r="X134" s="106"/>
      <c r="Y134" s="106"/>
      <c r="Z134" s="106"/>
      <c r="AA134" s="106"/>
      <c r="AB134" s="106"/>
      <c r="AC134" s="106"/>
      <c r="AD134" s="106"/>
      <c r="AE134" s="106"/>
      <c r="AF134" s="106"/>
      <c r="AG134" s="106"/>
      <c r="AH134" s="106"/>
      <c r="AI134" s="106"/>
      <c r="AJ134" s="106"/>
      <c r="AK134" s="106"/>
      <c r="AL134" s="106"/>
      <c r="AM134" s="106"/>
      <c r="AN134" s="106"/>
      <c r="AO134" s="106"/>
      <c r="AP134" s="106"/>
      <c r="AQ134" s="106"/>
      <c r="AR134" s="106"/>
      <c r="AS134" s="106"/>
      <c r="AT134" s="106"/>
      <c r="AU134" s="106"/>
      <c r="AV134" s="106"/>
      <c r="AW134" s="106"/>
      <c r="AX134" s="106"/>
      <c r="AY134" s="106"/>
      <c r="AZ134" s="106"/>
      <c r="BA134" s="106"/>
      <c r="BB134" s="106"/>
      <c r="BC134" s="106"/>
      <c r="BD134" s="106"/>
      <c r="BE134" s="106"/>
      <c r="BF134" s="107"/>
    </row>
    <row r="135" spans="1:58">
      <c r="A135" s="473">
        <f t="shared" si="106"/>
        <v>63</v>
      </c>
      <c r="B135" s="474"/>
      <c r="C135" s="489" t="s">
        <v>596</v>
      </c>
      <c r="D135" s="469">
        <f t="shared" ref="D135" si="148">SUM(I135:BF135)</f>
        <v>0</v>
      </c>
      <c r="E135" s="471" t="str">
        <f t="shared" ref="E135" si="149">IF(D135=0,"",H136/D135)</f>
        <v/>
      </c>
      <c r="F135" s="471" t="str">
        <f t="shared" ref="F135" si="150">IF(H135=0,"",H136/H135)</f>
        <v/>
      </c>
      <c r="G135" s="71" t="s">
        <v>168</v>
      </c>
      <c r="H135" s="67">
        <f t="shared" si="111"/>
        <v>0</v>
      </c>
      <c r="I135" s="112"/>
      <c r="J135" s="113"/>
      <c r="K135" s="113"/>
      <c r="L135" s="113"/>
      <c r="M135" s="113"/>
      <c r="N135" s="113"/>
      <c r="O135" s="113"/>
      <c r="P135" s="113"/>
      <c r="Q135" s="113"/>
      <c r="R135" s="113"/>
      <c r="S135" s="113"/>
      <c r="T135" s="113"/>
      <c r="U135" s="113"/>
      <c r="V135" s="113"/>
      <c r="W135" s="113"/>
      <c r="X135" s="113"/>
      <c r="Y135" s="113"/>
      <c r="Z135" s="113"/>
      <c r="AA135" s="113"/>
      <c r="AB135" s="113"/>
      <c r="AC135" s="113"/>
      <c r="AD135" s="113"/>
      <c r="AE135" s="113"/>
      <c r="AF135" s="113"/>
      <c r="AG135" s="113"/>
      <c r="AH135" s="113"/>
      <c r="AI135" s="113"/>
      <c r="AJ135" s="113"/>
      <c r="AK135" s="113"/>
      <c r="AL135" s="113"/>
      <c r="AM135" s="113"/>
      <c r="AN135" s="113"/>
      <c r="AO135" s="113"/>
      <c r="AP135" s="113"/>
      <c r="AQ135" s="113"/>
      <c r="AR135" s="113"/>
      <c r="AS135" s="113"/>
      <c r="AT135" s="113"/>
      <c r="AU135" s="113"/>
      <c r="AV135" s="113"/>
      <c r="AW135" s="113"/>
      <c r="AX135" s="113"/>
      <c r="AY135" s="113"/>
      <c r="AZ135" s="113"/>
      <c r="BA135" s="113"/>
      <c r="BB135" s="113"/>
      <c r="BC135" s="113"/>
      <c r="BD135" s="113"/>
      <c r="BE135" s="113"/>
      <c r="BF135" s="114"/>
    </row>
    <row r="136" spans="1:58">
      <c r="A136" s="475"/>
      <c r="B136" s="474"/>
      <c r="C136" s="490"/>
      <c r="D136" s="470"/>
      <c r="E136" s="472"/>
      <c r="F136" s="472"/>
      <c r="G136" s="72" t="s">
        <v>167</v>
      </c>
      <c r="H136" s="68">
        <f t="shared" si="111"/>
        <v>0</v>
      </c>
      <c r="I136" s="105"/>
      <c r="J136" s="106"/>
      <c r="K136" s="106"/>
      <c r="L136" s="106"/>
      <c r="M136" s="106"/>
      <c r="N136" s="106"/>
      <c r="O136" s="106"/>
      <c r="P136" s="106"/>
      <c r="Q136" s="106"/>
      <c r="R136" s="106"/>
      <c r="S136" s="106"/>
      <c r="T136" s="106"/>
      <c r="U136" s="106"/>
      <c r="V136" s="106"/>
      <c r="W136" s="106"/>
      <c r="X136" s="106"/>
      <c r="Y136" s="106"/>
      <c r="Z136" s="106"/>
      <c r="AA136" s="106"/>
      <c r="AB136" s="106"/>
      <c r="AC136" s="106"/>
      <c r="AD136" s="106"/>
      <c r="AE136" s="106"/>
      <c r="AF136" s="106"/>
      <c r="AG136" s="106"/>
      <c r="AH136" s="106"/>
      <c r="AI136" s="106"/>
      <c r="AJ136" s="106"/>
      <c r="AK136" s="106"/>
      <c r="AL136" s="106"/>
      <c r="AM136" s="106"/>
      <c r="AN136" s="106"/>
      <c r="AO136" s="106"/>
      <c r="AP136" s="106"/>
      <c r="AQ136" s="106"/>
      <c r="AR136" s="106"/>
      <c r="AS136" s="106"/>
      <c r="AT136" s="106"/>
      <c r="AU136" s="106"/>
      <c r="AV136" s="106"/>
      <c r="AW136" s="106"/>
      <c r="AX136" s="106"/>
      <c r="AY136" s="106"/>
      <c r="AZ136" s="106"/>
      <c r="BA136" s="106"/>
      <c r="BB136" s="106"/>
      <c r="BC136" s="106"/>
      <c r="BD136" s="106"/>
      <c r="BE136" s="106"/>
      <c r="BF136" s="107"/>
    </row>
    <row r="137" spans="1:58">
      <c r="A137" s="473">
        <f t="shared" si="106"/>
        <v>64</v>
      </c>
      <c r="B137" s="474"/>
      <c r="C137" s="489" t="s">
        <v>596</v>
      </c>
      <c r="D137" s="469">
        <f t="shared" ref="D137" si="151">SUM(I137:BF137)</f>
        <v>0</v>
      </c>
      <c r="E137" s="471" t="str">
        <f t="shared" ref="E137" si="152">IF(D137=0,"",H138/D137)</f>
        <v/>
      </c>
      <c r="F137" s="471" t="str">
        <f t="shared" ref="F137" si="153">IF(H137=0,"",H138/H137)</f>
        <v/>
      </c>
      <c r="G137" s="71" t="s">
        <v>168</v>
      </c>
      <c r="H137" s="67">
        <f t="shared" si="111"/>
        <v>0</v>
      </c>
      <c r="I137" s="112"/>
      <c r="J137" s="113"/>
      <c r="K137" s="113"/>
      <c r="L137" s="113"/>
      <c r="M137" s="113"/>
      <c r="N137" s="113"/>
      <c r="O137" s="113"/>
      <c r="P137" s="113"/>
      <c r="Q137" s="113"/>
      <c r="R137" s="113"/>
      <c r="S137" s="113"/>
      <c r="T137" s="113"/>
      <c r="U137" s="113"/>
      <c r="V137" s="113"/>
      <c r="W137" s="113"/>
      <c r="X137" s="113"/>
      <c r="Y137" s="113"/>
      <c r="Z137" s="113"/>
      <c r="AA137" s="113"/>
      <c r="AB137" s="113"/>
      <c r="AC137" s="113"/>
      <c r="AD137" s="113"/>
      <c r="AE137" s="113"/>
      <c r="AF137" s="113"/>
      <c r="AG137" s="113"/>
      <c r="AH137" s="113"/>
      <c r="AI137" s="113"/>
      <c r="AJ137" s="113"/>
      <c r="AK137" s="113"/>
      <c r="AL137" s="113"/>
      <c r="AM137" s="113"/>
      <c r="AN137" s="113"/>
      <c r="AO137" s="113"/>
      <c r="AP137" s="113"/>
      <c r="AQ137" s="113"/>
      <c r="AR137" s="113"/>
      <c r="AS137" s="113"/>
      <c r="AT137" s="113"/>
      <c r="AU137" s="113"/>
      <c r="AV137" s="113"/>
      <c r="AW137" s="113"/>
      <c r="AX137" s="113"/>
      <c r="AY137" s="113"/>
      <c r="AZ137" s="113"/>
      <c r="BA137" s="113"/>
      <c r="BB137" s="113"/>
      <c r="BC137" s="113"/>
      <c r="BD137" s="113"/>
      <c r="BE137" s="113"/>
      <c r="BF137" s="114"/>
    </row>
    <row r="138" spans="1:58">
      <c r="A138" s="475"/>
      <c r="B138" s="474"/>
      <c r="C138" s="490"/>
      <c r="D138" s="470"/>
      <c r="E138" s="472"/>
      <c r="F138" s="472"/>
      <c r="G138" s="72" t="s">
        <v>167</v>
      </c>
      <c r="H138" s="68">
        <f t="shared" si="111"/>
        <v>0</v>
      </c>
      <c r="I138" s="105"/>
      <c r="J138" s="106"/>
      <c r="K138" s="106"/>
      <c r="L138" s="106"/>
      <c r="M138" s="106"/>
      <c r="N138" s="106"/>
      <c r="O138" s="106"/>
      <c r="P138" s="106"/>
      <c r="Q138" s="106"/>
      <c r="R138" s="106"/>
      <c r="S138" s="106"/>
      <c r="T138" s="106"/>
      <c r="U138" s="106"/>
      <c r="V138" s="106"/>
      <c r="W138" s="106"/>
      <c r="X138" s="106"/>
      <c r="Y138" s="106"/>
      <c r="Z138" s="106"/>
      <c r="AA138" s="106"/>
      <c r="AB138" s="106"/>
      <c r="AC138" s="106"/>
      <c r="AD138" s="106"/>
      <c r="AE138" s="106"/>
      <c r="AF138" s="106"/>
      <c r="AG138" s="106"/>
      <c r="AH138" s="106"/>
      <c r="AI138" s="106"/>
      <c r="AJ138" s="106"/>
      <c r="AK138" s="106"/>
      <c r="AL138" s="106"/>
      <c r="AM138" s="106"/>
      <c r="AN138" s="106"/>
      <c r="AO138" s="106"/>
      <c r="AP138" s="106"/>
      <c r="AQ138" s="106"/>
      <c r="AR138" s="106"/>
      <c r="AS138" s="106"/>
      <c r="AT138" s="106"/>
      <c r="AU138" s="106"/>
      <c r="AV138" s="106"/>
      <c r="AW138" s="106"/>
      <c r="AX138" s="106"/>
      <c r="AY138" s="106"/>
      <c r="AZ138" s="106"/>
      <c r="BA138" s="106"/>
      <c r="BB138" s="106"/>
      <c r="BC138" s="106"/>
      <c r="BD138" s="106"/>
      <c r="BE138" s="106"/>
      <c r="BF138" s="107"/>
    </row>
    <row r="139" spans="1:58">
      <c r="A139" s="473">
        <f t="shared" si="106"/>
        <v>65</v>
      </c>
      <c r="B139" s="474"/>
      <c r="C139" s="489" t="s">
        <v>596</v>
      </c>
      <c r="D139" s="469">
        <f t="shared" ref="D139" si="154">SUM(I139:BF139)</f>
        <v>0</v>
      </c>
      <c r="E139" s="471" t="str">
        <f t="shared" ref="E139" si="155">IF(D139=0,"",H140/D139)</f>
        <v/>
      </c>
      <c r="F139" s="471" t="str">
        <f t="shared" ref="F139" si="156">IF(H139=0,"",H140/H139)</f>
        <v/>
      </c>
      <c r="G139" s="71" t="s">
        <v>168</v>
      </c>
      <c r="H139" s="67">
        <f t="shared" si="111"/>
        <v>0</v>
      </c>
      <c r="I139" s="112"/>
      <c r="J139" s="113"/>
      <c r="K139" s="113"/>
      <c r="L139" s="113"/>
      <c r="M139" s="113"/>
      <c r="N139" s="113"/>
      <c r="O139" s="113"/>
      <c r="P139" s="113"/>
      <c r="Q139" s="113"/>
      <c r="R139" s="113"/>
      <c r="S139" s="113"/>
      <c r="T139" s="113"/>
      <c r="U139" s="113"/>
      <c r="V139" s="113"/>
      <c r="W139" s="113"/>
      <c r="X139" s="113"/>
      <c r="Y139" s="113"/>
      <c r="Z139" s="113"/>
      <c r="AA139" s="113"/>
      <c r="AB139" s="113"/>
      <c r="AC139" s="113"/>
      <c r="AD139" s="113"/>
      <c r="AE139" s="113"/>
      <c r="AF139" s="113"/>
      <c r="AG139" s="113"/>
      <c r="AH139" s="113"/>
      <c r="AI139" s="113"/>
      <c r="AJ139" s="113"/>
      <c r="AK139" s="113"/>
      <c r="AL139" s="113"/>
      <c r="AM139" s="113"/>
      <c r="AN139" s="113"/>
      <c r="AO139" s="113"/>
      <c r="AP139" s="113"/>
      <c r="AQ139" s="113"/>
      <c r="AR139" s="113"/>
      <c r="AS139" s="113"/>
      <c r="AT139" s="113"/>
      <c r="AU139" s="113"/>
      <c r="AV139" s="113"/>
      <c r="AW139" s="113"/>
      <c r="AX139" s="113"/>
      <c r="AY139" s="113"/>
      <c r="AZ139" s="113"/>
      <c r="BA139" s="113"/>
      <c r="BB139" s="113"/>
      <c r="BC139" s="113"/>
      <c r="BD139" s="113"/>
      <c r="BE139" s="113"/>
      <c r="BF139" s="114"/>
    </row>
    <row r="140" spans="1:58">
      <c r="A140" s="475"/>
      <c r="B140" s="474"/>
      <c r="C140" s="490"/>
      <c r="D140" s="470"/>
      <c r="E140" s="472"/>
      <c r="F140" s="472"/>
      <c r="G140" s="72" t="s">
        <v>167</v>
      </c>
      <c r="H140" s="68">
        <f t="shared" si="111"/>
        <v>0</v>
      </c>
      <c r="I140" s="105"/>
      <c r="J140" s="106"/>
      <c r="K140" s="106"/>
      <c r="L140" s="106"/>
      <c r="M140" s="106"/>
      <c r="N140" s="106"/>
      <c r="O140" s="106"/>
      <c r="P140" s="106"/>
      <c r="Q140" s="106"/>
      <c r="R140" s="106"/>
      <c r="S140" s="106"/>
      <c r="T140" s="106"/>
      <c r="U140" s="106"/>
      <c r="V140" s="106"/>
      <c r="W140" s="106"/>
      <c r="X140" s="106"/>
      <c r="Y140" s="106"/>
      <c r="Z140" s="106"/>
      <c r="AA140" s="106"/>
      <c r="AB140" s="106"/>
      <c r="AC140" s="106"/>
      <c r="AD140" s="106"/>
      <c r="AE140" s="106"/>
      <c r="AF140" s="106"/>
      <c r="AG140" s="106"/>
      <c r="AH140" s="106"/>
      <c r="AI140" s="106"/>
      <c r="AJ140" s="106"/>
      <c r="AK140" s="106"/>
      <c r="AL140" s="106"/>
      <c r="AM140" s="106"/>
      <c r="AN140" s="106"/>
      <c r="AO140" s="106"/>
      <c r="AP140" s="106"/>
      <c r="AQ140" s="106"/>
      <c r="AR140" s="106"/>
      <c r="AS140" s="106"/>
      <c r="AT140" s="106"/>
      <c r="AU140" s="106"/>
      <c r="AV140" s="106"/>
      <c r="AW140" s="106"/>
      <c r="AX140" s="106"/>
      <c r="AY140" s="106"/>
      <c r="AZ140" s="106"/>
      <c r="BA140" s="106"/>
      <c r="BB140" s="106"/>
      <c r="BC140" s="106"/>
      <c r="BD140" s="106"/>
      <c r="BE140" s="106"/>
      <c r="BF140" s="107"/>
    </row>
    <row r="141" spans="1:58">
      <c r="A141" s="473">
        <f t="shared" si="106"/>
        <v>66</v>
      </c>
      <c r="B141" s="474"/>
      <c r="C141" s="489" t="s">
        <v>596</v>
      </c>
      <c r="D141" s="469">
        <f t="shared" ref="D141" si="157">SUM(I141:BF141)</f>
        <v>0</v>
      </c>
      <c r="E141" s="471" t="str">
        <f t="shared" ref="E141" si="158">IF(D141=0,"",H142/D141)</f>
        <v/>
      </c>
      <c r="F141" s="471" t="str">
        <f t="shared" ref="F141" si="159">IF(H141=0,"",H142/H141)</f>
        <v/>
      </c>
      <c r="G141" s="71" t="s">
        <v>168</v>
      </c>
      <c r="H141" s="67">
        <f t="shared" si="111"/>
        <v>0</v>
      </c>
      <c r="I141" s="112"/>
      <c r="J141" s="113"/>
      <c r="K141" s="113"/>
      <c r="L141" s="113"/>
      <c r="M141" s="113"/>
      <c r="N141" s="113"/>
      <c r="O141" s="113"/>
      <c r="P141" s="113"/>
      <c r="Q141" s="113"/>
      <c r="R141" s="113"/>
      <c r="S141" s="113"/>
      <c r="T141" s="113"/>
      <c r="U141" s="113"/>
      <c r="V141" s="113"/>
      <c r="W141" s="113"/>
      <c r="X141" s="113"/>
      <c r="Y141" s="113"/>
      <c r="Z141" s="113"/>
      <c r="AA141" s="113"/>
      <c r="AB141" s="113"/>
      <c r="AC141" s="113"/>
      <c r="AD141" s="113"/>
      <c r="AE141" s="113"/>
      <c r="AF141" s="113"/>
      <c r="AG141" s="113"/>
      <c r="AH141" s="113"/>
      <c r="AI141" s="113"/>
      <c r="AJ141" s="113"/>
      <c r="AK141" s="113"/>
      <c r="AL141" s="113"/>
      <c r="AM141" s="113"/>
      <c r="AN141" s="113"/>
      <c r="AO141" s="113"/>
      <c r="AP141" s="113"/>
      <c r="AQ141" s="113"/>
      <c r="AR141" s="113"/>
      <c r="AS141" s="113"/>
      <c r="AT141" s="113"/>
      <c r="AU141" s="113"/>
      <c r="AV141" s="113"/>
      <c r="AW141" s="113"/>
      <c r="AX141" s="113"/>
      <c r="AY141" s="113"/>
      <c r="AZ141" s="113"/>
      <c r="BA141" s="113"/>
      <c r="BB141" s="113"/>
      <c r="BC141" s="113"/>
      <c r="BD141" s="113"/>
      <c r="BE141" s="113"/>
      <c r="BF141" s="114"/>
    </row>
    <row r="142" spans="1:58">
      <c r="A142" s="475"/>
      <c r="B142" s="474"/>
      <c r="C142" s="490"/>
      <c r="D142" s="470"/>
      <c r="E142" s="472"/>
      <c r="F142" s="472"/>
      <c r="G142" s="72" t="s">
        <v>167</v>
      </c>
      <c r="H142" s="68">
        <f t="shared" si="111"/>
        <v>0</v>
      </c>
      <c r="I142" s="105"/>
      <c r="J142" s="106"/>
      <c r="K142" s="106"/>
      <c r="L142" s="106"/>
      <c r="M142" s="106"/>
      <c r="N142" s="106"/>
      <c r="O142" s="106"/>
      <c r="P142" s="106"/>
      <c r="Q142" s="106"/>
      <c r="R142" s="106"/>
      <c r="S142" s="106"/>
      <c r="T142" s="106"/>
      <c r="U142" s="106"/>
      <c r="V142" s="106"/>
      <c r="W142" s="106"/>
      <c r="X142" s="106"/>
      <c r="Y142" s="106"/>
      <c r="Z142" s="106"/>
      <c r="AA142" s="106"/>
      <c r="AB142" s="106"/>
      <c r="AC142" s="106"/>
      <c r="AD142" s="106"/>
      <c r="AE142" s="106"/>
      <c r="AF142" s="106"/>
      <c r="AG142" s="106"/>
      <c r="AH142" s="106"/>
      <c r="AI142" s="106"/>
      <c r="AJ142" s="106"/>
      <c r="AK142" s="106"/>
      <c r="AL142" s="106"/>
      <c r="AM142" s="106"/>
      <c r="AN142" s="106"/>
      <c r="AO142" s="106"/>
      <c r="AP142" s="106"/>
      <c r="AQ142" s="106"/>
      <c r="AR142" s="106"/>
      <c r="AS142" s="106"/>
      <c r="AT142" s="106"/>
      <c r="AU142" s="106"/>
      <c r="AV142" s="106"/>
      <c r="AW142" s="106"/>
      <c r="AX142" s="106"/>
      <c r="AY142" s="106"/>
      <c r="AZ142" s="106"/>
      <c r="BA142" s="106"/>
      <c r="BB142" s="106"/>
      <c r="BC142" s="106"/>
      <c r="BD142" s="106"/>
      <c r="BE142" s="106"/>
      <c r="BF142" s="107"/>
    </row>
    <row r="143" spans="1:58">
      <c r="A143" s="473">
        <f t="shared" si="106"/>
        <v>67</v>
      </c>
      <c r="B143" s="474"/>
      <c r="C143" s="489" t="s">
        <v>596</v>
      </c>
      <c r="D143" s="469">
        <f t="shared" ref="D143" si="160">SUM(I143:BF143)</f>
        <v>0</v>
      </c>
      <c r="E143" s="471" t="str">
        <f t="shared" ref="E143" si="161">IF(D143=0,"",H144/D143)</f>
        <v/>
      </c>
      <c r="F143" s="471" t="str">
        <f t="shared" ref="F143" si="162">IF(H143=0,"",H144/H143)</f>
        <v/>
      </c>
      <c r="G143" s="71" t="s">
        <v>168</v>
      </c>
      <c r="H143" s="67">
        <f t="shared" ref="H143:H184" si="163">SUMPRODUCT((I$8:BF$8&lt;&gt;"")*1,(I$8:BF$8&lt;=$O$2)*1,I143:BF143)</f>
        <v>0</v>
      </c>
      <c r="I143" s="112"/>
      <c r="J143" s="113"/>
      <c r="K143" s="113"/>
      <c r="L143" s="113"/>
      <c r="M143" s="113"/>
      <c r="N143" s="113"/>
      <c r="O143" s="113"/>
      <c r="P143" s="113"/>
      <c r="Q143" s="113"/>
      <c r="R143" s="113"/>
      <c r="S143" s="113"/>
      <c r="T143" s="113"/>
      <c r="U143" s="113"/>
      <c r="V143" s="113"/>
      <c r="W143" s="113"/>
      <c r="X143" s="113"/>
      <c r="Y143" s="113"/>
      <c r="Z143" s="113"/>
      <c r="AA143" s="113"/>
      <c r="AB143" s="113"/>
      <c r="AC143" s="113"/>
      <c r="AD143" s="113"/>
      <c r="AE143" s="113"/>
      <c r="AF143" s="113"/>
      <c r="AG143" s="113"/>
      <c r="AH143" s="113"/>
      <c r="AI143" s="113"/>
      <c r="AJ143" s="113"/>
      <c r="AK143" s="113"/>
      <c r="AL143" s="113"/>
      <c r="AM143" s="113"/>
      <c r="AN143" s="113"/>
      <c r="AO143" s="113"/>
      <c r="AP143" s="113"/>
      <c r="AQ143" s="113"/>
      <c r="AR143" s="113"/>
      <c r="AS143" s="113"/>
      <c r="AT143" s="113"/>
      <c r="AU143" s="113"/>
      <c r="AV143" s="113"/>
      <c r="AW143" s="113"/>
      <c r="AX143" s="113"/>
      <c r="AY143" s="113"/>
      <c r="AZ143" s="113"/>
      <c r="BA143" s="113"/>
      <c r="BB143" s="113"/>
      <c r="BC143" s="113"/>
      <c r="BD143" s="113"/>
      <c r="BE143" s="113"/>
      <c r="BF143" s="114"/>
    </row>
    <row r="144" spans="1:58">
      <c r="A144" s="475"/>
      <c r="B144" s="474"/>
      <c r="C144" s="490"/>
      <c r="D144" s="470"/>
      <c r="E144" s="472"/>
      <c r="F144" s="472"/>
      <c r="G144" s="72" t="s">
        <v>167</v>
      </c>
      <c r="H144" s="68">
        <f t="shared" si="163"/>
        <v>0</v>
      </c>
      <c r="I144" s="105"/>
      <c r="J144" s="106"/>
      <c r="K144" s="106"/>
      <c r="L144" s="106"/>
      <c r="M144" s="106"/>
      <c r="N144" s="106"/>
      <c r="O144" s="106"/>
      <c r="P144" s="106"/>
      <c r="Q144" s="106"/>
      <c r="R144" s="106"/>
      <c r="S144" s="106"/>
      <c r="T144" s="106"/>
      <c r="U144" s="106"/>
      <c r="V144" s="106"/>
      <c r="W144" s="106"/>
      <c r="X144" s="106"/>
      <c r="Y144" s="106"/>
      <c r="Z144" s="106"/>
      <c r="AA144" s="106"/>
      <c r="AB144" s="106"/>
      <c r="AC144" s="106"/>
      <c r="AD144" s="106"/>
      <c r="AE144" s="106"/>
      <c r="AF144" s="106"/>
      <c r="AG144" s="106"/>
      <c r="AH144" s="106"/>
      <c r="AI144" s="106"/>
      <c r="AJ144" s="106"/>
      <c r="AK144" s="106"/>
      <c r="AL144" s="106"/>
      <c r="AM144" s="106"/>
      <c r="AN144" s="106"/>
      <c r="AO144" s="106"/>
      <c r="AP144" s="106"/>
      <c r="AQ144" s="106"/>
      <c r="AR144" s="106"/>
      <c r="AS144" s="106"/>
      <c r="AT144" s="106"/>
      <c r="AU144" s="106"/>
      <c r="AV144" s="106"/>
      <c r="AW144" s="106"/>
      <c r="AX144" s="106"/>
      <c r="AY144" s="106"/>
      <c r="AZ144" s="106"/>
      <c r="BA144" s="106"/>
      <c r="BB144" s="106"/>
      <c r="BC144" s="106"/>
      <c r="BD144" s="106"/>
      <c r="BE144" s="106"/>
      <c r="BF144" s="107"/>
    </row>
    <row r="145" spans="1:58">
      <c r="A145" s="473">
        <f t="shared" ref="A145:A207" si="164">A143+1</f>
        <v>68</v>
      </c>
      <c r="B145" s="474"/>
      <c r="C145" s="489" t="s">
        <v>596</v>
      </c>
      <c r="D145" s="469">
        <f t="shared" ref="D145" si="165">SUM(I145:BF145)</f>
        <v>0</v>
      </c>
      <c r="E145" s="471" t="str">
        <f t="shared" ref="E145" si="166">IF(D145=0,"",H146/D145)</f>
        <v/>
      </c>
      <c r="F145" s="471" t="str">
        <f t="shared" ref="F145" si="167">IF(H145=0,"",H146/H145)</f>
        <v/>
      </c>
      <c r="G145" s="71" t="s">
        <v>168</v>
      </c>
      <c r="H145" s="67">
        <f t="shared" si="163"/>
        <v>0</v>
      </c>
      <c r="I145" s="112"/>
      <c r="J145" s="113"/>
      <c r="K145" s="113"/>
      <c r="L145" s="113"/>
      <c r="M145" s="113"/>
      <c r="N145" s="113"/>
      <c r="O145" s="113"/>
      <c r="P145" s="113"/>
      <c r="Q145" s="113"/>
      <c r="R145" s="113"/>
      <c r="S145" s="113"/>
      <c r="T145" s="113"/>
      <c r="U145" s="113"/>
      <c r="V145" s="113"/>
      <c r="W145" s="113"/>
      <c r="X145" s="113"/>
      <c r="Y145" s="113"/>
      <c r="Z145" s="113"/>
      <c r="AA145" s="113"/>
      <c r="AB145" s="113"/>
      <c r="AC145" s="113"/>
      <c r="AD145" s="113"/>
      <c r="AE145" s="113"/>
      <c r="AF145" s="113"/>
      <c r="AG145" s="113"/>
      <c r="AH145" s="113"/>
      <c r="AI145" s="113"/>
      <c r="AJ145" s="113"/>
      <c r="AK145" s="113"/>
      <c r="AL145" s="113"/>
      <c r="AM145" s="113"/>
      <c r="AN145" s="113"/>
      <c r="AO145" s="113"/>
      <c r="AP145" s="113"/>
      <c r="AQ145" s="113"/>
      <c r="AR145" s="113"/>
      <c r="AS145" s="113"/>
      <c r="AT145" s="113"/>
      <c r="AU145" s="113"/>
      <c r="AV145" s="113"/>
      <c r="AW145" s="113"/>
      <c r="AX145" s="113"/>
      <c r="AY145" s="113"/>
      <c r="AZ145" s="113"/>
      <c r="BA145" s="113"/>
      <c r="BB145" s="113"/>
      <c r="BC145" s="113"/>
      <c r="BD145" s="113"/>
      <c r="BE145" s="113"/>
      <c r="BF145" s="114"/>
    </row>
    <row r="146" spans="1:58">
      <c r="A146" s="475"/>
      <c r="B146" s="474"/>
      <c r="C146" s="490"/>
      <c r="D146" s="470"/>
      <c r="E146" s="472"/>
      <c r="F146" s="472"/>
      <c r="G146" s="72" t="s">
        <v>167</v>
      </c>
      <c r="H146" s="68">
        <f t="shared" si="163"/>
        <v>0</v>
      </c>
      <c r="I146" s="105"/>
      <c r="J146" s="106"/>
      <c r="K146" s="106"/>
      <c r="L146" s="106"/>
      <c r="M146" s="106"/>
      <c r="N146" s="106"/>
      <c r="O146" s="106"/>
      <c r="P146" s="106"/>
      <c r="Q146" s="106"/>
      <c r="R146" s="106"/>
      <c r="S146" s="106"/>
      <c r="T146" s="106"/>
      <c r="U146" s="106"/>
      <c r="V146" s="106"/>
      <c r="W146" s="106"/>
      <c r="X146" s="106"/>
      <c r="Y146" s="106"/>
      <c r="Z146" s="106"/>
      <c r="AA146" s="106"/>
      <c r="AB146" s="106"/>
      <c r="AC146" s="106"/>
      <c r="AD146" s="106"/>
      <c r="AE146" s="106"/>
      <c r="AF146" s="106"/>
      <c r="AG146" s="106"/>
      <c r="AH146" s="106"/>
      <c r="AI146" s="106"/>
      <c r="AJ146" s="106"/>
      <c r="AK146" s="106"/>
      <c r="AL146" s="106"/>
      <c r="AM146" s="106"/>
      <c r="AN146" s="106"/>
      <c r="AO146" s="106"/>
      <c r="AP146" s="106"/>
      <c r="AQ146" s="106"/>
      <c r="AR146" s="106"/>
      <c r="AS146" s="106"/>
      <c r="AT146" s="106"/>
      <c r="AU146" s="106"/>
      <c r="AV146" s="106"/>
      <c r="AW146" s="106"/>
      <c r="AX146" s="106"/>
      <c r="AY146" s="106"/>
      <c r="AZ146" s="106"/>
      <c r="BA146" s="106"/>
      <c r="BB146" s="106"/>
      <c r="BC146" s="106"/>
      <c r="BD146" s="106"/>
      <c r="BE146" s="106"/>
      <c r="BF146" s="107"/>
    </row>
    <row r="147" spans="1:58">
      <c r="A147" s="473">
        <f t="shared" si="164"/>
        <v>69</v>
      </c>
      <c r="B147" s="474"/>
      <c r="C147" s="489" t="s">
        <v>596</v>
      </c>
      <c r="D147" s="469">
        <f t="shared" ref="D147" si="168">SUM(I147:BF147)</f>
        <v>0</v>
      </c>
      <c r="E147" s="471" t="str">
        <f t="shared" ref="E147" si="169">IF(D147=0,"",H148/D147)</f>
        <v/>
      </c>
      <c r="F147" s="471" t="str">
        <f t="shared" ref="F147" si="170">IF(H147=0,"",H148/H147)</f>
        <v/>
      </c>
      <c r="G147" s="71" t="s">
        <v>168</v>
      </c>
      <c r="H147" s="67">
        <f t="shared" si="163"/>
        <v>0</v>
      </c>
      <c r="I147" s="112"/>
      <c r="J147" s="113"/>
      <c r="K147" s="113"/>
      <c r="L147" s="113"/>
      <c r="M147" s="113"/>
      <c r="N147" s="113"/>
      <c r="O147" s="113"/>
      <c r="P147" s="113"/>
      <c r="Q147" s="113"/>
      <c r="R147" s="113"/>
      <c r="S147" s="113"/>
      <c r="T147" s="113"/>
      <c r="U147" s="113"/>
      <c r="V147" s="113"/>
      <c r="W147" s="113"/>
      <c r="X147" s="113"/>
      <c r="Y147" s="113"/>
      <c r="Z147" s="113"/>
      <c r="AA147" s="113"/>
      <c r="AB147" s="113"/>
      <c r="AC147" s="113"/>
      <c r="AD147" s="113"/>
      <c r="AE147" s="113"/>
      <c r="AF147" s="113"/>
      <c r="AG147" s="113"/>
      <c r="AH147" s="113"/>
      <c r="AI147" s="113"/>
      <c r="AJ147" s="113"/>
      <c r="AK147" s="113"/>
      <c r="AL147" s="113"/>
      <c r="AM147" s="113"/>
      <c r="AN147" s="113"/>
      <c r="AO147" s="113"/>
      <c r="AP147" s="113"/>
      <c r="AQ147" s="113"/>
      <c r="AR147" s="113"/>
      <c r="AS147" s="113"/>
      <c r="AT147" s="113"/>
      <c r="AU147" s="113"/>
      <c r="AV147" s="113"/>
      <c r="AW147" s="113"/>
      <c r="AX147" s="113"/>
      <c r="AY147" s="113"/>
      <c r="AZ147" s="113"/>
      <c r="BA147" s="113"/>
      <c r="BB147" s="113"/>
      <c r="BC147" s="113"/>
      <c r="BD147" s="113"/>
      <c r="BE147" s="113"/>
      <c r="BF147" s="114"/>
    </row>
    <row r="148" spans="1:58">
      <c r="A148" s="475"/>
      <c r="B148" s="474"/>
      <c r="C148" s="490"/>
      <c r="D148" s="470"/>
      <c r="E148" s="472"/>
      <c r="F148" s="472"/>
      <c r="G148" s="72" t="s">
        <v>167</v>
      </c>
      <c r="H148" s="68">
        <f t="shared" si="163"/>
        <v>0</v>
      </c>
      <c r="I148" s="105"/>
      <c r="J148" s="106"/>
      <c r="K148" s="106"/>
      <c r="L148" s="106"/>
      <c r="M148" s="106"/>
      <c r="N148" s="106"/>
      <c r="O148" s="106"/>
      <c r="P148" s="106"/>
      <c r="Q148" s="106"/>
      <c r="R148" s="106"/>
      <c r="S148" s="106"/>
      <c r="T148" s="106"/>
      <c r="U148" s="106"/>
      <c r="V148" s="106"/>
      <c r="W148" s="106"/>
      <c r="X148" s="106"/>
      <c r="Y148" s="106"/>
      <c r="Z148" s="106"/>
      <c r="AA148" s="106"/>
      <c r="AB148" s="106"/>
      <c r="AC148" s="106"/>
      <c r="AD148" s="106"/>
      <c r="AE148" s="106"/>
      <c r="AF148" s="106"/>
      <c r="AG148" s="106"/>
      <c r="AH148" s="106"/>
      <c r="AI148" s="106"/>
      <c r="AJ148" s="106"/>
      <c r="AK148" s="106"/>
      <c r="AL148" s="106"/>
      <c r="AM148" s="106"/>
      <c r="AN148" s="106"/>
      <c r="AO148" s="106"/>
      <c r="AP148" s="106"/>
      <c r="AQ148" s="106"/>
      <c r="AR148" s="106"/>
      <c r="AS148" s="106"/>
      <c r="AT148" s="106"/>
      <c r="AU148" s="106"/>
      <c r="AV148" s="106"/>
      <c r="AW148" s="106"/>
      <c r="AX148" s="106"/>
      <c r="AY148" s="106"/>
      <c r="AZ148" s="106"/>
      <c r="BA148" s="106"/>
      <c r="BB148" s="106"/>
      <c r="BC148" s="106"/>
      <c r="BD148" s="106"/>
      <c r="BE148" s="106"/>
      <c r="BF148" s="107"/>
    </row>
    <row r="149" spans="1:58">
      <c r="A149" s="477">
        <f t="shared" si="164"/>
        <v>70</v>
      </c>
      <c r="B149" s="478"/>
      <c r="C149" s="489" t="s">
        <v>825</v>
      </c>
      <c r="D149" s="469">
        <f t="shared" ref="D149" si="171">SUM(I149:BF149)</f>
        <v>0</v>
      </c>
      <c r="E149" s="471" t="str">
        <f t="shared" ref="E149" si="172">IF(D149=0,"",H150/D149)</f>
        <v/>
      </c>
      <c r="F149" s="471" t="str">
        <f t="shared" ref="F149" si="173">IF(H149=0,"",H150/H149)</f>
        <v/>
      </c>
      <c r="G149" s="71" t="s">
        <v>168</v>
      </c>
      <c r="H149" s="67">
        <f t="shared" si="163"/>
        <v>0</v>
      </c>
      <c r="I149" s="312"/>
      <c r="J149" s="113"/>
      <c r="K149" s="113"/>
      <c r="L149" s="113"/>
      <c r="M149" s="113"/>
      <c r="N149" s="113"/>
      <c r="O149" s="113"/>
      <c r="P149" s="113"/>
      <c r="Q149" s="113"/>
      <c r="R149" s="113"/>
      <c r="S149" s="113"/>
      <c r="T149" s="113"/>
      <c r="U149" s="113"/>
      <c r="V149" s="113"/>
      <c r="W149" s="113"/>
      <c r="X149" s="113"/>
      <c r="Y149" s="113"/>
      <c r="Z149" s="113"/>
      <c r="AA149" s="113"/>
      <c r="AB149" s="113"/>
      <c r="AC149" s="113"/>
      <c r="AD149" s="113"/>
      <c r="AE149" s="113"/>
      <c r="AF149" s="113"/>
      <c r="AG149" s="113"/>
      <c r="AH149" s="113"/>
      <c r="AI149" s="113"/>
      <c r="AJ149" s="113"/>
      <c r="AK149" s="113"/>
      <c r="AL149" s="113"/>
      <c r="AM149" s="113"/>
      <c r="AN149" s="113"/>
      <c r="AO149" s="113"/>
      <c r="AP149" s="113"/>
      <c r="AQ149" s="113"/>
      <c r="AR149" s="113"/>
      <c r="AS149" s="113"/>
      <c r="AT149" s="113"/>
      <c r="AU149" s="113"/>
      <c r="AV149" s="113"/>
      <c r="AW149" s="113"/>
      <c r="AX149" s="113"/>
      <c r="AY149" s="113"/>
      <c r="AZ149" s="113"/>
      <c r="BA149" s="113"/>
      <c r="BB149" s="113"/>
      <c r="BC149" s="113"/>
      <c r="BD149" s="113"/>
      <c r="BE149" s="113"/>
      <c r="BF149" s="114"/>
    </row>
    <row r="150" spans="1:58">
      <c r="A150" s="479"/>
      <c r="B150" s="478"/>
      <c r="C150" s="490"/>
      <c r="D150" s="470"/>
      <c r="E150" s="472"/>
      <c r="F150" s="472"/>
      <c r="G150" s="72" t="s">
        <v>167</v>
      </c>
      <c r="H150" s="68">
        <f t="shared" si="163"/>
        <v>0</v>
      </c>
      <c r="I150" s="105"/>
      <c r="J150" s="106"/>
      <c r="K150" s="106"/>
      <c r="L150" s="106"/>
      <c r="M150" s="106"/>
      <c r="N150" s="106"/>
      <c r="O150" s="106"/>
      <c r="P150" s="106"/>
      <c r="Q150" s="106"/>
      <c r="R150" s="106"/>
      <c r="S150" s="106"/>
      <c r="T150" s="106"/>
      <c r="U150" s="106"/>
      <c r="V150" s="106"/>
      <c r="W150" s="106"/>
      <c r="X150" s="106"/>
      <c r="Y150" s="106"/>
      <c r="Z150" s="106"/>
      <c r="AA150" s="106"/>
      <c r="AB150" s="106"/>
      <c r="AC150" s="106"/>
      <c r="AD150" s="106"/>
      <c r="AE150" s="106"/>
      <c r="AF150" s="106"/>
      <c r="AG150" s="106"/>
      <c r="AH150" s="106"/>
      <c r="AI150" s="106"/>
      <c r="AJ150" s="106"/>
      <c r="AK150" s="106"/>
      <c r="AL150" s="106"/>
      <c r="AM150" s="106"/>
      <c r="AN150" s="106"/>
      <c r="AO150" s="106"/>
      <c r="AP150" s="106"/>
      <c r="AQ150" s="106"/>
      <c r="AR150" s="106"/>
      <c r="AS150" s="106"/>
      <c r="AT150" s="106"/>
      <c r="AU150" s="106"/>
      <c r="AV150" s="106"/>
      <c r="AW150" s="106"/>
      <c r="AX150" s="106"/>
      <c r="AY150" s="106"/>
      <c r="AZ150" s="106"/>
      <c r="BA150" s="106"/>
      <c r="BB150" s="106"/>
      <c r="BC150" s="106"/>
      <c r="BD150" s="106"/>
      <c r="BE150" s="106"/>
      <c r="BF150" s="107"/>
    </row>
    <row r="151" spans="1:58">
      <c r="A151" s="464">
        <f t="shared" si="164"/>
        <v>71</v>
      </c>
      <c r="B151" s="465"/>
      <c r="C151" s="489" t="s">
        <v>826</v>
      </c>
      <c r="D151" s="469">
        <f t="shared" ref="D151" si="174">SUM(I151:BF151)</f>
        <v>0</v>
      </c>
      <c r="E151" s="471" t="str">
        <f t="shared" ref="E151" si="175">IF(D151=0,"",H152/D151)</f>
        <v/>
      </c>
      <c r="F151" s="471" t="str">
        <f t="shared" ref="F151" si="176">IF(H151=0,"",H152/H151)</f>
        <v/>
      </c>
      <c r="G151" s="71" t="s">
        <v>168</v>
      </c>
      <c r="H151" s="67">
        <f t="shared" si="163"/>
        <v>0</v>
      </c>
      <c r="I151" s="112"/>
      <c r="J151" s="113"/>
      <c r="K151" s="113"/>
      <c r="L151" s="113"/>
      <c r="M151" s="113"/>
      <c r="N151" s="113"/>
      <c r="O151" s="113"/>
      <c r="P151" s="113"/>
      <c r="Q151" s="113"/>
      <c r="R151" s="113"/>
      <c r="S151" s="113"/>
      <c r="T151" s="113"/>
      <c r="U151" s="113"/>
      <c r="V151" s="113"/>
      <c r="W151" s="113"/>
      <c r="X151" s="113"/>
      <c r="Y151" s="113"/>
      <c r="Z151" s="113"/>
      <c r="AA151" s="113"/>
      <c r="AB151" s="113"/>
      <c r="AC151" s="113"/>
      <c r="AD151" s="113"/>
      <c r="AE151" s="113"/>
      <c r="AF151" s="113"/>
      <c r="AG151" s="113"/>
      <c r="AH151" s="113"/>
      <c r="AI151" s="113"/>
      <c r="AJ151" s="113"/>
      <c r="AK151" s="113"/>
      <c r="AL151" s="113"/>
      <c r="AM151" s="113"/>
      <c r="AN151" s="113"/>
      <c r="AO151" s="113"/>
      <c r="AP151" s="113"/>
      <c r="AQ151" s="113"/>
      <c r="AR151" s="113"/>
      <c r="AS151" s="113"/>
      <c r="AT151" s="113"/>
      <c r="AU151" s="113"/>
      <c r="AV151" s="113"/>
      <c r="AW151" s="113"/>
      <c r="AX151" s="113"/>
      <c r="AY151" s="113"/>
      <c r="AZ151" s="113"/>
      <c r="BA151" s="113"/>
      <c r="BB151" s="113"/>
      <c r="BC151" s="113"/>
      <c r="BD151" s="113"/>
      <c r="BE151" s="113"/>
      <c r="BF151" s="114"/>
    </row>
    <row r="152" spans="1:58">
      <c r="A152" s="466"/>
      <c r="B152" s="465"/>
      <c r="C152" s="490"/>
      <c r="D152" s="470"/>
      <c r="E152" s="472"/>
      <c r="F152" s="472"/>
      <c r="G152" s="72" t="s">
        <v>167</v>
      </c>
      <c r="H152" s="68">
        <f t="shared" si="163"/>
        <v>0</v>
      </c>
      <c r="I152" s="105"/>
      <c r="J152" s="106"/>
      <c r="K152" s="106"/>
      <c r="L152" s="106"/>
      <c r="M152" s="106"/>
      <c r="N152" s="106"/>
      <c r="O152" s="106"/>
      <c r="P152" s="106"/>
      <c r="Q152" s="106"/>
      <c r="R152" s="106"/>
      <c r="S152" s="106"/>
      <c r="T152" s="106"/>
      <c r="U152" s="106"/>
      <c r="V152" s="106"/>
      <c r="W152" s="106"/>
      <c r="X152" s="106"/>
      <c r="Y152" s="106"/>
      <c r="Z152" s="106"/>
      <c r="AA152" s="106"/>
      <c r="AB152" s="106"/>
      <c r="AC152" s="106"/>
      <c r="AD152" s="106"/>
      <c r="AE152" s="106"/>
      <c r="AF152" s="106"/>
      <c r="AG152" s="106"/>
      <c r="AH152" s="106"/>
      <c r="AI152" s="106"/>
      <c r="AJ152" s="106"/>
      <c r="AK152" s="106"/>
      <c r="AL152" s="106"/>
      <c r="AM152" s="106"/>
      <c r="AN152" s="106"/>
      <c r="AO152" s="106"/>
      <c r="AP152" s="106"/>
      <c r="AQ152" s="106"/>
      <c r="AR152" s="106"/>
      <c r="AS152" s="106"/>
      <c r="AT152" s="106"/>
      <c r="AU152" s="106"/>
      <c r="AV152" s="106"/>
      <c r="AW152" s="106"/>
      <c r="AX152" s="106"/>
      <c r="AY152" s="106"/>
      <c r="AZ152" s="106"/>
      <c r="BA152" s="106"/>
      <c r="BB152" s="106"/>
      <c r="BC152" s="106"/>
      <c r="BD152" s="106"/>
      <c r="BE152" s="106"/>
      <c r="BF152" s="107"/>
    </row>
    <row r="153" spans="1:58">
      <c r="A153" s="464">
        <f t="shared" si="164"/>
        <v>72</v>
      </c>
      <c r="B153" s="465"/>
      <c r="C153" s="489" t="s">
        <v>596</v>
      </c>
      <c r="D153" s="469">
        <f t="shared" ref="D153" si="177">SUM(I153:BF153)</f>
        <v>0</v>
      </c>
      <c r="E153" s="471" t="str">
        <f t="shared" ref="E153" si="178">IF(D153=0,"",H154/D153)</f>
        <v/>
      </c>
      <c r="F153" s="471" t="str">
        <f t="shared" ref="F153" si="179">IF(H153=0,"",H154/H153)</f>
        <v/>
      </c>
      <c r="G153" s="71" t="s">
        <v>168</v>
      </c>
      <c r="H153" s="67">
        <f t="shared" si="163"/>
        <v>0</v>
      </c>
      <c r="I153" s="112"/>
      <c r="J153" s="113"/>
      <c r="K153" s="113"/>
      <c r="L153" s="113"/>
      <c r="M153" s="113"/>
      <c r="N153" s="113"/>
      <c r="O153" s="113"/>
      <c r="P153" s="113"/>
      <c r="Q153" s="113"/>
      <c r="R153" s="113"/>
      <c r="S153" s="113"/>
      <c r="T153" s="113"/>
      <c r="U153" s="113"/>
      <c r="V153" s="113"/>
      <c r="W153" s="113"/>
      <c r="X153" s="113"/>
      <c r="Y153" s="113"/>
      <c r="Z153" s="113"/>
      <c r="AA153" s="113"/>
      <c r="AB153" s="113"/>
      <c r="AC153" s="113"/>
      <c r="AD153" s="113"/>
      <c r="AE153" s="113"/>
      <c r="AF153" s="113"/>
      <c r="AG153" s="113"/>
      <c r="AH153" s="113"/>
      <c r="AI153" s="113"/>
      <c r="AJ153" s="113"/>
      <c r="AK153" s="113"/>
      <c r="AL153" s="113"/>
      <c r="AM153" s="113"/>
      <c r="AN153" s="113"/>
      <c r="AO153" s="113"/>
      <c r="AP153" s="113"/>
      <c r="AQ153" s="113"/>
      <c r="AR153" s="113"/>
      <c r="AS153" s="113"/>
      <c r="AT153" s="113"/>
      <c r="AU153" s="113"/>
      <c r="AV153" s="113"/>
      <c r="AW153" s="113"/>
      <c r="AX153" s="113"/>
      <c r="AY153" s="113"/>
      <c r="AZ153" s="113"/>
      <c r="BA153" s="113"/>
      <c r="BB153" s="113"/>
      <c r="BC153" s="113"/>
      <c r="BD153" s="113"/>
      <c r="BE153" s="113"/>
      <c r="BF153" s="114"/>
    </row>
    <row r="154" spans="1:58">
      <c r="A154" s="466"/>
      <c r="B154" s="465"/>
      <c r="C154" s="490"/>
      <c r="D154" s="470"/>
      <c r="E154" s="472"/>
      <c r="F154" s="472"/>
      <c r="G154" s="72" t="s">
        <v>167</v>
      </c>
      <c r="H154" s="68">
        <f t="shared" si="163"/>
        <v>0</v>
      </c>
      <c r="I154" s="105"/>
      <c r="J154" s="106"/>
      <c r="K154" s="106"/>
      <c r="L154" s="106"/>
      <c r="M154" s="106"/>
      <c r="N154" s="106"/>
      <c r="O154" s="106"/>
      <c r="P154" s="106"/>
      <c r="Q154" s="106"/>
      <c r="R154" s="106"/>
      <c r="S154" s="106"/>
      <c r="T154" s="106"/>
      <c r="U154" s="106"/>
      <c r="V154" s="106"/>
      <c r="W154" s="106"/>
      <c r="X154" s="106"/>
      <c r="Y154" s="106"/>
      <c r="Z154" s="106"/>
      <c r="AA154" s="106"/>
      <c r="AB154" s="106"/>
      <c r="AC154" s="106"/>
      <c r="AD154" s="106"/>
      <c r="AE154" s="106"/>
      <c r="AF154" s="106"/>
      <c r="AG154" s="106"/>
      <c r="AH154" s="106"/>
      <c r="AI154" s="106"/>
      <c r="AJ154" s="106"/>
      <c r="AK154" s="106"/>
      <c r="AL154" s="106"/>
      <c r="AM154" s="106"/>
      <c r="AN154" s="106"/>
      <c r="AO154" s="106"/>
      <c r="AP154" s="106"/>
      <c r="AQ154" s="106"/>
      <c r="AR154" s="106"/>
      <c r="AS154" s="106"/>
      <c r="AT154" s="106"/>
      <c r="AU154" s="106"/>
      <c r="AV154" s="106"/>
      <c r="AW154" s="106"/>
      <c r="AX154" s="106"/>
      <c r="AY154" s="106"/>
      <c r="AZ154" s="106"/>
      <c r="BA154" s="106"/>
      <c r="BB154" s="106"/>
      <c r="BC154" s="106"/>
      <c r="BD154" s="106"/>
      <c r="BE154" s="106"/>
      <c r="BF154" s="107"/>
    </row>
    <row r="155" spans="1:58">
      <c r="A155" s="464">
        <f t="shared" si="164"/>
        <v>73</v>
      </c>
      <c r="B155" s="465"/>
      <c r="C155" s="489" t="s">
        <v>596</v>
      </c>
      <c r="D155" s="469">
        <f t="shared" ref="D155" si="180">SUM(I155:BF155)</f>
        <v>0</v>
      </c>
      <c r="E155" s="471" t="str">
        <f t="shared" ref="E155" si="181">IF(D155=0,"",H156/D155)</f>
        <v/>
      </c>
      <c r="F155" s="471" t="str">
        <f t="shared" ref="F155" si="182">IF(H155=0,"",H156/H155)</f>
        <v/>
      </c>
      <c r="G155" s="71" t="s">
        <v>168</v>
      </c>
      <c r="H155" s="67">
        <f t="shared" si="163"/>
        <v>0</v>
      </c>
      <c r="I155" s="112"/>
      <c r="J155" s="113"/>
      <c r="K155" s="113"/>
      <c r="L155" s="113"/>
      <c r="M155" s="113"/>
      <c r="N155" s="113"/>
      <c r="O155" s="113"/>
      <c r="P155" s="113"/>
      <c r="Q155" s="113"/>
      <c r="R155" s="113"/>
      <c r="S155" s="113"/>
      <c r="T155" s="113"/>
      <c r="U155" s="113"/>
      <c r="V155" s="113"/>
      <c r="W155" s="113"/>
      <c r="X155" s="113"/>
      <c r="Y155" s="113"/>
      <c r="Z155" s="113"/>
      <c r="AA155" s="113"/>
      <c r="AB155" s="113"/>
      <c r="AC155" s="113"/>
      <c r="AD155" s="113"/>
      <c r="AE155" s="113"/>
      <c r="AF155" s="113"/>
      <c r="AG155" s="113"/>
      <c r="AH155" s="113"/>
      <c r="AI155" s="113"/>
      <c r="AJ155" s="113"/>
      <c r="AK155" s="113"/>
      <c r="AL155" s="113"/>
      <c r="AM155" s="113"/>
      <c r="AN155" s="113"/>
      <c r="AO155" s="113"/>
      <c r="AP155" s="113"/>
      <c r="AQ155" s="113"/>
      <c r="AR155" s="113"/>
      <c r="AS155" s="113"/>
      <c r="AT155" s="113"/>
      <c r="AU155" s="113"/>
      <c r="AV155" s="113"/>
      <c r="AW155" s="113"/>
      <c r="AX155" s="113"/>
      <c r="AY155" s="113"/>
      <c r="AZ155" s="113"/>
      <c r="BA155" s="113"/>
      <c r="BB155" s="113"/>
      <c r="BC155" s="113"/>
      <c r="BD155" s="113"/>
      <c r="BE155" s="113"/>
      <c r="BF155" s="114"/>
    </row>
    <row r="156" spans="1:58">
      <c r="A156" s="466"/>
      <c r="B156" s="465"/>
      <c r="C156" s="490"/>
      <c r="D156" s="470"/>
      <c r="E156" s="472"/>
      <c r="F156" s="472"/>
      <c r="G156" s="72" t="s">
        <v>167</v>
      </c>
      <c r="H156" s="68">
        <f t="shared" si="163"/>
        <v>0</v>
      </c>
      <c r="I156" s="105"/>
      <c r="J156" s="106"/>
      <c r="K156" s="106"/>
      <c r="L156" s="106"/>
      <c r="M156" s="106"/>
      <c r="N156" s="106"/>
      <c r="O156" s="106"/>
      <c r="P156" s="106"/>
      <c r="Q156" s="106"/>
      <c r="R156" s="106"/>
      <c r="S156" s="106"/>
      <c r="T156" s="106"/>
      <c r="U156" s="106"/>
      <c r="V156" s="106"/>
      <c r="W156" s="106"/>
      <c r="X156" s="106"/>
      <c r="Y156" s="106"/>
      <c r="Z156" s="106"/>
      <c r="AA156" s="106"/>
      <c r="AB156" s="106"/>
      <c r="AC156" s="106"/>
      <c r="AD156" s="106"/>
      <c r="AE156" s="106"/>
      <c r="AF156" s="106"/>
      <c r="AG156" s="106"/>
      <c r="AH156" s="106"/>
      <c r="AI156" s="106"/>
      <c r="AJ156" s="106"/>
      <c r="AK156" s="106"/>
      <c r="AL156" s="106"/>
      <c r="AM156" s="106"/>
      <c r="AN156" s="106"/>
      <c r="AO156" s="106"/>
      <c r="AP156" s="106"/>
      <c r="AQ156" s="106"/>
      <c r="AR156" s="106"/>
      <c r="AS156" s="106"/>
      <c r="AT156" s="106"/>
      <c r="AU156" s="106"/>
      <c r="AV156" s="106"/>
      <c r="AW156" s="106"/>
      <c r="AX156" s="106"/>
      <c r="AY156" s="106"/>
      <c r="AZ156" s="106"/>
      <c r="BA156" s="106"/>
      <c r="BB156" s="106"/>
      <c r="BC156" s="106"/>
      <c r="BD156" s="106"/>
      <c r="BE156" s="106"/>
      <c r="BF156" s="107"/>
    </row>
    <row r="157" spans="1:58">
      <c r="A157" s="464">
        <f t="shared" si="164"/>
        <v>74</v>
      </c>
      <c r="B157" s="465"/>
      <c r="C157" s="489" t="s">
        <v>596</v>
      </c>
      <c r="D157" s="469">
        <f t="shared" ref="D157" si="183">SUM(I157:BF157)</f>
        <v>0</v>
      </c>
      <c r="E157" s="471" t="str">
        <f t="shared" ref="E157" si="184">IF(D157=0,"",H158/D157)</f>
        <v/>
      </c>
      <c r="F157" s="471" t="str">
        <f t="shared" ref="F157" si="185">IF(H157=0,"",H158/H157)</f>
        <v/>
      </c>
      <c r="G157" s="71" t="s">
        <v>168</v>
      </c>
      <c r="H157" s="67">
        <f t="shared" si="163"/>
        <v>0</v>
      </c>
      <c r="I157" s="112"/>
      <c r="J157" s="113"/>
      <c r="K157" s="113"/>
      <c r="L157" s="113"/>
      <c r="M157" s="113"/>
      <c r="N157" s="113"/>
      <c r="O157" s="113"/>
      <c r="P157" s="113"/>
      <c r="Q157" s="113"/>
      <c r="R157" s="113"/>
      <c r="S157" s="113"/>
      <c r="T157" s="113"/>
      <c r="U157" s="113"/>
      <c r="V157" s="113"/>
      <c r="W157" s="113"/>
      <c r="X157" s="113"/>
      <c r="Y157" s="113"/>
      <c r="Z157" s="113"/>
      <c r="AA157" s="113"/>
      <c r="AB157" s="113"/>
      <c r="AC157" s="113"/>
      <c r="AD157" s="113"/>
      <c r="AE157" s="113"/>
      <c r="AF157" s="113"/>
      <c r="AG157" s="113"/>
      <c r="AH157" s="113"/>
      <c r="AI157" s="113"/>
      <c r="AJ157" s="113"/>
      <c r="AK157" s="113"/>
      <c r="AL157" s="113"/>
      <c r="AM157" s="113"/>
      <c r="AN157" s="113"/>
      <c r="AO157" s="113"/>
      <c r="AP157" s="113"/>
      <c r="AQ157" s="113"/>
      <c r="AR157" s="113"/>
      <c r="AS157" s="113"/>
      <c r="AT157" s="113"/>
      <c r="AU157" s="113"/>
      <c r="AV157" s="113"/>
      <c r="AW157" s="113"/>
      <c r="AX157" s="113"/>
      <c r="AY157" s="113"/>
      <c r="AZ157" s="113"/>
      <c r="BA157" s="113"/>
      <c r="BB157" s="113"/>
      <c r="BC157" s="113"/>
      <c r="BD157" s="113"/>
      <c r="BE157" s="113"/>
      <c r="BF157" s="114"/>
    </row>
    <row r="158" spans="1:58">
      <c r="A158" s="466"/>
      <c r="B158" s="465"/>
      <c r="C158" s="490"/>
      <c r="D158" s="470"/>
      <c r="E158" s="472"/>
      <c r="F158" s="472"/>
      <c r="G158" s="72" t="s">
        <v>167</v>
      </c>
      <c r="H158" s="68">
        <f t="shared" si="163"/>
        <v>0</v>
      </c>
      <c r="I158" s="105"/>
      <c r="J158" s="106"/>
      <c r="K158" s="106"/>
      <c r="L158" s="106"/>
      <c r="M158" s="106"/>
      <c r="N158" s="106"/>
      <c r="O158" s="106"/>
      <c r="P158" s="106"/>
      <c r="Q158" s="106"/>
      <c r="R158" s="106"/>
      <c r="S158" s="106"/>
      <c r="T158" s="106"/>
      <c r="U158" s="106"/>
      <c r="V158" s="106"/>
      <c r="W158" s="106"/>
      <c r="X158" s="106"/>
      <c r="Y158" s="106"/>
      <c r="Z158" s="106"/>
      <c r="AA158" s="106"/>
      <c r="AB158" s="106"/>
      <c r="AC158" s="106"/>
      <c r="AD158" s="106"/>
      <c r="AE158" s="106"/>
      <c r="AF158" s="106"/>
      <c r="AG158" s="106"/>
      <c r="AH158" s="106"/>
      <c r="AI158" s="106"/>
      <c r="AJ158" s="106"/>
      <c r="AK158" s="106"/>
      <c r="AL158" s="106"/>
      <c r="AM158" s="106"/>
      <c r="AN158" s="106"/>
      <c r="AO158" s="106"/>
      <c r="AP158" s="106"/>
      <c r="AQ158" s="106"/>
      <c r="AR158" s="106"/>
      <c r="AS158" s="106"/>
      <c r="AT158" s="106"/>
      <c r="AU158" s="106"/>
      <c r="AV158" s="106"/>
      <c r="AW158" s="106"/>
      <c r="AX158" s="106"/>
      <c r="AY158" s="106"/>
      <c r="AZ158" s="106"/>
      <c r="BA158" s="106"/>
      <c r="BB158" s="106"/>
      <c r="BC158" s="106"/>
      <c r="BD158" s="106"/>
      <c r="BE158" s="106"/>
      <c r="BF158" s="107"/>
    </row>
    <row r="159" spans="1:58">
      <c r="A159" s="464">
        <f t="shared" si="164"/>
        <v>75</v>
      </c>
      <c r="B159" s="465"/>
      <c r="C159" s="489" t="s">
        <v>596</v>
      </c>
      <c r="D159" s="469">
        <f t="shared" ref="D159" si="186">SUM(I159:BF159)</f>
        <v>0</v>
      </c>
      <c r="E159" s="471" t="str">
        <f t="shared" ref="E159" si="187">IF(D159=0,"",H160/D159)</f>
        <v/>
      </c>
      <c r="F159" s="471" t="str">
        <f t="shared" ref="F159" si="188">IF(H159=0,"",H160/H159)</f>
        <v/>
      </c>
      <c r="G159" s="71" t="s">
        <v>168</v>
      </c>
      <c r="H159" s="67">
        <f t="shared" si="163"/>
        <v>0</v>
      </c>
      <c r="I159" s="112"/>
      <c r="J159" s="113"/>
      <c r="K159" s="113"/>
      <c r="L159" s="113"/>
      <c r="M159" s="113"/>
      <c r="N159" s="113"/>
      <c r="O159" s="113"/>
      <c r="P159" s="113"/>
      <c r="Q159" s="113"/>
      <c r="R159" s="113"/>
      <c r="S159" s="113"/>
      <c r="T159" s="113"/>
      <c r="U159" s="113"/>
      <c r="V159" s="113"/>
      <c r="W159" s="113"/>
      <c r="X159" s="113"/>
      <c r="Y159" s="113"/>
      <c r="Z159" s="113"/>
      <c r="AA159" s="113"/>
      <c r="AB159" s="113"/>
      <c r="AC159" s="113"/>
      <c r="AD159" s="113"/>
      <c r="AE159" s="113"/>
      <c r="AF159" s="113"/>
      <c r="AG159" s="113"/>
      <c r="AH159" s="113"/>
      <c r="AI159" s="113"/>
      <c r="AJ159" s="113"/>
      <c r="AK159" s="113"/>
      <c r="AL159" s="113"/>
      <c r="AM159" s="113"/>
      <c r="AN159" s="113"/>
      <c r="AO159" s="113"/>
      <c r="AP159" s="113"/>
      <c r="AQ159" s="113"/>
      <c r="AR159" s="113"/>
      <c r="AS159" s="113"/>
      <c r="AT159" s="113"/>
      <c r="AU159" s="113"/>
      <c r="AV159" s="113"/>
      <c r="AW159" s="113"/>
      <c r="AX159" s="113"/>
      <c r="AY159" s="113"/>
      <c r="AZ159" s="113"/>
      <c r="BA159" s="113"/>
      <c r="BB159" s="113"/>
      <c r="BC159" s="113"/>
      <c r="BD159" s="113"/>
      <c r="BE159" s="113"/>
      <c r="BF159" s="114"/>
    </row>
    <row r="160" spans="1:58">
      <c r="A160" s="466"/>
      <c r="B160" s="465"/>
      <c r="C160" s="490"/>
      <c r="D160" s="470"/>
      <c r="E160" s="472"/>
      <c r="F160" s="472"/>
      <c r="G160" s="72" t="s">
        <v>167</v>
      </c>
      <c r="H160" s="68">
        <f t="shared" si="163"/>
        <v>0</v>
      </c>
      <c r="I160" s="105"/>
      <c r="J160" s="106"/>
      <c r="K160" s="106"/>
      <c r="L160" s="106"/>
      <c r="M160" s="106"/>
      <c r="N160" s="106"/>
      <c r="O160" s="106"/>
      <c r="P160" s="106"/>
      <c r="Q160" s="106"/>
      <c r="R160" s="106"/>
      <c r="S160" s="106"/>
      <c r="T160" s="106"/>
      <c r="U160" s="106"/>
      <c r="V160" s="106"/>
      <c r="W160" s="106"/>
      <c r="X160" s="106"/>
      <c r="Y160" s="106"/>
      <c r="Z160" s="106"/>
      <c r="AA160" s="106"/>
      <c r="AB160" s="106"/>
      <c r="AC160" s="106"/>
      <c r="AD160" s="106"/>
      <c r="AE160" s="106"/>
      <c r="AF160" s="106"/>
      <c r="AG160" s="106"/>
      <c r="AH160" s="106"/>
      <c r="AI160" s="106"/>
      <c r="AJ160" s="106"/>
      <c r="AK160" s="106"/>
      <c r="AL160" s="106"/>
      <c r="AM160" s="106"/>
      <c r="AN160" s="106"/>
      <c r="AO160" s="106"/>
      <c r="AP160" s="106"/>
      <c r="AQ160" s="106"/>
      <c r="AR160" s="106"/>
      <c r="AS160" s="106"/>
      <c r="AT160" s="106"/>
      <c r="AU160" s="106"/>
      <c r="AV160" s="106"/>
      <c r="AW160" s="106"/>
      <c r="AX160" s="106"/>
      <c r="AY160" s="106"/>
      <c r="AZ160" s="106"/>
      <c r="BA160" s="106"/>
      <c r="BB160" s="106"/>
      <c r="BC160" s="106"/>
      <c r="BD160" s="106"/>
      <c r="BE160" s="106"/>
      <c r="BF160" s="107"/>
    </row>
    <row r="161" spans="1:58">
      <c r="A161" s="464">
        <f t="shared" si="164"/>
        <v>76</v>
      </c>
      <c r="B161" s="465"/>
      <c r="C161" s="489" t="s">
        <v>596</v>
      </c>
      <c r="D161" s="469">
        <f t="shared" ref="D161" si="189">SUM(I161:BF161)</f>
        <v>0</v>
      </c>
      <c r="E161" s="471" t="str">
        <f t="shared" ref="E161" si="190">IF(D161=0,"",H162/D161)</f>
        <v/>
      </c>
      <c r="F161" s="471" t="str">
        <f t="shared" ref="F161" si="191">IF(H161=0,"",H162/H161)</f>
        <v/>
      </c>
      <c r="G161" s="71" t="s">
        <v>168</v>
      </c>
      <c r="H161" s="67">
        <f t="shared" si="163"/>
        <v>0</v>
      </c>
      <c r="I161" s="112"/>
      <c r="J161" s="113"/>
      <c r="K161" s="113"/>
      <c r="L161" s="113"/>
      <c r="M161" s="113"/>
      <c r="N161" s="113"/>
      <c r="O161" s="113"/>
      <c r="P161" s="113"/>
      <c r="Q161" s="113"/>
      <c r="R161" s="113"/>
      <c r="S161" s="113"/>
      <c r="T161" s="113"/>
      <c r="U161" s="113"/>
      <c r="V161" s="113"/>
      <c r="W161" s="113"/>
      <c r="X161" s="113"/>
      <c r="Y161" s="113"/>
      <c r="Z161" s="113"/>
      <c r="AA161" s="113"/>
      <c r="AB161" s="113"/>
      <c r="AC161" s="113"/>
      <c r="AD161" s="113"/>
      <c r="AE161" s="113"/>
      <c r="AF161" s="113"/>
      <c r="AG161" s="113"/>
      <c r="AH161" s="113"/>
      <c r="AI161" s="113"/>
      <c r="AJ161" s="113"/>
      <c r="AK161" s="113"/>
      <c r="AL161" s="113"/>
      <c r="AM161" s="113"/>
      <c r="AN161" s="113"/>
      <c r="AO161" s="113"/>
      <c r="AP161" s="113"/>
      <c r="AQ161" s="113"/>
      <c r="AR161" s="113"/>
      <c r="AS161" s="113"/>
      <c r="AT161" s="113"/>
      <c r="AU161" s="113"/>
      <c r="AV161" s="113"/>
      <c r="AW161" s="113"/>
      <c r="AX161" s="113"/>
      <c r="AY161" s="113"/>
      <c r="AZ161" s="113"/>
      <c r="BA161" s="113"/>
      <c r="BB161" s="113"/>
      <c r="BC161" s="113"/>
      <c r="BD161" s="113"/>
      <c r="BE161" s="113"/>
      <c r="BF161" s="114"/>
    </row>
    <row r="162" spans="1:58">
      <c r="A162" s="466"/>
      <c r="B162" s="465"/>
      <c r="C162" s="490"/>
      <c r="D162" s="470"/>
      <c r="E162" s="472"/>
      <c r="F162" s="472"/>
      <c r="G162" s="72" t="s">
        <v>167</v>
      </c>
      <c r="H162" s="68">
        <f t="shared" si="163"/>
        <v>0</v>
      </c>
      <c r="I162" s="105"/>
      <c r="J162" s="106"/>
      <c r="K162" s="106"/>
      <c r="L162" s="106"/>
      <c r="M162" s="106"/>
      <c r="N162" s="106"/>
      <c r="O162" s="106"/>
      <c r="P162" s="106"/>
      <c r="Q162" s="106"/>
      <c r="R162" s="106"/>
      <c r="S162" s="106"/>
      <c r="T162" s="106"/>
      <c r="U162" s="106"/>
      <c r="V162" s="106"/>
      <c r="W162" s="106"/>
      <c r="X162" s="106"/>
      <c r="Y162" s="106"/>
      <c r="Z162" s="106"/>
      <c r="AA162" s="106"/>
      <c r="AB162" s="106"/>
      <c r="AC162" s="106"/>
      <c r="AD162" s="106"/>
      <c r="AE162" s="106"/>
      <c r="AF162" s="106"/>
      <c r="AG162" s="106"/>
      <c r="AH162" s="106"/>
      <c r="AI162" s="106"/>
      <c r="AJ162" s="106"/>
      <c r="AK162" s="106"/>
      <c r="AL162" s="106"/>
      <c r="AM162" s="106"/>
      <c r="AN162" s="106"/>
      <c r="AO162" s="106"/>
      <c r="AP162" s="106"/>
      <c r="AQ162" s="106"/>
      <c r="AR162" s="106"/>
      <c r="AS162" s="106"/>
      <c r="AT162" s="106"/>
      <c r="AU162" s="106"/>
      <c r="AV162" s="106"/>
      <c r="AW162" s="106"/>
      <c r="AX162" s="106"/>
      <c r="AY162" s="106"/>
      <c r="AZ162" s="106"/>
      <c r="BA162" s="106"/>
      <c r="BB162" s="106"/>
      <c r="BC162" s="106"/>
      <c r="BD162" s="106"/>
      <c r="BE162" s="106"/>
      <c r="BF162" s="107"/>
    </row>
    <row r="163" spans="1:58">
      <c r="A163" s="464">
        <f t="shared" si="164"/>
        <v>77</v>
      </c>
      <c r="B163" s="465"/>
      <c r="C163" s="489" t="s">
        <v>596</v>
      </c>
      <c r="D163" s="469">
        <f t="shared" ref="D163" si="192">SUM(I163:BF163)</f>
        <v>0</v>
      </c>
      <c r="E163" s="471" t="str">
        <f t="shared" ref="E163" si="193">IF(D163=0,"",H164/D163)</f>
        <v/>
      </c>
      <c r="F163" s="471" t="str">
        <f t="shared" ref="F163" si="194">IF(H163=0,"",H164/H163)</f>
        <v/>
      </c>
      <c r="G163" s="71" t="s">
        <v>168</v>
      </c>
      <c r="H163" s="67">
        <f t="shared" si="163"/>
        <v>0</v>
      </c>
      <c r="I163" s="112"/>
      <c r="J163" s="113"/>
      <c r="K163" s="113"/>
      <c r="L163" s="113"/>
      <c r="M163" s="113"/>
      <c r="N163" s="113"/>
      <c r="O163" s="113"/>
      <c r="P163" s="113"/>
      <c r="Q163" s="113"/>
      <c r="R163" s="113"/>
      <c r="S163" s="113"/>
      <c r="T163" s="113"/>
      <c r="U163" s="113"/>
      <c r="V163" s="113"/>
      <c r="W163" s="113"/>
      <c r="X163" s="113"/>
      <c r="Y163" s="113"/>
      <c r="Z163" s="113"/>
      <c r="AA163" s="113"/>
      <c r="AB163" s="113"/>
      <c r="AC163" s="113"/>
      <c r="AD163" s="113"/>
      <c r="AE163" s="113"/>
      <c r="AF163" s="113"/>
      <c r="AG163" s="113"/>
      <c r="AH163" s="113"/>
      <c r="AI163" s="113"/>
      <c r="AJ163" s="113"/>
      <c r="AK163" s="113"/>
      <c r="AL163" s="113"/>
      <c r="AM163" s="113"/>
      <c r="AN163" s="113"/>
      <c r="AO163" s="113"/>
      <c r="AP163" s="113"/>
      <c r="AQ163" s="113"/>
      <c r="AR163" s="113"/>
      <c r="AS163" s="113"/>
      <c r="AT163" s="113"/>
      <c r="AU163" s="113"/>
      <c r="AV163" s="113"/>
      <c r="AW163" s="113"/>
      <c r="AX163" s="113"/>
      <c r="AY163" s="113"/>
      <c r="AZ163" s="113"/>
      <c r="BA163" s="113"/>
      <c r="BB163" s="113"/>
      <c r="BC163" s="113"/>
      <c r="BD163" s="113"/>
      <c r="BE163" s="113"/>
      <c r="BF163" s="114"/>
    </row>
    <row r="164" spans="1:58">
      <c r="A164" s="466"/>
      <c r="B164" s="465"/>
      <c r="C164" s="490"/>
      <c r="D164" s="470"/>
      <c r="E164" s="472"/>
      <c r="F164" s="472"/>
      <c r="G164" s="72" t="s">
        <v>167</v>
      </c>
      <c r="H164" s="68">
        <f t="shared" si="163"/>
        <v>0</v>
      </c>
      <c r="I164" s="105"/>
      <c r="J164" s="106"/>
      <c r="K164" s="106"/>
      <c r="L164" s="106"/>
      <c r="M164" s="106"/>
      <c r="N164" s="106"/>
      <c r="O164" s="106"/>
      <c r="P164" s="106"/>
      <c r="Q164" s="106"/>
      <c r="R164" s="106"/>
      <c r="S164" s="106"/>
      <c r="T164" s="106"/>
      <c r="U164" s="106"/>
      <c r="V164" s="106"/>
      <c r="W164" s="106"/>
      <c r="X164" s="106"/>
      <c r="Y164" s="106"/>
      <c r="Z164" s="106"/>
      <c r="AA164" s="106"/>
      <c r="AB164" s="106"/>
      <c r="AC164" s="106"/>
      <c r="AD164" s="106"/>
      <c r="AE164" s="106"/>
      <c r="AF164" s="106"/>
      <c r="AG164" s="106"/>
      <c r="AH164" s="106"/>
      <c r="AI164" s="106"/>
      <c r="AJ164" s="106"/>
      <c r="AK164" s="106"/>
      <c r="AL164" s="106"/>
      <c r="AM164" s="106"/>
      <c r="AN164" s="106"/>
      <c r="AO164" s="106"/>
      <c r="AP164" s="106"/>
      <c r="AQ164" s="106"/>
      <c r="AR164" s="106"/>
      <c r="AS164" s="106"/>
      <c r="AT164" s="106"/>
      <c r="AU164" s="106"/>
      <c r="AV164" s="106"/>
      <c r="AW164" s="106"/>
      <c r="AX164" s="106"/>
      <c r="AY164" s="106"/>
      <c r="AZ164" s="106"/>
      <c r="BA164" s="106"/>
      <c r="BB164" s="106"/>
      <c r="BC164" s="106"/>
      <c r="BD164" s="106"/>
      <c r="BE164" s="106"/>
      <c r="BF164" s="107"/>
    </row>
    <row r="165" spans="1:58">
      <c r="A165" s="464">
        <f t="shared" si="164"/>
        <v>78</v>
      </c>
      <c r="B165" s="465"/>
      <c r="C165" s="489" t="s">
        <v>596</v>
      </c>
      <c r="D165" s="469">
        <f t="shared" ref="D165" si="195">SUM(I165:BF165)</f>
        <v>0</v>
      </c>
      <c r="E165" s="471" t="str">
        <f t="shared" ref="E165" si="196">IF(D165=0,"",H166/D165)</f>
        <v/>
      </c>
      <c r="F165" s="471" t="str">
        <f t="shared" ref="F165" si="197">IF(H165=0,"",H166/H165)</f>
        <v/>
      </c>
      <c r="G165" s="71" t="s">
        <v>168</v>
      </c>
      <c r="H165" s="67">
        <f t="shared" si="163"/>
        <v>0</v>
      </c>
      <c r="I165" s="112"/>
      <c r="J165" s="113"/>
      <c r="K165" s="113"/>
      <c r="L165" s="113"/>
      <c r="M165" s="113"/>
      <c r="N165" s="113"/>
      <c r="O165" s="113"/>
      <c r="P165" s="113"/>
      <c r="Q165" s="113"/>
      <c r="R165" s="113"/>
      <c r="S165" s="113"/>
      <c r="T165" s="113"/>
      <c r="U165" s="113"/>
      <c r="V165" s="113"/>
      <c r="W165" s="113"/>
      <c r="X165" s="113"/>
      <c r="Y165" s="113"/>
      <c r="Z165" s="113"/>
      <c r="AA165" s="113"/>
      <c r="AB165" s="113"/>
      <c r="AC165" s="113"/>
      <c r="AD165" s="113"/>
      <c r="AE165" s="113"/>
      <c r="AF165" s="113"/>
      <c r="AG165" s="113"/>
      <c r="AH165" s="113"/>
      <c r="AI165" s="113"/>
      <c r="AJ165" s="113"/>
      <c r="AK165" s="113"/>
      <c r="AL165" s="113"/>
      <c r="AM165" s="113"/>
      <c r="AN165" s="113"/>
      <c r="AO165" s="113"/>
      <c r="AP165" s="113"/>
      <c r="AQ165" s="113"/>
      <c r="AR165" s="113"/>
      <c r="AS165" s="113"/>
      <c r="AT165" s="113"/>
      <c r="AU165" s="113"/>
      <c r="AV165" s="113"/>
      <c r="AW165" s="113"/>
      <c r="AX165" s="113"/>
      <c r="AY165" s="113"/>
      <c r="AZ165" s="113"/>
      <c r="BA165" s="113"/>
      <c r="BB165" s="113"/>
      <c r="BC165" s="113"/>
      <c r="BD165" s="113"/>
      <c r="BE165" s="113"/>
      <c r="BF165" s="114"/>
    </row>
    <row r="166" spans="1:58">
      <c r="A166" s="466"/>
      <c r="B166" s="465"/>
      <c r="C166" s="490"/>
      <c r="D166" s="470"/>
      <c r="E166" s="472"/>
      <c r="F166" s="472"/>
      <c r="G166" s="72" t="s">
        <v>167</v>
      </c>
      <c r="H166" s="68">
        <f t="shared" si="163"/>
        <v>0</v>
      </c>
      <c r="I166" s="105"/>
      <c r="J166" s="106"/>
      <c r="K166" s="106"/>
      <c r="L166" s="106"/>
      <c r="M166" s="106"/>
      <c r="N166" s="106"/>
      <c r="O166" s="106"/>
      <c r="P166" s="106"/>
      <c r="Q166" s="106"/>
      <c r="R166" s="106"/>
      <c r="S166" s="106"/>
      <c r="T166" s="106"/>
      <c r="U166" s="106"/>
      <c r="V166" s="106"/>
      <c r="W166" s="106"/>
      <c r="X166" s="106"/>
      <c r="Y166" s="106"/>
      <c r="Z166" s="106"/>
      <c r="AA166" s="106"/>
      <c r="AB166" s="106"/>
      <c r="AC166" s="106"/>
      <c r="AD166" s="106"/>
      <c r="AE166" s="106"/>
      <c r="AF166" s="106"/>
      <c r="AG166" s="106"/>
      <c r="AH166" s="106"/>
      <c r="AI166" s="106"/>
      <c r="AJ166" s="106"/>
      <c r="AK166" s="106"/>
      <c r="AL166" s="106"/>
      <c r="AM166" s="106"/>
      <c r="AN166" s="106"/>
      <c r="AO166" s="106"/>
      <c r="AP166" s="106"/>
      <c r="AQ166" s="106"/>
      <c r="AR166" s="106"/>
      <c r="AS166" s="106"/>
      <c r="AT166" s="106"/>
      <c r="AU166" s="106"/>
      <c r="AV166" s="106"/>
      <c r="AW166" s="106"/>
      <c r="AX166" s="106"/>
      <c r="AY166" s="106"/>
      <c r="AZ166" s="106"/>
      <c r="BA166" s="106"/>
      <c r="BB166" s="106"/>
      <c r="BC166" s="106"/>
      <c r="BD166" s="106"/>
      <c r="BE166" s="106"/>
      <c r="BF166" s="107"/>
    </row>
    <row r="167" spans="1:58">
      <c r="A167" s="464">
        <f t="shared" si="164"/>
        <v>79</v>
      </c>
      <c r="B167" s="465"/>
      <c r="C167" s="489" t="s">
        <v>596</v>
      </c>
      <c r="D167" s="469">
        <f t="shared" ref="D167" si="198">SUM(I167:BF167)</f>
        <v>0</v>
      </c>
      <c r="E167" s="471" t="str">
        <f t="shared" ref="E167" si="199">IF(D167=0,"",H168/D167)</f>
        <v/>
      </c>
      <c r="F167" s="471" t="str">
        <f t="shared" ref="F167" si="200">IF(H167=0,"",H168/H167)</f>
        <v/>
      </c>
      <c r="G167" s="71" t="s">
        <v>168</v>
      </c>
      <c r="H167" s="67">
        <f t="shared" si="163"/>
        <v>0</v>
      </c>
      <c r="I167" s="112"/>
      <c r="J167" s="113"/>
      <c r="K167" s="113"/>
      <c r="L167" s="113"/>
      <c r="M167" s="113"/>
      <c r="N167" s="113"/>
      <c r="O167" s="113"/>
      <c r="P167" s="113"/>
      <c r="Q167" s="113"/>
      <c r="R167" s="113"/>
      <c r="S167" s="113"/>
      <c r="T167" s="113"/>
      <c r="U167" s="113"/>
      <c r="V167" s="113"/>
      <c r="W167" s="113"/>
      <c r="X167" s="113"/>
      <c r="Y167" s="113"/>
      <c r="Z167" s="113"/>
      <c r="AA167" s="113"/>
      <c r="AB167" s="113"/>
      <c r="AC167" s="113"/>
      <c r="AD167" s="113"/>
      <c r="AE167" s="113"/>
      <c r="AF167" s="113"/>
      <c r="AG167" s="113"/>
      <c r="AH167" s="113"/>
      <c r="AI167" s="113"/>
      <c r="AJ167" s="113"/>
      <c r="AK167" s="113"/>
      <c r="AL167" s="113"/>
      <c r="AM167" s="113"/>
      <c r="AN167" s="113"/>
      <c r="AO167" s="113"/>
      <c r="AP167" s="113"/>
      <c r="AQ167" s="113"/>
      <c r="AR167" s="113"/>
      <c r="AS167" s="113"/>
      <c r="AT167" s="113"/>
      <c r="AU167" s="113"/>
      <c r="AV167" s="113"/>
      <c r="AW167" s="113"/>
      <c r="AX167" s="113"/>
      <c r="AY167" s="113"/>
      <c r="AZ167" s="113"/>
      <c r="BA167" s="113"/>
      <c r="BB167" s="113"/>
      <c r="BC167" s="113"/>
      <c r="BD167" s="113"/>
      <c r="BE167" s="113"/>
      <c r="BF167" s="114"/>
    </row>
    <row r="168" spans="1:58">
      <c r="A168" s="466"/>
      <c r="B168" s="465"/>
      <c r="C168" s="490"/>
      <c r="D168" s="470"/>
      <c r="E168" s="472"/>
      <c r="F168" s="472"/>
      <c r="G168" s="72" t="s">
        <v>167</v>
      </c>
      <c r="H168" s="68">
        <f t="shared" si="163"/>
        <v>0</v>
      </c>
      <c r="I168" s="105"/>
      <c r="J168" s="106"/>
      <c r="K168" s="106"/>
      <c r="L168" s="106"/>
      <c r="M168" s="106"/>
      <c r="N168" s="106"/>
      <c r="O168" s="106"/>
      <c r="P168" s="106"/>
      <c r="Q168" s="106"/>
      <c r="R168" s="106"/>
      <c r="S168" s="106"/>
      <c r="T168" s="106"/>
      <c r="U168" s="106"/>
      <c r="V168" s="106"/>
      <c r="W168" s="106"/>
      <c r="X168" s="106"/>
      <c r="Y168" s="106"/>
      <c r="Z168" s="106"/>
      <c r="AA168" s="106"/>
      <c r="AB168" s="106"/>
      <c r="AC168" s="106"/>
      <c r="AD168" s="106"/>
      <c r="AE168" s="106"/>
      <c r="AF168" s="106"/>
      <c r="AG168" s="106"/>
      <c r="AH168" s="106"/>
      <c r="AI168" s="106"/>
      <c r="AJ168" s="106"/>
      <c r="AK168" s="106"/>
      <c r="AL168" s="106"/>
      <c r="AM168" s="106"/>
      <c r="AN168" s="106"/>
      <c r="AO168" s="106"/>
      <c r="AP168" s="106"/>
      <c r="AQ168" s="106"/>
      <c r="AR168" s="106"/>
      <c r="AS168" s="106"/>
      <c r="AT168" s="106"/>
      <c r="AU168" s="106"/>
      <c r="AV168" s="106"/>
      <c r="AW168" s="106"/>
      <c r="AX168" s="106"/>
      <c r="AY168" s="106"/>
      <c r="AZ168" s="106"/>
      <c r="BA168" s="106"/>
      <c r="BB168" s="106"/>
      <c r="BC168" s="106"/>
      <c r="BD168" s="106"/>
      <c r="BE168" s="106"/>
      <c r="BF168" s="107"/>
    </row>
    <row r="169" spans="1:58">
      <c r="A169" s="464">
        <f t="shared" si="164"/>
        <v>80</v>
      </c>
      <c r="B169" s="465"/>
      <c r="C169" s="489" t="s">
        <v>596</v>
      </c>
      <c r="D169" s="469">
        <f t="shared" ref="D169" si="201">SUM(I169:BF169)</f>
        <v>0</v>
      </c>
      <c r="E169" s="471" t="str">
        <f t="shared" ref="E169" si="202">IF(D169=0,"",H170/D169)</f>
        <v/>
      </c>
      <c r="F169" s="471" t="str">
        <f t="shared" ref="F169" si="203">IF(H169=0,"",H170/H169)</f>
        <v/>
      </c>
      <c r="G169" s="71" t="s">
        <v>168</v>
      </c>
      <c r="H169" s="67">
        <f t="shared" si="163"/>
        <v>0</v>
      </c>
      <c r="I169" s="112"/>
      <c r="J169" s="113"/>
      <c r="K169" s="113"/>
      <c r="L169" s="113"/>
      <c r="M169" s="113"/>
      <c r="N169" s="113"/>
      <c r="O169" s="113"/>
      <c r="P169" s="113"/>
      <c r="Q169" s="113"/>
      <c r="R169" s="113"/>
      <c r="S169" s="113"/>
      <c r="T169" s="113"/>
      <c r="U169" s="113"/>
      <c r="V169" s="113"/>
      <c r="W169" s="113"/>
      <c r="X169" s="113"/>
      <c r="Y169" s="113"/>
      <c r="Z169" s="113"/>
      <c r="AA169" s="113"/>
      <c r="AB169" s="113"/>
      <c r="AC169" s="113"/>
      <c r="AD169" s="113"/>
      <c r="AE169" s="113"/>
      <c r="AF169" s="113"/>
      <c r="AG169" s="113"/>
      <c r="AH169" s="113"/>
      <c r="AI169" s="113"/>
      <c r="AJ169" s="113"/>
      <c r="AK169" s="113"/>
      <c r="AL169" s="113"/>
      <c r="AM169" s="113"/>
      <c r="AN169" s="113"/>
      <c r="AO169" s="113"/>
      <c r="AP169" s="113"/>
      <c r="AQ169" s="113"/>
      <c r="AR169" s="113"/>
      <c r="AS169" s="113"/>
      <c r="AT169" s="113"/>
      <c r="AU169" s="113"/>
      <c r="AV169" s="113"/>
      <c r="AW169" s="113"/>
      <c r="AX169" s="113"/>
      <c r="AY169" s="113"/>
      <c r="AZ169" s="113"/>
      <c r="BA169" s="113"/>
      <c r="BB169" s="113"/>
      <c r="BC169" s="113"/>
      <c r="BD169" s="113"/>
      <c r="BE169" s="113"/>
      <c r="BF169" s="114"/>
    </row>
    <row r="170" spans="1:58">
      <c r="A170" s="466"/>
      <c r="B170" s="465"/>
      <c r="C170" s="490"/>
      <c r="D170" s="470"/>
      <c r="E170" s="472"/>
      <c r="F170" s="472"/>
      <c r="G170" s="72" t="s">
        <v>167</v>
      </c>
      <c r="H170" s="68">
        <f t="shared" si="163"/>
        <v>0</v>
      </c>
      <c r="I170" s="105"/>
      <c r="J170" s="106"/>
      <c r="K170" s="106"/>
      <c r="L170" s="106"/>
      <c r="M170" s="106"/>
      <c r="N170" s="106"/>
      <c r="O170" s="106"/>
      <c r="P170" s="106"/>
      <c r="Q170" s="106"/>
      <c r="R170" s="106"/>
      <c r="S170" s="106"/>
      <c r="T170" s="106"/>
      <c r="U170" s="106"/>
      <c r="V170" s="106"/>
      <c r="W170" s="106"/>
      <c r="X170" s="106"/>
      <c r="Y170" s="106"/>
      <c r="Z170" s="106"/>
      <c r="AA170" s="106"/>
      <c r="AB170" s="106"/>
      <c r="AC170" s="106"/>
      <c r="AD170" s="106"/>
      <c r="AE170" s="106"/>
      <c r="AF170" s="106"/>
      <c r="AG170" s="106"/>
      <c r="AH170" s="106"/>
      <c r="AI170" s="106"/>
      <c r="AJ170" s="106"/>
      <c r="AK170" s="106"/>
      <c r="AL170" s="106"/>
      <c r="AM170" s="106"/>
      <c r="AN170" s="106"/>
      <c r="AO170" s="106"/>
      <c r="AP170" s="106"/>
      <c r="AQ170" s="106"/>
      <c r="AR170" s="106"/>
      <c r="AS170" s="106"/>
      <c r="AT170" s="106"/>
      <c r="AU170" s="106"/>
      <c r="AV170" s="106"/>
      <c r="AW170" s="106"/>
      <c r="AX170" s="106"/>
      <c r="AY170" s="106"/>
      <c r="AZ170" s="106"/>
      <c r="BA170" s="106"/>
      <c r="BB170" s="106"/>
      <c r="BC170" s="106"/>
      <c r="BD170" s="106"/>
      <c r="BE170" s="106"/>
      <c r="BF170" s="107"/>
    </row>
    <row r="171" spans="1:58">
      <c r="A171" s="464">
        <f t="shared" si="164"/>
        <v>81</v>
      </c>
      <c r="B171" s="465"/>
      <c r="C171" s="489" t="s">
        <v>596</v>
      </c>
      <c r="D171" s="469">
        <f t="shared" ref="D171" si="204">SUM(I171:BF171)</f>
        <v>0</v>
      </c>
      <c r="E171" s="471" t="str">
        <f t="shared" ref="E171" si="205">IF(D171=0,"",H172/D171)</f>
        <v/>
      </c>
      <c r="F171" s="471" t="str">
        <f t="shared" ref="F171" si="206">IF(H171=0,"",H172/H171)</f>
        <v/>
      </c>
      <c r="G171" s="71" t="s">
        <v>168</v>
      </c>
      <c r="H171" s="67">
        <f t="shared" si="163"/>
        <v>0</v>
      </c>
      <c r="I171" s="112"/>
      <c r="J171" s="113"/>
      <c r="K171" s="113"/>
      <c r="L171" s="113"/>
      <c r="M171" s="113"/>
      <c r="N171" s="113"/>
      <c r="O171" s="113"/>
      <c r="P171" s="113"/>
      <c r="Q171" s="113"/>
      <c r="R171" s="113"/>
      <c r="S171" s="113"/>
      <c r="T171" s="113"/>
      <c r="U171" s="113"/>
      <c r="V171" s="113"/>
      <c r="W171" s="113"/>
      <c r="X171" s="113"/>
      <c r="Y171" s="113"/>
      <c r="Z171" s="113"/>
      <c r="AA171" s="113"/>
      <c r="AB171" s="113"/>
      <c r="AC171" s="113"/>
      <c r="AD171" s="113"/>
      <c r="AE171" s="113"/>
      <c r="AF171" s="113"/>
      <c r="AG171" s="113"/>
      <c r="AH171" s="113"/>
      <c r="AI171" s="113"/>
      <c r="AJ171" s="113"/>
      <c r="AK171" s="113"/>
      <c r="AL171" s="113"/>
      <c r="AM171" s="113"/>
      <c r="AN171" s="113"/>
      <c r="AO171" s="113"/>
      <c r="AP171" s="113"/>
      <c r="AQ171" s="113"/>
      <c r="AR171" s="113"/>
      <c r="AS171" s="113"/>
      <c r="AT171" s="113"/>
      <c r="AU171" s="113"/>
      <c r="AV171" s="113"/>
      <c r="AW171" s="113"/>
      <c r="AX171" s="113"/>
      <c r="AY171" s="113"/>
      <c r="AZ171" s="113"/>
      <c r="BA171" s="113"/>
      <c r="BB171" s="113"/>
      <c r="BC171" s="113"/>
      <c r="BD171" s="113"/>
      <c r="BE171" s="113"/>
      <c r="BF171" s="114"/>
    </row>
    <row r="172" spans="1:58">
      <c r="A172" s="466"/>
      <c r="B172" s="465"/>
      <c r="C172" s="490"/>
      <c r="D172" s="470"/>
      <c r="E172" s="472"/>
      <c r="F172" s="472"/>
      <c r="G172" s="72" t="s">
        <v>167</v>
      </c>
      <c r="H172" s="68">
        <f t="shared" si="163"/>
        <v>0</v>
      </c>
      <c r="I172" s="105"/>
      <c r="J172" s="106"/>
      <c r="K172" s="106"/>
      <c r="L172" s="106"/>
      <c r="M172" s="106"/>
      <c r="N172" s="106"/>
      <c r="O172" s="106"/>
      <c r="P172" s="106"/>
      <c r="Q172" s="106"/>
      <c r="R172" s="106"/>
      <c r="S172" s="106"/>
      <c r="T172" s="106"/>
      <c r="U172" s="106"/>
      <c r="V172" s="106"/>
      <c r="W172" s="106"/>
      <c r="X172" s="106"/>
      <c r="Y172" s="106"/>
      <c r="Z172" s="106"/>
      <c r="AA172" s="106"/>
      <c r="AB172" s="106"/>
      <c r="AC172" s="106"/>
      <c r="AD172" s="106"/>
      <c r="AE172" s="106"/>
      <c r="AF172" s="106"/>
      <c r="AG172" s="106"/>
      <c r="AH172" s="106"/>
      <c r="AI172" s="106"/>
      <c r="AJ172" s="106"/>
      <c r="AK172" s="106"/>
      <c r="AL172" s="106"/>
      <c r="AM172" s="106"/>
      <c r="AN172" s="106"/>
      <c r="AO172" s="106"/>
      <c r="AP172" s="106"/>
      <c r="AQ172" s="106"/>
      <c r="AR172" s="106"/>
      <c r="AS172" s="106"/>
      <c r="AT172" s="106"/>
      <c r="AU172" s="106"/>
      <c r="AV172" s="106"/>
      <c r="AW172" s="106"/>
      <c r="AX172" s="106"/>
      <c r="AY172" s="106"/>
      <c r="AZ172" s="106"/>
      <c r="BA172" s="106"/>
      <c r="BB172" s="106"/>
      <c r="BC172" s="106"/>
      <c r="BD172" s="106"/>
      <c r="BE172" s="106"/>
      <c r="BF172" s="107"/>
    </row>
    <row r="173" spans="1:58">
      <c r="A173" s="464">
        <f t="shared" si="164"/>
        <v>82</v>
      </c>
      <c r="B173" s="465"/>
      <c r="C173" s="489" t="s">
        <v>596</v>
      </c>
      <c r="D173" s="469">
        <f t="shared" ref="D173" si="207">SUM(I173:BF173)</f>
        <v>0</v>
      </c>
      <c r="E173" s="471" t="str">
        <f t="shared" ref="E173" si="208">IF(D173=0,"",H174/D173)</f>
        <v/>
      </c>
      <c r="F173" s="471" t="str">
        <f t="shared" ref="F173" si="209">IF(H173=0,"",H174/H173)</f>
        <v/>
      </c>
      <c r="G173" s="71" t="s">
        <v>168</v>
      </c>
      <c r="H173" s="67">
        <f t="shared" si="163"/>
        <v>0</v>
      </c>
      <c r="I173" s="112"/>
      <c r="J173" s="113"/>
      <c r="K173" s="113"/>
      <c r="L173" s="113"/>
      <c r="M173" s="113"/>
      <c r="N173" s="113"/>
      <c r="O173" s="113"/>
      <c r="P173" s="113"/>
      <c r="Q173" s="113"/>
      <c r="R173" s="113"/>
      <c r="S173" s="113"/>
      <c r="T173" s="113"/>
      <c r="U173" s="113"/>
      <c r="V173" s="113"/>
      <c r="W173" s="113"/>
      <c r="X173" s="113"/>
      <c r="Y173" s="113"/>
      <c r="Z173" s="113"/>
      <c r="AA173" s="113"/>
      <c r="AB173" s="113"/>
      <c r="AC173" s="113"/>
      <c r="AD173" s="113"/>
      <c r="AE173" s="113"/>
      <c r="AF173" s="113"/>
      <c r="AG173" s="113"/>
      <c r="AH173" s="113"/>
      <c r="AI173" s="113"/>
      <c r="AJ173" s="113"/>
      <c r="AK173" s="113"/>
      <c r="AL173" s="113"/>
      <c r="AM173" s="113"/>
      <c r="AN173" s="113"/>
      <c r="AO173" s="113"/>
      <c r="AP173" s="113"/>
      <c r="AQ173" s="113"/>
      <c r="AR173" s="113"/>
      <c r="AS173" s="113"/>
      <c r="AT173" s="113"/>
      <c r="AU173" s="113"/>
      <c r="AV173" s="113"/>
      <c r="AW173" s="113"/>
      <c r="AX173" s="113"/>
      <c r="AY173" s="113"/>
      <c r="AZ173" s="113"/>
      <c r="BA173" s="113"/>
      <c r="BB173" s="113"/>
      <c r="BC173" s="113"/>
      <c r="BD173" s="113"/>
      <c r="BE173" s="113"/>
      <c r="BF173" s="114"/>
    </row>
    <row r="174" spans="1:58">
      <c r="A174" s="466"/>
      <c r="B174" s="465"/>
      <c r="C174" s="490"/>
      <c r="D174" s="470"/>
      <c r="E174" s="472"/>
      <c r="F174" s="472"/>
      <c r="G174" s="72" t="s">
        <v>167</v>
      </c>
      <c r="H174" s="68">
        <f t="shared" si="163"/>
        <v>0</v>
      </c>
      <c r="I174" s="105"/>
      <c r="J174" s="106"/>
      <c r="K174" s="106"/>
      <c r="L174" s="106"/>
      <c r="M174" s="106"/>
      <c r="N174" s="106"/>
      <c r="O174" s="106"/>
      <c r="P174" s="106"/>
      <c r="Q174" s="106"/>
      <c r="R174" s="106"/>
      <c r="S174" s="106"/>
      <c r="T174" s="106"/>
      <c r="U174" s="106"/>
      <c r="V174" s="106"/>
      <c r="W174" s="106"/>
      <c r="X174" s="106"/>
      <c r="Y174" s="106"/>
      <c r="Z174" s="106"/>
      <c r="AA174" s="106"/>
      <c r="AB174" s="106"/>
      <c r="AC174" s="106"/>
      <c r="AD174" s="106"/>
      <c r="AE174" s="106"/>
      <c r="AF174" s="106"/>
      <c r="AG174" s="106"/>
      <c r="AH174" s="106"/>
      <c r="AI174" s="106"/>
      <c r="AJ174" s="106"/>
      <c r="AK174" s="106"/>
      <c r="AL174" s="106"/>
      <c r="AM174" s="106"/>
      <c r="AN174" s="106"/>
      <c r="AO174" s="106"/>
      <c r="AP174" s="106"/>
      <c r="AQ174" s="106"/>
      <c r="AR174" s="106"/>
      <c r="AS174" s="106"/>
      <c r="AT174" s="106"/>
      <c r="AU174" s="106"/>
      <c r="AV174" s="106"/>
      <c r="AW174" s="106"/>
      <c r="AX174" s="106"/>
      <c r="AY174" s="106"/>
      <c r="AZ174" s="106"/>
      <c r="BA174" s="106"/>
      <c r="BB174" s="106"/>
      <c r="BC174" s="106"/>
      <c r="BD174" s="106"/>
      <c r="BE174" s="106"/>
      <c r="BF174" s="107"/>
    </row>
    <row r="175" spans="1:58">
      <c r="A175" s="464">
        <f t="shared" si="164"/>
        <v>83</v>
      </c>
      <c r="B175" s="465"/>
      <c r="C175" s="489" t="s">
        <v>596</v>
      </c>
      <c r="D175" s="469">
        <f t="shared" ref="D175" si="210">SUM(I175:BF175)</f>
        <v>0</v>
      </c>
      <c r="E175" s="471" t="str">
        <f t="shared" ref="E175" si="211">IF(D175=0,"",H176/D175)</f>
        <v/>
      </c>
      <c r="F175" s="471" t="str">
        <f t="shared" ref="F175" si="212">IF(H175=0,"",H176/H175)</f>
        <v/>
      </c>
      <c r="G175" s="71" t="s">
        <v>168</v>
      </c>
      <c r="H175" s="67">
        <f t="shared" si="163"/>
        <v>0</v>
      </c>
      <c r="I175" s="112"/>
      <c r="J175" s="113"/>
      <c r="K175" s="113"/>
      <c r="L175" s="113"/>
      <c r="M175" s="113"/>
      <c r="N175" s="113"/>
      <c r="O175" s="113"/>
      <c r="P175" s="113"/>
      <c r="Q175" s="113"/>
      <c r="R175" s="113"/>
      <c r="S175" s="113"/>
      <c r="T175" s="113"/>
      <c r="U175" s="113"/>
      <c r="V175" s="113"/>
      <c r="W175" s="113"/>
      <c r="X175" s="113"/>
      <c r="Y175" s="113"/>
      <c r="Z175" s="113"/>
      <c r="AA175" s="113"/>
      <c r="AB175" s="113"/>
      <c r="AC175" s="113"/>
      <c r="AD175" s="113"/>
      <c r="AE175" s="113"/>
      <c r="AF175" s="113"/>
      <c r="AG175" s="113"/>
      <c r="AH175" s="113"/>
      <c r="AI175" s="113"/>
      <c r="AJ175" s="113"/>
      <c r="AK175" s="113"/>
      <c r="AL175" s="113"/>
      <c r="AM175" s="113"/>
      <c r="AN175" s="113"/>
      <c r="AO175" s="113"/>
      <c r="AP175" s="113"/>
      <c r="AQ175" s="113"/>
      <c r="AR175" s="113"/>
      <c r="AS175" s="113"/>
      <c r="AT175" s="113"/>
      <c r="AU175" s="113"/>
      <c r="AV175" s="113"/>
      <c r="AW175" s="113"/>
      <c r="AX175" s="113"/>
      <c r="AY175" s="113"/>
      <c r="AZ175" s="113"/>
      <c r="BA175" s="113"/>
      <c r="BB175" s="113"/>
      <c r="BC175" s="113"/>
      <c r="BD175" s="113"/>
      <c r="BE175" s="113"/>
      <c r="BF175" s="114"/>
    </row>
    <row r="176" spans="1:58">
      <c r="A176" s="466"/>
      <c r="B176" s="465"/>
      <c r="C176" s="490"/>
      <c r="D176" s="470"/>
      <c r="E176" s="472"/>
      <c r="F176" s="472"/>
      <c r="G176" s="72" t="s">
        <v>167</v>
      </c>
      <c r="H176" s="68">
        <f t="shared" si="163"/>
        <v>0</v>
      </c>
      <c r="I176" s="105"/>
      <c r="J176" s="106"/>
      <c r="K176" s="106"/>
      <c r="L176" s="106"/>
      <c r="M176" s="106"/>
      <c r="N176" s="106"/>
      <c r="O176" s="106"/>
      <c r="P176" s="106"/>
      <c r="Q176" s="106"/>
      <c r="R176" s="106"/>
      <c r="S176" s="106"/>
      <c r="T176" s="106"/>
      <c r="U176" s="106"/>
      <c r="V176" s="106"/>
      <c r="W176" s="106"/>
      <c r="X176" s="106"/>
      <c r="Y176" s="106"/>
      <c r="Z176" s="106"/>
      <c r="AA176" s="106"/>
      <c r="AB176" s="106"/>
      <c r="AC176" s="106"/>
      <c r="AD176" s="106"/>
      <c r="AE176" s="106"/>
      <c r="AF176" s="106"/>
      <c r="AG176" s="106"/>
      <c r="AH176" s="106"/>
      <c r="AI176" s="106"/>
      <c r="AJ176" s="106"/>
      <c r="AK176" s="106"/>
      <c r="AL176" s="106"/>
      <c r="AM176" s="106"/>
      <c r="AN176" s="106"/>
      <c r="AO176" s="106"/>
      <c r="AP176" s="106"/>
      <c r="AQ176" s="106"/>
      <c r="AR176" s="106"/>
      <c r="AS176" s="106"/>
      <c r="AT176" s="106"/>
      <c r="AU176" s="106"/>
      <c r="AV176" s="106"/>
      <c r="AW176" s="106"/>
      <c r="AX176" s="106"/>
      <c r="AY176" s="106"/>
      <c r="AZ176" s="106"/>
      <c r="BA176" s="106"/>
      <c r="BB176" s="106"/>
      <c r="BC176" s="106"/>
      <c r="BD176" s="106"/>
      <c r="BE176" s="106"/>
      <c r="BF176" s="107"/>
    </row>
    <row r="177" spans="1:58">
      <c r="A177" s="464">
        <f t="shared" si="164"/>
        <v>84</v>
      </c>
      <c r="B177" s="465"/>
      <c r="C177" s="489" t="s">
        <v>596</v>
      </c>
      <c r="D177" s="469">
        <f t="shared" ref="D177" si="213">SUM(I177:BF177)</f>
        <v>0</v>
      </c>
      <c r="E177" s="471" t="str">
        <f t="shared" ref="E177" si="214">IF(D177=0,"",H178/D177)</f>
        <v/>
      </c>
      <c r="F177" s="471" t="str">
        <f t="shared" ref="F177" si="215">IF(H177=0,"",H178/H177)</f>
        <v/>
      </c>
      <c r="G177" s="71" t="s">
        <v>168</v>
      </c>
      <c r="H177" s="67">
        <f t="shared" si="163"/>
        <v>0</v>
      </c>
      <c r="I177" s="112"/>
      <c r="J177" s="113"/>
      <c r="K177" s="113"/>
      <c r="L177" s="113"/>
      <c r="M177" s="113"/>
      <c r="N177" s="113"/>
      <c r="O177" s="113"/>
      <c r="P177" s="113"/>
      <c r="Q177" s="113"/>
      <c r="R177" s="113"/>
      <c r="S177" s="113"/>
      <c r="T177" s="113"/>
      <c r="U177" s="113"/>
      <c r="V177" s="113"/>
      <c r="W177" s="113"/>
      <c r="X177" s="113"/>
      <c r="Y177" s="113"/>
      <c r="Z177" s="113"/>
      <c r="AA177" s="113"/>
      <c r="AB177" s="113"/>
      <c r="AC177" s="113"/>
      <c r="AD177" s="113"/>
      <c r="AE177" s="113"/>
      <c r="AF177" s="113"/>
      <c r="AG177" s="113"/>
      <c r="AH177" s="113"/>
      <c r="AI177" s="113"/>
      <c r="AJ177" s="113"/>
      <c r="AK177" s="113"/>
      <c r="AL177" s="113"/>
      <c r="AM177" s="113"/>
      <c r="AN177" s="113"/>
      <c r="AO177" s="113"/>
      <c r="AP177" s="113"/>
      <c r="AQ177" s="113"/>
      <c r="AR177" s="113"/>
      <c r="AS177" s="113"/>
      <c r="AT177" s="113"/>
      <c r="AU177" s="113"/>
      <c r="AV177" s="113"/>
      <c r="AW177" s="113"/>
      <c r="AX177" s="113"/>
      <c r="AY177" s="113"/>
      <c r="AZ177" s="113"/>
      <c r="BA177" s="113"/>
      <c r="BB177" s="113"/>
      <c r="BC177" s="113"/>
      <c r="BD177" s="113"/>
      <c r="BE177" s="113"/>
      <c r="BF177" s="114"/>
    </row>
    <row r="178" spans="1:58">
      <c r="A178" s="466"/>
      <c r="B178" s="465"/>
      <c r="C178" s="490"/>
      <c r="D178" s="470"/>
      <c r="E178" s="472"/>
      <c r="F178" s="472"/>
      <c r="G178" s="72" t="s">
        <v>167</v>
      </c>
      <c r="H178" s="68">
        <f t="shared" si="163"/>
        <v>0</v>
      </c>
      <c r="I178" s="105"/>
      <c r="J178" s="106"/>
      <c r="K178" s="106"/>
      <c r="L178" s="106"/>
      <c r="M178" s="106"/>
      <c r="N178" s="106"/>
      <c r="O178" s="106"/>
      <c r="P178" s="106"/>
      <c r="Q178" s="106"/>
      <c r="R178" s="106"/>
      <c r="S178" s="106"/>
      <c r="T178" s="106"/>
      <c r="U178" s="106"/>
      <c r="V178" s="106"/>
      <c r="W178" s="106"/>
      <c r="X178" s="106"/>
      <c r="Y178" s="106"/>
      <c r="Z178" s="106"/>
      <c r="AA178" s="106"/>
      <c r="AB178" s="106"/>
      <c r="AC178" s="106"/>
      <c r="AD178" s="106"/>
      <c r="AE178" s="106"/>
      <c r="AF178" s="106"/>
      <c r="AG178" s="106"/>
      <c r="AH178" s="106"/>
      <c r="AI178" s="106"/>
      <c r="AJ178" s="106"/>
      <c r="AK178" s="106"/>
      <c r="AL178" s="106"/>
      <c r="AM178" s="106"/>
      <c r="AN178" s="106"/>
      <c r="AO178" s="106"/>
      <c r="AP178" s="106"/>
      <c r="AQ178" s="106"/>
      <c r="AR178" s="106"/>
      <c r="AS178" s="106"/>
      <c r="AT178" s="106"/>
      <c r="AU178" s="106"/>
      <c r="AV178" s="106"/>
      <c r="AW178" s="106"/>
      <c r="AX178" s="106"/>
      <c r="AY178" s="106"/>
      <c r="AZ178" s="106"/>
      <c r="BA178" s="106"/>
      <c r="BB178" s="106"/>
      <c r="BC178" s="106"/>
      <c r="BD178" s="106"/>
      <c r="BE178" s="106"/>
      <c r="BF178" s="107"/>
    </row>
    <row r="179" spans="1:58">
      <c r="A179" s="464">
        <f t="shared" si="164"/>
        <v>85</v>
      </c>
      <c r="B179" s="465"/>
      <c r="C179" s="489" t="s">
        <v>596</v>
      </c>
      <c r="D179" s="469">
        <f t="shared" ref="D179" si="216">SUM(I179:BF179)</f>
        <v>0</v>
      </c>
      <c r="E179" s="471" t="str">
        <f t="shared" ref="E179" si="217">IF(D179=0,"",H180/D179)</f>
        <v/>
      </c>
      <c r="F179" s="471" t="str">
        <f t="shared" ref="F179" si="218">IF(H179=0,"",H180/H179)</f>
        <v/>
      </c>
      <c r="G179" s="71" t="s">
        <v>168</v>
      </c>
      <c r="H179" s="67">
        <f t="shared" si="163"/>
        <v>0</v>
      </c>
      <c r="I179" s="112"/>
      <c r="J179" s="113"/>
      <c r="K179" s="113"/>
      <c r="L179" s="113"/>
      <c r="M179" s="113"/>
      <c r="N179" s="113"/>
      <c r="O179" s="113"/>
      <c r="P179" s="113"/>
      <c r="Q179" s="113"/>
      <c r="R179" s="113"/>
      <c r="S179" s="113"/>
      <c r="T179" s="113"/>
      <c r="U179" s="113"/>
      <c r="V179" s="113"/>
      <c r="W179" s="113"/>
      <c r="X179" s="113"/>
      <c r="Y179" s="113"/>
      <c r="Z179" s="113"/>
      <c r="AA179" s="113"/>
      <c r="AB179" s="113"/>
      <c r="AC179" s="113"/>
      <c r="AD179" s="113"/>
      <c r="AE179" s="113"/>
      <c r="AF179" s="113"/>
      <c r="AG179" s="113"/>
      <c r="AH179" s="113"/>
      <c r="AI179" s="113"/>
      <c r="AJ179" s="113"/>
      <c r="AK179" s="113"/>
      <c r="AL179" s="113"/>
      <c r="AM179" s="113"/>
      <c r="AN179" s="113"/>
      <c r="AO179" s="113"/>
      <c r="AP179" s="113"/>
      <c r="AQ179" s="113"/>
      <c r="AR179" s="113"/>
      <c r="AS179" s="113"/>
      <c r="AT179" s="113"/>
      <c r="AU179" s="113"/>
      <c r="AV179" s="113"/>
      <c r="AW179" s="113"/>
      <c r="AX179" s="113"/>
      <c r="AY179" s="113"/>
      <c r="AZ179" s="113"/>
      <c r="BA179" s="113"/>
      <c r="BB179" s="113"/>
      <c r="BC179" s="113"/>
      <c r="BD179" s="113"/>
      <c r="BE179" s="113"/>
      <c r="BF179" s="114"/>
    </row>
    <row r="180" spans="1:58">
      <c r="A180" s="466"/>
      <c r="B180" s="465"/>
      <c r="C180" s="490"/>
      <c r="D180" s="470"/>
      <c r="E180" s="472"/>
      <c r="F180" s="472"/>
      <c r="G180" s="72" t="s">
        <v>167</v>
      </c>
      <c r="H180" s="68">
        <f t="shared" si="163"/>
        <v>0</v>
      </c>
      <c r="I180" s="105"/>
      <c r="J180" s="106"/>
      <c r="K180" s="106"/>
      <c r="L180" s="106"/>
      <c r="M180" s="106"/>
      <c r="N180" s="106"/>
      <c r="O180" s="106"/>
      <c r="P180" s="106"/>
      <c r="Q180" s="106"/>
      <c r="R180" s="106"/>
      <c r="S180" s="106"/>
      <c r="T180" s="106"/>
      <c r="U180" s="106"/>
      <c r="V180" s="106"/>
      <c r="W180" s="106"/>
      <c r="X180" s="106"/>
      <c r="Y180" s="106"/>
      <c r="Z180" s="106"/>
      <c r="AA180" s="106"/>
      <c r="AB180" s="106"/>
      <c r="AC180" s="106"/>
      <c r="AD180" s="106"/>
      <c r="AE180" s="106"/>
      <c r="AF180" s="106"/>
      <c r="AG180" s="106"/>
      <c r="AH180" s="106"/>
      <c r="AI180" s="106"/>
      <c r="AJ180" s="106"/>
      <c r="AK180" s="106"/>
      <c r="AL180" s="106"/>
      <c r="AM180" s="106"/>
      <c r="AN180" s="106"/>
      <c r="AO180" s="106"/>
      <c r="AP180" s="106"/>
      <c r="AQ180" s="106"/>
      <c r="AR180" s="106"/>
      <c r="AS180" s="106"/>
      <c r="AT180" s="106"/>
      <c r="AU180" s="106"/>
      <c r="AV180" s="106"/>
      <c r="AW180" s="106"/>
      <c r="AX180" s="106"/>
      <c r="AY180" s="106"/>
      <c r="AZ180" s="106"/>
      <c r="BA180" s="106"/>
      <c r="BB180" s="106"/>
      <c r="BC180" s="106"/>
      <c r="BD180" s="106"/>
      <c r="BE180" s="106"/>
      <c r="BF180" s="107"/>
    </row>
    <row r="181" spans="1:58">
      <c r="A181" s="464">
        <f t="shared" si="164"/>
        <v>86</v>
      </c>
      <c r="B181" s="465"/>
      <c r="C181" s="489" t="s">
        <v>596</v>
      </c>
      <c r="D181" s="469">
        <f t="shared" ref="D181" si="219">SUM(I181:BF181)</f>
        <v>0</v>
      </c>
      <c r="E181" s="471" t="str">
        <f t="shared" ref="E181" si="220">IF(D181=0,"",H182/D181)</f>
        <v/>
      </c>
      <c r="F181" s="471" t="str">
        <f t="shared" ref="F181" si="221">IF(H181=0,"",H182/H181)</f>
        <v/>
      </c>
      <c r="G181" s="71" t="s">
        <v>168</v>
      </c>
      <c r="H181" s="67">
        <f t="shared" si="163"/>
        <v>0</v>
      </c>
      <c r="I181" s="112"/>
      <c r="J181" s="113"/>
      <c r="K181" s="113"/>
      <c r="L181" s="113"/>
      <c r="M181" s="113"/>
      <c r="N181" s="113"/>
      <c r="O181" s="113"/>
      <c r="P181" s="113"/>
      <c r="Q181" s="113"/>
      <c r="R181" s="113"/>
      <c r="S181" s="113"/>
      <c r="T181" s="113"/>
      <c r="U181" s="113"/>
      <c r="V181" s="113"/>
      <c r="W181" s="113"/>
      <c r="X181" s="113"/>
      <c r="Y181" s="113"/>
      <c r="Z181" s="113"/>
      <c r="AA181" s="113"/>
      <c r="AB181" s="113"/>
      <c r="AC181" s="113"/>
      <c r="AD181" s="113"/>
      <c r="AE181" s="113"/>
      <c r="AF181" s="113"/>
      <c r="AG181" s="113"/>
      <c r="AH181" s="113"/>
      <c r="AI181" s="113"/>
      <c r="AJ181" s="113"/>
      <c r="AK181" s="113"/>
      <c r="AL181" s="113"/>
      <c r="AM181" s="113"/>
      <c r="AN181" s="113"/>
      <c r="AO181" s="113"/>
      <c r="AP181" s="113"/>
      <c r="AQ181" s="113"/>
      <c r="AR181" s="113"/>
      <c r="AS181" s="113"/>
      <c r="AT181" s="113"/>
      <c r="AU181" s="113"/>
      <c r="AV181" s="113"/>
      <c r="AW181" s="113"/>
      <c r="AX181" s="113"/>
      <c r="AY181" s="113"/>
      <c r="AZ181" s="113"/>
      <c r="BA181" s="113"/>
      <c r="BB181" s="113"/>
      <c r="BC181" s="113"/>
      <c r="BD181" s="113"/>
      <c r="BE181" s="113"/>
      <c r="BF181" s="114"/>
    </row>
    <row r="182" spans="1:58">
      <c r="A182" s="466"/>
      <c r="B182" s="465"/>
      <c r="C182" s="490"/>
      <c r="D182" s="470"/>
      <c r="E182" s="472"/>
      <c r="F182" s="472"/>
      <c r="G182" s="72" t="s">
        <v>167</v>
      </c>
      <c r="H182" s="68">
        <f t="shared" si="163"/>
        <v>0</v>
      </c>
      <c r="I182" s="105"/>
      <c r="J182" s="106"/>
      <c r="K182" s="106"/>
      <c r="L182" s="106"/>
      <c r="M182" s="106"/>
      <c r="N182" s="106"/>
      <c r="O182" s="106"/>
      <c r="P182" s="106"/>
      <c r="Q182" s="106"/>
      <c r="R182" s="106"/>
      <c r="S182" s="106"/>
      <c r="T182" s="106"/>
      <c r="U182" s="106"/>
      <c r="V182" s="106"/>
      <c r="W182" s="106"/>
      <c r="X182" s="106"/>
      <c r="Y182" s="106"/>
      <c r="Z182" s="106"/>
      <c r="AA182" s="106"/>
      <c r="AB182" s="106"/>
      <c r="AC182" s="106"/>
      <c r="AD182" s="106"/>
      <c r="AE182" s="106"/>
      <c r="AF182" s="106"/>
      <c r="AG182" s="106"/>
      <c r="AH182" s="106"/>
      <c r="AI182" s="106"/>
      <c r="AJ182" s="106"/>
      <c r="AK182" s="106"/>
      <c r="AL182" s="106"/>
      <c r="AM182" s="106"/>
      <c r="AN182" s="106"/>
      <c r="AO182" s="106"/>
      <c r="AP182" s="106"/>
      <c r="AQ182" s="106"/>
      <c r="AR182" s="106"/>
      <c r="AS182" s="106"/>
      <c r="AT182" s="106"/>
      <c r="AU182" s="106"/>
      <c r="AV182" s="106"/>
      <c r="AW182" s="106"/>
      <c r="AX182" s="106"/>
      <c r="AY182" s="106"/>
      <c r="AZ182" s="106"/>
      <c r="BA182" s="106"/>
      <c r="BB182" s="106"/>
      <c r="BC182" s="106"/>
      <c r="BD182" s="106"/>
      <c r="BE182" s="106"/>
      <c r="BF182" s="107"/>
    </row>
    <row r="183" spans="1:58">
      <c r="A183" s="464">
        <f t="shared" si="164"/>
        <v>87</v>
      </c>
      <c r="B183" s="465"/>
      <c r="C183" s="489" t="s">
        <v>596</v>
      </c>
      <c r="D183" s="469">
        <f t="shared" ref="D183" si="222">SUM(I183:BF183)</f>
        <v>0</v>
      </c>
      <c r="E183" s="471" t="str">
        <f t="shared" ref="E183" si="223">IF(D183=0,"",H184/D183)</f>
        <v/>
      </c>
      <c r="F183" s="471" t="str">
        <f t="shared" ref="F183" si="224">IF(H183=0,"",H184/H183)</f>
        <v/>
      </c>
      <c r="G183" s="71" t="s">
        <v>168</v>
      </c>
      <c r="H183" s="67">
        <f t="shared" si="163"/>
        <v>0</v>
      </c>
      <c r="I183" s="112"/>
      <c r="J183" s="113"/>
      <c r="K183" s="113"/>
      <c r="L183" s="113"/>
      <c r="M183" s="113"/>
      <c r="N183" s="113"/>
      <c r="O183" s="113"/>
      <c r="P183" s="113"/>
      <c r="Q183" s="113"/>
      <c r="R183" s="113"/>
      <c r="S183" s="113"/>
      <c r="T183" s="113"/>
      <c r="U183" s="113"/>
      <c r="V183" s="113"/>
      <c r="W183" s="113"/>
      <c r="X183" s="113"/>
      <c r="Y183" s="113"/>
      <c r="Z183" s="113"/>
      <c r="AA183" s="113"/>
      <c r="AB183" s="113"/>
      <c r="AC183" s="113"/>
      <c r="AD183" s="113"/>
      <c r="AE183" s="113"/>
      <c r="AF183" s="113"/>
      <c r="AG183" s="113"/>
      <c r="AH183" s="113"/>
      <c r="AI183" s="113"/>
      <c r="AJ183" s="113"/>
      <c r="AK183" s="113"/>
      <c r="AL183" s="113"/>
      <c r="AM183" s="113"/>
      <c r="AN183" s="113"/>
      <c r="AO183" s="113"/>
      <c r="AP183" s="113"/>
      <c r="AQ183" s="113"/>
      <c r="AR183" s="113"/>
      <c r="AS183" s="113"/>
      <c r="AT183" s="113"/>
      <c r="AU183" s="113"/>
      <c r="AV183" s="113"/>
      <c r="AW183" s="113"/>
      <c r="AX183" s="113"/>
      <c r="AY183" s="113"/>
      <c r="AZ183" s="113"/>
      <c r="BA183" s="113"/>
      <c r="BB183" s="113"/>
      <c r="BC183" s="113"/>
      <c r="BD183" s="113"/>
      <c r="BE183" s="113"/>
      <c r="BF183" s="114"/>
    </row>
    <row r="184" spans="1:58">
      <c r="A184" s="466"/>
      <c r="B184" s="465"/>
      <c r="C184" s="490"/>
      <c r="D184" s="470"/>
      <c r="E184" s="472"/>
      <c r="F184" s="472"/>
      <c r="G184" s="72" t="s">
        <v>167</v>
      </c>
      <c r="H184" s="68">
        <f t="shared" si="163"/>
        <v>0</v>
      </c>
      <c r="I184" s="105"/>
      <c r="J184" s="106"/>
      <c r="K184" s="106"/>
      <c r="L184" s="106"/>
      <c r="M184" s="106"/>
      <c r="N184" s="106"/>
      <c r="O184" s="106"/>
      <c r="P184" s="106"/>
      <c r="Q184" s="106"/>
      <c r="R184" s="106"/>
      <c r="S184" s="106"/>
      <c r="T184" s="106"/>
      <c r="U184" s="106"/>
      <c r="V184" s="106"/>
      <c r="W184" s="106"/>
      <c r="X184" s="106"/>
      <c r="Y184" s="106"/>
      <c r="Z184" s="106"/>
      <c r="AA184" s="106"/>
      <c r="AB184" s="106"/>
      <c r="AC184" s="106"/>
      <c r="AD184" s="106"/>
      <c r="AE184" s="106"/>
      <c r="AF184" s="106"/>
      <c r="AG184" s="106"/>
      <c r="AH184" s="106"/>
      <c r="AI184" s="106"/>
      <c r="AJ184" s="106"/>
      <c r="AK184" s="106"/>
      <c r="AL184" s="106"/>
      <c r="AM184" s="106"/>
      <c r="AN184" s="106"/>
      <c r="AO184" s="106"/>
      <c r="AP184" s="106"/>
      <c r="AQ184" s="106"/>
      <c r="AR184" s="106"/>
      <c r="AS184" s="106"/>
      <c r="AT184" s="106"/>
      <c r="AU184" s="106"/>
      <c r="AV184" s="106"/>
      <c r="AW184" s="106"/>
      <c r="AX184" s="106"/>
      <c r="AY184" s="106"/>
      <c r="AZ184" s="106"/>
      <c r="BA184" s="106"/>
      <c r="BB184" s="106"/>
      <c r="BC184" s="106"/>
      <c r="BD184" s="106"/>
      <c r="BE184" s="106"/>
      <c r="BF184" s="107"/>
    </row>
    <row r="185" spans="1:58">
      <c r="A185" s="464">
        <f t="shared" si="164"/>
        <v>88</v>
      </c>
      <c r="B185" s="465"/>
      <c r="C185" s="489" t="s">
        <v>596</v>
      </c>
      <c r="D185" s="469">
        <f t="shared" ref="D185" si="225">SUM(I185:BF185)</f>
        <v>0</v>
      </c>
      <c r="E185" s="471" t="str">
        <f t="shared" ref="E185" si="226">IF(D185=0,"",H186/D185)</f>
        <v/>
      </c>
      <c r="F185" s="471" t="str">
        <f t="shared" ref="F185" si="227">IF(H185=0,"",H186/H185)</f>
        <v/>
      </c>
      <c r="G185" s="71" t="s">
        <v>168</v>
      </c>
      <c r="H185" s="67">
        <f t="shared" ref="H185:H398" si="228">SUMPRODUCT((I$8:BF$8&lt;&gt;"")*1,(I$8:BF$8&lt;=$O$2)*1,I185:BF185)</f>
        <v>0</v>
      </c>
      <c r="I185" s="112"/>
      <c r="J185" s="113"/>
      <c r="K185" s="113"/>
      <c r="L185" s="113"/>
      <c r="M185" s="113"/>
      <c r="N185" s="113"/>
      <c r="O185" s="113"/>
      <c r="P185" s="113"/>
      <c r="Q185" s="113"/>
      <c r="R185" s="113"/>
      <c r="S185" s="113"/>
      <c r="T185" s="113"/>
      <c r="U185" s="113"/>
      <c r="V185" s="113"/>
      <c r="W185" s="113"/>
      <c r="X185" s="113"/>
      <c r="Y185" s="113"/>
      <c r="Z185" s="113"/>
      <c r="AA185" s="113"/>
      <c r="AB185" s="113"/>
      <c r="AC185" s="113"/>
      <c r="AD185" s="113"/>
      <c r="AE185" s="113"/>
      <c r="AF185" s="113"/>
      <c r="AG185" s="113"/>
      <c r="AH185" s="113"/>
      <c r="AI185" s="113"/>
      <c r="AJ185" s="113"/>
      <c r="AK185" s="113"/>
      <c r="AL185" s="113"/>
      <c r="AM185" s="113"/>
      <c r="AN185" s="113"/>
      <c r="AO185" s="113"/>
      <c r="AP185" s="113"/>
      <c r="AQ185" s="113"/>
      <c r="AR185" s="113"/>
      <c r="AS185" s="113"/>
      <c r="AT185" s="113"/>
      <c r="AU185" s="113"/>
      <c r="AV185" s="113"/>
      <c r="AW185" s="113"/>
      <c r="AX185" s="113"/>
      <c r="AY185" s="113"/>
      <c r="AZ185" s="113"/>
      <c r="BA185" s="113"/>
      <c r="BB185" s="113"/>
      <c r="BC185" s="113"/>
      <c r="BD185" s="113"/>
      <c r="BE185" s="113"/>
      <c r="BF185" s="114"/>
    </row>
    <row r="186" spans="1:58">
      <c r="A186" s="466"/>
      <c r="B186" s="465"/>
      <c r="C186" s="490"/>
      <c r="D186" s="470"/>
      <c r="E186" s="472"/>
      <c r="F186" s="472"/>
      <c r="G186" s="72" t="s">
        <v>167</v>
      </c>
      <c r="H186" s="68">
        <f t="shared" si="228"/>
        <v>0</v>
      </c>
      <c r="I186" s="105"/>
      <c r="J186" s="106"/>
      <c r="K186" s="106"/>
      <c r="L186" s="106"/>
      <c r="M186" s="106"/>
      <c r="N186" s="106"/>
      <c r="O186" s="106"/>
      <c r="P186" s="106"/>
      <c r="Q186" s="106"/>
      <c r="R186" s="106"/>
      <c r="S186" s="106"/>
      <c r="T186" s="106"/>
      <c r="U186" s="106"/>
      <c r="V186" s="106"/>
      <c r="W186" s="106"/>
      <c r="X186" s="106"/>
      <c r="Y186" s="106"/>
      <c r="Z186" s="106"/>
      <c r="AA186" s="106"/>
      <c r="AB186" s="106"/>
      <c r="AC186" s="106"/>
      <c r="AD186" s="106"/>
      <c r="AE186" s="106"/>
      <c r="AF186" s="106"/>
      <c r="AG186" s="106"/>
      <c r="AH186" s="106"/>
      <c r="AI186" s="106"/>
      <c r="AJ186" s="106"/>
      <c r="AK186" s="106"/>
      <c r="AL186" s="106"/>
      <c r="AM186" s="106"/>
      <c r="AN186" s="106"/>
      <c r="AO186" s="106"/>
      <c r="AP186" s="106"/>
      <c r="AQ186" s="106"/>
      <c r="AR186" s="106"/>
      <c r="AS186" s="106"/>
      <c r="AT186" s="106"/>
      <c r="AU186" s="106"/>
      <c r="AV186" s="106"/>
      <c r="AW186" s="106"/>
      <c r="AX186" s="106"/>
      <c r="AY186" s="106"/>
      <c r="AZ186" s="106"/>
      <c r="BA186" s="106"/>
      <c r="BB186" s="106"/>
      <c r="BC186" s="106"/>
      <c r="BD186" s="106"/>
      <c r="BE186" s="106"/>
      <c r="BF186" s="107"/>
    </row>
    <row r="187" spans="1:58">
      <c r="A187" s="464">
        <f t="shared" si="164"/>
        <v>89</v>
      </c>
      <c r="B187" s="465"/>
      <c r="C187" s="489" t="s">
        <v>596</v>
      </c>
      <c r="D187" s="469">
        <f t="shared" ref="D187" si="229">SUM(I187:BF187)</f>
        <v>0</v>
      </c>
      <c r="E187" s="471" t="str">
        <f t="shared" ref="E187" si="230">IF(D187=0,"",H188/D187)</f>
        <v/>
      </c>
      <c r="F187" s="471" t="str">
        <f t="shared" ref="F187" si="231">IF(H187=0,"",H188/H187)</f>
        <v/>
      </c>
      <c r="G187" s="71" t="s">
        <v>168</v>
      </c>
      <c r="H187" s="67">
        <f t="shared" si="228"/>
        <v>0</v>
      </c>
      <c r="I187" s="112"/>
      <c r="J187" s="113"/>
      <c r="K187" s="113"/>
      <c r="L187" s="113"/>
      <c r="M187" s="113"/>
      <c r="N187" s="113"/>
      <c r="O187" s="113"/>
      <c r="P187" s="113"/>
      <c r="Q187" s="113"/>
      <c r="R187" s="113"/>
      <c r="S187" s="113"/>
      <c r="T187" s="113"/>
      <c r="U187" s="113"/>
      <c r="V187" s="113"/>
      <c r="W187" s="113"/>
      <c r="X187" s="113"/>
      <c r="Y187" s="113"/>
      <c r="Z187" s="113"/>
      <c r="AA187" s="113"/>
      <c r="AB187" s="113"/>
      <c r="AC187" s="113"/>
      <c r="AD187" s="113"/>
      <c r="AE187" s="113"/>
      <c r="AF187" s="113"/>
      <c r="AG187" s="113"/>
      <c r="AH187" s="113"/>
      <c r="AI187" s="113"/>
      <c r="AJ187" s="113"/>
      <c r="AK187" s="113"/>
      <c r="AL187" s="113"/>
      <c r="AM187" s="113"/>
      <c r="AN187" s="113"/>
      <c r="AO187" s="113"/>
      <c r="AP187" s="113"/>
      <c r="AQ187" s="113"/>
      <c r="AR187" s="113"/>
      <c r="AS187" s="113"/>
      <c r="AT187" s="113"/>
      <c r="AU187" s="113"/>
      <c r="AV187" s="113"/>
      <c r="AW187" s="113"/>
      <c r="AX187" s="113"/>
      <c r="AY187" s="113"/>
      <c r="AZ187" s="113"/>
      <c r="BA187" s="113"/>
      <c r="BB187" s="113"/>
      <c r="BC187" s="113"/>
      <c r="BD187" s="113"/>
      <c r="BE187" s="113"/>
      <c r="BF187" s="114"/>
    </row>
    <row r="188" spans="1:58">
      <c r="A188" s="466"/>
      <c r="B188" s="465"/>
      <c r="C188" s="490"/>
      <c r="D188" s="470"/>
      <c r="E188" s="472"/>
      <c r="F188" s="472"/>
      <c r="G188" s="72" t="s">
        <v>167</v>
      </c>
      <c r="H188" s="68">
        <f t="shared" si="228"/>
        <v>0</v>
      </c>
      <c r="I188" s="105"/>
      <c r="J188" s="106"/>
      <c r="K188" s="106"/>
      <c r="L188" s="106"/>
      <c r="M188" s="106"/>
      <c r="N188" s="106"/>
      <c r="O188" s="106"/>
      <c r="P188" s="106"/>
      <c r="Q188" s="106"/>
      <c r="R188" s="106"/>
      <c r="S188" s="106"/>
      <c r="T188" s="106"/>
      <c r="U188" s="106"/>
      <c r="V188" s="106"/>
      <c r="W188" s="106"/>
      <c r="X188" s="106"/>
      <c r="Y188" s="106"/>
      <c r="Z188" s="106"/>
      <c r="AA188" s="106"/>
      <c r="AB188" s="106"/>
      <c r="AC188" s="106"/>
      <c r="AD188" s="106"/>
      <c r="AE188" s="106"/>
      <c r="AF188" s="106"/>
      <c r="AG188" s="106"/>
      <c r="AH188" s="106"/>
      <c r="AI188" s="106"/>
      <c r="AJ188" s="106"/>
      <c r="AK188" s="106"/>
      <c r="AL188" s="106"/>
      <c r="AM188" s="106"/>
      <c r="AN188" s="106"/>
      <c r="AO188" s="106"/>
      <c r="AP188" s="106"/>
      <c r="AQ188" s="106"/>
      <c r="AR188" s="106"/>
      <c r="AS188" s="106"/>
      <c r="AT188" s="106"/>
      <c r="AU188" s="106"/>
      <c r="AV188" s="106"/>
      <c r="AW188" s="106"/>
      <c r="AX188" s="106"/>
      <c r="AY188" s="106"/>
      <c r="AZ188" s="106"/>
      <c r="BA188" s="106"/>
      <c r="BB188" s="106"/>
      <c r="BC188" s="106"/>
      <c r="BD188" s="106"/>
      <c r="BE188" s="106"/>
      <c r="BF188" s="107"/>
    </row>
    <row r="189" spans="1:58">
      <c r="A189" s="464">
        <f t="shared" si="164"/>
        <v>90</v>
      </c>
      <c r="B189" s="465"/>
      <c r="C189" s="489" t="s">
        <v>596</v>
      </c>
      <c r="D189" s="469">
        <f t="shared" ref="D189" si="232">SUM(I189:BF189)</f>
        <v>0</v>
      </c>
      <c r="E189" s="471" t="str">
        <f t="shared" ref="E189" si="233">IF(D189=0,"",H190/D189)</f>
        <v/>
      </c>
      <c r="F189" s="471" t="str">
        <f t="shared" ref="F189" si="234">IF(H189=0,"",H190/H189)</f>
        <v/>
      </c>
      <c r="G189" s="71" t="s">
        <v>168</v>
      </c>
      <c r="H189" s="67">
        <f t="shared" si="228"/>
        <v>0</v>
      </c>
      <c r="I189" s="112"/>
      <c r="J189" s="113"/>
      <c r="K189" s="113"/>
      <c r="L189" s="113"/>
      <c r="M189" s="113"/>
      <c r="N189" s="113"/>
      <c r="O189" s="113"/>
      <c r="P189" s="113"/>
      <c r="Q189" s="113"/>
      <c r="R189" s="113"/>
      <c r="S189" s="113"/>
      <c r="T189" s="113"/>
      <c r="U189" s="113"/>
      <c r="V189" s="113"/>
      <c r="W189" s="113"/>
      <c r="X189" s="113"/>
      <c r="Y189" s="113"/>
      <c r="Z189" s="113"/>
      <c r="AA189" s="113"/>
      <c r="AB189" s="113"/>
      <c r="AC189" s="113"/>
      <c r="AD189" s="113"/>
      <c r="AE189" s="113"/>
      <c r="AF189" s="113"/>
      <c r="AG189" s="113"/>
      <c r="AH189" s="113"/>
      <c r="AI189" s="113"/>
      <c r="AJ189" s="113"/>
      <c r="AK189" s="113"/>
      <c r="AL189" s="113"/>
      <c r="AM189" s="113"/>
      <c r="AN189" s="113"/>
      <c r="AO189" s="113"/>
      <c r="AP189" s="113"/>
      <c r="AQ189" s="113"/>
      <c r="AR189" s="113"/>
      <c r="AS189" s="113"/>
      <c r="AT189" s="113"/>
      <c r="AU189" s="113"/>
      <c r="AV189" s="113"/>
      <c r="AW189" s="113"/>
      <c r="AX189" s="113"/>
      <c r="AY189" s="113"/>
      <c r="AZ189" s="113"/>
      <c r="BA189" s="113"/>
      <c r="BB189" s="113"/>
      <c r="BC189" s="113"/>
      <c r="BD189" s="113"/>
      <c r="BE189" s="113"/>
      <c r="BF189" s="114"/>
    </row>
    <row r="190" spans="1:58">
      <c r="A190" s="466"/>
      <c r="B190" s="465"/>
      <c r="C190" s="490"/>
      <c r="D190" s="470"/>
      <c r="E190" s="472"/>
      <c r="F190" s="472"/>
      <c r="G190" s="72" t="s">
        <v>167</v>
      </c>
      <c r="H190" s="68">
        <f t="shared" si="228"/>
        <v>0</v>
      </c>
      <c r="I190" s="105"/>
      <c r="J190" s="106"/>
      <c r="K190" s="106"/>
      <c r="L190" s="106"/>
      <c r="M190" s="106"/>
      <c r="N190" s="106"/>
      <c r="O190" s="106"/>
      <c r="P190" s="106"/>
      <c r="Q190" s="106"/>
      <c r="R190" s="106"/>
      <c r="S190" s="106"/>
      <c r="T190" s="106"/>
      <c r="U190" s="106"/>
      <c r="V190" s="106"/>
      <c r="W190" s="106"/>
      <c r="X190" s="106"/>
      <c r="Y190" s="106"/>
      <c r="Z190" s="106"/>
      <c r="AA190" s="106"/>
      <c r="AB190" s="106"/>
      <c r="AC190" s="106"/>
      <c r="AD190" s="106"/>
      <c r="AE190" s="106"/>
      <c r="AF190" s="106"/>
      <c r="AG190" s="106"/>
      <c r="AH190" s="106"/>
      <c r="AI190" s="106"/>
      <c r="AJ190" s="106"/>
      <c r="AK190" s="106"/>
      <c r="AL190" s="106"/>
      <c r="AM190" s="106"/>
      <c r="AN190" s="106"/>
      <c r="AO190" s="106"/>
      <c r="AP190" s="106"/>
      <c r="AQ190" s="106"/>
      <c r="AR190" s="106"/>
      <c r="AS190" s="106"/>
      <c r="AT190" s="106"/>
      <c r="AU190" s="106"/>
      <c r="AV190" s="106"/>
      <c r="AW190" s="106"/>
      <c r="AX190" s="106"/>
      <c r="AY190" s="106"/>
      <c r="AZ190" s="106"/>
      <c r="BA190" s="106"/>
      <c r="BB190" s="106"/>
      <c r="BC190" s="106"/>
      <c r="BD190" s="106"/>
      <c r="BE190" s="106"/>
      <c r="BF190" s="107"/>
    </row>
    <row r="191" spans="1:58">
      <c r="A191" s="464">
        <f t="shared" si="164"/>
        <v>91</v>
      </c>
      <c r="B191" s="465"/>
      <c r="C191" s="489" t="s">
        <v>596</v>
      </c>
      <c r="D191" s="469">
        <f t="shared" ref="D191" si="235">SUM(I191:BF191)</f>
        <v>0</v>
      </c>
      <c r="E191" s="471" t="str">
        <f t="shared" ref="E191" si="236">IF(D191=0,"",H192/D191)</f>
        <v/>
      </c>
      <c r="F191" s="471" t="str">
        <f t="shared" ref="F191" si="237">IF(H191=0,"",H192/H191)</f>
        <v/>
      </c>
      <c r="G191" s="71" t="s">
        <v>168</v>
      </c>
      <c r="H191" s="67">
        <f t="shared" si="228"/>
        <v>0</v>
      </c>
      <c r="I191" s="112"/>
      <c r="J191" s="113"/>
      <c r="K191" s="113"/>
      <c r="L191" s="113"/>
      <c r="M191" s="113"/>
      <c r="N191" s="113"/>
      <c r="O191" s="113"/>
      <c r="P191" s="113"/>
      <c r="Q191" s="113"/>
      <c r="R191" s="113"/>
      <c r="S191" s="113"/>
      <c r="T191" s="113"/>
      <c r="U191" s="113"/>
      <c r="V191" s="113"/>
      <c r="W191" s="113"/>
      <c r="X191" s="113"/>
      <c r="Y191" s="113"/>
      <c r="Z191" s="113"/>
      <c r="AA191" s="113"/>
      <c r="AB191" s="113"/>
      <c r="AC191" s="113"/>
      <c r="AD191" s="113"/>
      <c r="AE191" s="113"/>
      <c r="AF191" s="113"/>
      <c r="AG191" s="113"/>
      <c r="AH191" s="113"/>
      <c r="AI191" s="113"/>
      <c r="AJ191" s="113"/>
      <c r="AK191" s="113"/>
      <c r="AL191" s="113"/>
      <c r="AM191" s="113"/>
      <c r="AN191" s="113"/>
      <c r="AO191" s="113"/>
      <c r="AP191" s="113"/>
      <c r="AQ191" s="113"/>
      <c r="AR191" s="113"/>
      <c r="AS191" s="113"/>
      <c r="AT191" s="113"/>
      <c r="AU191" s="113"/>
      <c r="AV191" s="113"/>
      <c r="AW191" s="113"/>
      <c r="AX191" s="113"/>
      <c r="AY191" s="113"/>
      <c r="AZ191" s="113"/>
      <c r="BA191" s="113"/>
      <c r="BB191" s="113"/>
      <c r="BC191" s="113"/>
      <c r="BD191" s="113"/>
      <c r="BE191" s="113"/>
      <c r="BF191" s="114"/>
    </row>
    <row r="192" spans="1:58">
      <c r="A192" s="466"/>
      <c r="B192" s="465"/>
      <c r="C192" s="490"/>
      <c r="D192" s="470"/>
      <c r="E192" s="472"/>
      <c r="F192" s="472"/>
      <c r="G192" s="72" t="s">
        <v>167</v>
      </c>
      <c r="H192" s="68">
        <f t="shared" si="228"/>
        <v>0</v>
      </c>
      <c r="I192" s="105"/>
      <c r="J192" s="106"/>
      <c r="K192" s="106"/>
      <c r="L192" s="106"/>
      <c r="M192" s="106"/>
      <c r="N192" s="106"/>
      <c r="O192" s="106"/>
      <c r="P192" s="106"/>
      <c r="Q192" s="106"/>
      <c r="R192" s="106"/>
      <c r="S192" s="106"/>
      <c r="T192" s="106"/>
      <c r="U192" s="106"/>
      <c r="V192" s="106"/>
      <c r="W192" s="106"/>
      <c r="X192" s="106"/>
      <c r="Y192" s="106"/>
      <c r="Z192" s="106"/>
      <c r="AA192" s="106"/>
      <c r="AB192" s="106"/>
      <c r="AC192" s="106"/>
      <c r="AD192" s="106"/>
      <c r="AE192" s="106"/>
      <c r="AF192" s="106"/>
      <c r="AG192" s="106"/>
      <c r="AH192" s="106"/>
      <c r="AI192" s="106"/>
      <c r="AJ192" s="106"/>
      <c r="AK192" s="106"/>
      <c r="AL192" s="106"/>
      <c r="AM192" s="106"/>
      <c r="AN192" s="106"/>
      <c r="AO192" s="106"/>
      <c r="AP192" s="106"/>
      <c r="AQ192" s="106"/>
      <c r="AR192" s="106"/>
      <c r="AS192" s="106"/>
      <c r="AT192" s="106"/>
      <c r="AU192" s="106"/>
      <c r="AV192" s="106"/>
      <c r="AW192" s="106"/>
      <c r="AX192" s="106"/>
      <c r="AY192" s="106"/>
      <c r="AZ192" s="106"/>
      <c r="BA192" s="106"/>
      <c r="BB192" s="106"/>
      <c r="BC192" s="106"/>
      <c r="BD192" s="106"/>
      <c r="BE192" s="106"/>
      <c r="BF192" s="107"/>
    </row>
    <row r="193" spans="1:58">
      <c r="A193" s="464">
        <f t="shared" si="164"/>
        <v>92</v>
      </c>
      <c r="B193" s="465"/>
      <c r="C193" s="489" t="s">
        <v>596</v>
      </c>
      <c r="D193" s="469">
        <f t="shared" ref="D193" si="238">SUM(I193:BF193)</f>
        <v>0</v>
      </c>
      <c r="E193" s="471" t="str">
        <f t="shared" ref="E193" si="239">IF(D193=0,"",H194/D193)</f>
        <v/>
      </c>
      <c r="F193" s="471" t="str">
        <f t="shared" ref="F193" si="240">IF(H193=0,"",H194/H193)</f>
        <v/>
      </c>
      <c r="G193" s="71" t="s">
        <v>168</v>
      </c>
      <c r="H193" s="67">
        <f t="shared" si="228"/>
        <v>0</v>
      </c>
      <c r="I193" s="112"/>
      <c r="J193" s="113"/>
      <c r="K193" s="113"/>
      <c r="L193" s="113"/>
      <c r="M193" s="113"/>
      <c r="N193" s="113"/>
      <c r="O193" s="113"/>
      <c r="P193" s="113"/>
      <c r="Q193" s="113"/>
      <c r="R193" s="113"/>
      <c r="S193" s="113"/>
      <c r="T193" s="113"/>
      <c r="U193" s="113"/>
      <c r="V193" s="113"/>
      <c r="W193" s="113"/>
      <c r="X193" s="113"/>
      <c r="Y193" s="113"/>
      <c r="Z193" s="113"/>
      <c r="AA193" s="113"/>
      <c r="AB193" s="113"/>
      <c r="AC193" s="113"/>
      <c r="AD193" s="113"/>
      <c r="AE193" s="113"/>
      <c r="AF193" s="113"/>
      <c r="AG193" s="113"/>
      <c r="AH193" s="113"/>
      <c r="AI193" s="113"/>
      <c r="AJ193" s="113"/>
      <c r="AK193" s="113"/>
      <c r="AL193" s="113"/>
      <c r="AM193" s="113"/>
      <c r="AN193" s="113"/>
      <c r="AO193" s="113"/>
      <c r="AP193" s="113"/>
      <c r="AQ193" s="113"/>
      <c r="AR193" s="113"/>
      <c r="AS193" s="113"/>
      <c r="AT193" s="113"/>
      <c r="AU193" s="113"/>
      <c r="AV193" s="113"/>
      <c r="AW193" s="113"/>
      <c r="AX193" s="113"/>
      <c r="AY193" s="113"/>
      <c r="AZ193" s="113"/>
      <c r="BA193" s="113"/>
      <c r="BB193" s="113"/>
      <c r="BC193" s="113"/>
      <c r="BD193" s="113"/>
      <c r="BE193" s="113"/>
      <c r="BF193" s="114"/>
    </row>
    <row r="194" spans="1:58">
      <c r="A194" s="466"/>
      <c r="B194" s="465"/>
      <c r="C194" s="490"/>
      <c r="D194" s="470"/>
      <c r="E194" s="472"/>
      <c r="F194" s="472"/>
      <c r="G194" s="72" t="s">
        <v>167</v>
      </c>
      <c r="H194" s="68">
        <f t="shared" si="228"/>
        <v>0</v>
      </c>
      <c r="I194" s="105"/>
      <c r="J194" s="106"/>
      <c r="K194" s="106"/>
      <c r="L194" s="106"/>
      <c r="M194" s="106"/>
      <c r="N194" s="106"/>
      <c r="O194" s="106"/>
      <c r="P194" s="106"/>
      <c r="Q194" s="106"/>
      <c r="R194" s="106"/>
      <c r="S194" s="106"/>
      <c r="T194" s="106"/>
      <c r="U194" s="106"/>
      <c r="V194" s="106"/>
      <c r="W194" s="106"/>
      <c r="X194" s="106"/>
      <c r="Y194" s="106"/>
      <c r="Z194" s="106"/>
      <c r="AA194" s="106"/>
      <c r="AB194" s="106"/>
      <c r="AC194" s="106"/>
      <c r="AD194" s="106"/>
      <c r="AE194" s="106"/>
      <c r="AF194" s="106"/>
      <c r="AG194" s="106"/>
      <c r="AH194" s="106"/>
      <c r="AI194" s="106"/>
      <c r="AJ194" s="106"/>
      <c r="AK194" s="106"/>
      <c r="AL194" s="106"/>
      <c r="AM194" s="106"/>
      <c r="AN194" s="106"/>
      <c r="AO194" s="106"/>
      <c r="AP194" s="106"/>
      <c r="AQ194" s="106"/>
      <c r="AR194" s="106"/>
      <c r="AS194" s="106"/>
      <c r="AT194" s="106"/>
      <c r="AU194" s="106"/>
      <c r="AV194" s="106"/>
      <c r="AW194" s="106"/>
      <c r="AX194" s="106"/>
      <c r="AY194" s="106"/>
      <c r="AZ194" s="106"/>
      <c r="BA194" s="106"/>
      <c r="BB194" s="106"/>
      <c r="BC194" s="106"/>
      <c r="BD194" s="106"/>
      <c r="BE194" s="106"/>
      <c r="BF194" s="107"/>
    </row>
    <row r="195" spans="1:58">
      <c r="A195" s="480">
        <f t="shared" si="164"/>
        <v>93</v>
      </c>
      <c r="B195" s="481"/>
      <c r="C195" s="483" t="s">
        <v>800</v>
      </c>
      <c r="D195" s="469">
        <f t="shared" ref="D195" si="241">SUM(I195:BF195)</f>
        <v>0</v>
      </c>
      <c r="E195" s="471" t="str">
        <f t="shared" ref="E195" si="242">IF(D195=0,"",H196/D195)</f>
        <v/>
      </c>
      <c r="F195" s="471" t="str">
        <f t="shared" ref="F195" si="243">IF(H195=0,"",H196/H195)</f>
        <v/>
      </c>
      <c r="G195" s="71" t="s">
        <v>168</v>
      </c>
      <c r="H195" s="67">
        <f t="shared" si="228"/>
        <v>0</v>
      </c>
      <c r="I195" s="312"/>
      <c r="J195" s="113"/>
      <c r="K195" s="113"/>
      <c r="L195" s="113"/>
      <c r="M195" s="113"/>
      <c r="N195" s="113"/>
      <c r="O195" s="113"/>
      <c r="P195" s="113"/>
      <c r="Q195" s="113"/>
      <c r="R195" s="113"/>
      <c r="S195" s="113"/>
      <c r="T195" s="113"/>
      <c r="U195" s="113"/>
      <c r="V195" s="113"/>
      <c r="W195" s="113"/>
      <c r="X195" s="113"/>
      <c r="Y195" s="113"/>
      <c r="Z195" s="113"/>
      <c r="AA195" s="113"/>
      <c r="AB195" s="113"/>
      <c r="AC195" s="113"/>
      <c r="AD195" s="113"/>
      <c r="AE195" s="113"/>
      <c r="AF195" s="113"/>
      <c r="AG195" s="113"/>
      <c r="AH195" s="113"/>
      <c r="AI195" s="113"/>
      <c r="AJ195" s="113"/>
      <c r="AK195" s="113"/>
      <c r="AL195" s="113"/>
      <c r="AM195" s="113"/>
      <c r="AN195" s="113"/>
      <c r="AO195" s="113"/>
      <c r="AP195" s="113"/>
      <c r="AQ195" s="113"/>
      <c r="AR195" s="113"/>
      <c r="AS195" s="113"/>
      <c r="AT195" s="113"/>
      <c r="AU195" s="113"/>
      <c r="AV195" s="113"/>
      <c r="AW195" s="113"/>
      <c r="AX195" s="113"/>
      <c r="AY195" s="113"/>
      <c r="AZ195" s="113"/>
      <c r="BA195" s="113"/>
      <c r="BB195" s="113"/>
      <c r="BC195" s="113"/>
      <c r="BD195" s="113"/>
      <c r="BE195" s="113"/>
      <c r="BF195" s="114"/>
    </row>
    <row r="196" spans="1:58">
      <c r="A196" s="482"/>
      <c r="B196" s="481"/>
      <c r="C196" s="484"/>
      <c r="D196" s="470"/>
      <c r="E196" s="472"/>
      <c r="F196" s="472"/>
      <c r="G196" s="72" t="s">
        <v>167</v>
      </c>
      <c r="H196" s="68">
        <f t="shared" si="228"/>
        <v>0</v>
      </c>
      <c r="I196" s="105"/>
      <c r="J196" s="106"/>
      <c r="K196" s="106"/>
      <c r="L196" s="106"/>
      <c r="M196" s="106"/>
      <c r="N196" s="106"/>
      <c r="O196" s="106"/>
      <c r="P196" s="106"/>
      <c r="Q196" s="106"/>
      <c r="R196" s="106"/>
      <c r="S196" s="106"/>
      <c r="T196" s="106"/>
      <c r="U196" s="106"/>
      <c r="V196" s="106"/>
      <c r="W196" s="106"/>
      <c r="X196" s="106"/>
      <c r="Y196" s="106"/>
      <c r="Z196" s="106"/>
      <c r="AA196" s="106"/>
      <c r="AB196" s="106"/>
      <c r="AC196" s="106"/>
      <c r="AD196" s="106"/>
      <c r="AE196" s="106"/>
      <c r="AF196" s="106"/>
      <c r="AG196" s="106"/>
      <c r="AH196" s="106"/>
      <c r="AI196" s="106"/>
      <c r="AJ196" s="106"/>
      <c r="AK196" s="106"/>
      <c r="AL196" s="106"/>
      <c r="AM196" s="106"/>
      <c r="AN196" s="106"/>
      <c r="AO196" s="106"/>
      <c r="AP196" s="106"/>
      <c r="AQ196" s="106"/>
      <c r="AR196" s="106"/>
      <c r="AS196" s="106"/>
      <c r="AT196" s="106"/>
      <c r="AU196" s="106"/>
      <c r="AV196" s="106"/>
      <c r="AW196" s="106"/>
      <c r="AX196" s="106"/>
      <c r="AY196" s="106"/>
      <c r="AZ196" s="106"/>
      <c r="BA196" s="106"/>
      <c r="BB196" s="106"/>
      <c r="BC196" s="106"/>
      <c r="BD196" s="106"/>
      <c r="BE196" s="106"/>
      <c r="BF196" s="107"/>
    </row>
    <row r="197" spans="1:58">
      <c r="A197" s="473">
        <f t="shared" si="164"/>
        <v>94</v>
      </c>
      <c r="B197" s="474"/>
      <c r="C197" s="483" t="s">
        <v>596</v>
      </c>
      <c r="D197" s="469">
        <f t="shared" ref="D197" si="244">SUM(I197:BF197)</f>
        <v>0</v>
      </c>
      <c r="E197" s="471" t="str">
        <f t="shared" ref="E197" si="245">IF(D197=0,"",H198/D197)</f>
        <v/>
      </c>
      <c r="F197" s="471" t="str">
        <f t="shared" ref="F197" si="246">IF(H197=0,"",H198/H197)</f>
        <v/>
      </c>
      <c r="G197" s="71" t="s">
        <v>168</v>
      </c>
      <c r="H197" s="67">
        <f t="shared" si="228"/>
        <v>0</v>
      </c>
      <c r="I197" s="112"/>
      <c r="J197" s="113"/>
      <c r="K197" s="113"/>
      <c r="L197" s="113"/>
      <c r="M197" s="113"/>
      <c r="N197" s="113"/>
      <c r="O197" s="113"/>
      <c r="P197" s="113"/>
      <c r="Q197" s="113"/>
      <c r="R197" s="113"/>
      <c r="S197" s="113"/>
      <c r="T197" s="113"/>
      <c r="U197" s="113"/>
      <c r="V197" s="113"/>
      <c r="W197" s="113"/>
      <c r="X197" s="113"/>
      <c r="Y197" s="113"/>
      <c r="Z197" s="113"/>
      <c r="AA197" s="113"/>
      <c r="AB197" s="113"/>
      <c r="AC197" s="113"/>
      <c r="AD197" s="113"/>
      <c r="AE197" s="113"/>
      <c r="AF197" s="113"/>
      <c r="AG197" s="113"/>
      <c r="AH197" s="113"/>
      <c r="AI197" s="113"/>
      <c r="AJ197" s="113"/>
      <c r="AK197" s="113"/>
      <c r="AL197" s="113"/>
      <c r="AM197" s="113"/>
      <c r="AN197" s="113"/>
      <c r="AO197" s="113"/>
      <c r="AP197" s="113"/>
      <c r="AQ197" s="113"/>
      <c r="AR197" s="113"/>
      <c r="AS197" s="113"/>
      <c r="AT197" s="113"/>
      <c r="AU197" s="113"/>
      <c r="AV197" s="113"/>
      <c r="AW197" s="113"/>
      <c r="AX197" s="113"/>
      <c r="AY197" s="113"/>
      <c r="AZ197" s="113"/>
      <c r="BA197" s="113"/>
      <c r="BB197" s="113"/>
      <c r="BC197" s="113"/>
      <c r="BD197" s="113"/>
      <c r="BE197" s="113"/>
      <c r="BF197" s="114"/>
    </row>
    <row r="198" spans="1:58">
      <c r="A198" s="475"/>
      <c r="B198" s="474"/>
      <c r="C198" s="484"/>
      <c r="D198" s="470"/>
      <c r="E198" s="472"/>
      <c r="F198" s="472"/>
      <c r="G198" s="72" t="s">
        <v>167</v>
      </c>
      <c r="H198" s="68">
        <f t="shared" si="228"/>
        <v>0</v>
      </c>
      <c r="I198" s="105"/>
      <c r="J198" s="106"/>
      <c r="K198" s="106"/>
      <c r="L198" s="106"/>
      <c r="M198" s="106"/>
      <c r="N198" s="106"/>
      <c r="O198" s="106"/>
      <c r="P198" s="106"/>
      <c r="Q198" s="106"/>
      <c r="R198" s="106"/>
      <c r="S198" s="106"/>
      <c r="T198" s="106"/>
      <c r="U198" s="106"/>
      <c r="V198" s="106"/>
      <c r="W198" s="106"/>
      <c r="X198" s="106"/>
      <c r="Y198" s="106"/>
      <c r="Z198" s="106"/>
      <c r="AA198" s="106"/>
      <c r="AB198" s="106"/>
      <c r="AC198" s="106"/>
      <c r="AD198" s="106"/>
      <c r="AE198" s="106"/>
      <c r="AF198" s="106"/>
      <c r="AG198" s="106"/>
      <c r="AH198" s="106"/>
      <c r="AI198" s="106"/>
      <c r="AJ198" s="106"/>
      <c r="AK198" s="106"/>
      <c r="AL198" s="106"/>
      <c r="AM198" s="106"/>
      <c r="AN198" s="106"/>
      <c r="AO198" s="106"/>
      <c r="AP198" s="106"/>
      <c r="AQ198" s="106"/>
      <c r="AR198" s="106"/>
      <c r="AS198" s="106"/>
      <c r="AT198" s="106"/>
      <c r="AU198" s="106"/>
      <c r="AV198" s="106"/>
      <c r="AW198" s="106"/>
      <c r="AX198" s="106"/>
      <c r="AY198" s="106"/>
      <c r="AZ198" s="106"/>
      <c r="BA198" s="106"/>
      <c r="BB198" s="106"/>
      <c r="BC198" s="106"/>
      <c r="BD198" s="106"/>
      <c r="BE198" s="106"/>
      <c r="BF198" s="107"/>
    </row>
    <row r="199" spans="1:58">
      <c r="A199" s="473">
        <f t="shared" si="164"/>
        <v>95</v>
      </c>
      <c r="B199" s="474"/>
      <c r="C199" s="483" t="s">
        <v>596</v>
      </c>
      <c r="D199" s="469">
        <f t="shared" ref="D199" si="247">SUM(I199:BF199)</f>
        <v>0</v>
      </c>
      <c r="E199" s="471" t="str">
        <f t="shared" ref="E199" si="248">IF(D199=0,"",H200/D199)</f>
        <v/>
      </c>
      <c r="F199" s="471" t="str">
        <f t="shared" ref="F199" si="249">IF(H199=0,"",H200/H199)</f>
        <v/>
      </c>
      <c r="G199" s="71" t="s">
        <v>168</v>
      </c>
      <c r="H199" s="67">
        <f t="shared" si="228"/>
        <v>0</v>
      </c>
      <c r="I199" s="112"/>
      <c r="J199" s="113"/>
      <c r="K199" s="113"/>
      <c r="L199" s="113"/>
      <c r="M199" s="113"/>
      <c r="N199" s="113"/>
      <c r="O199" s="113"/>
      <c r="P199" s="113"/>
      <c r="Q199" s="113"/>
      <c r="R199" s="113"/>
      <c r="S199" s="113"/>
      <c r="T199" s="113"/>
      <c r="U199" s="113"/>
      <c r="V199" s="113"/>
      <c r="W199" s="113"/>
      <c r="X199" s="113"/>
      <c r="Y199" s="113"/>
      <c r="Z199" s="113"/>
      <c r="AA199" s="113"/>
      <c r="AB199" s="113"/>
      <c r="AC199" s="113"/>
      <c r="AD199" s="113"/>
      <c r="AE199" s="113"/>
      <c r="AF199" s="113"/>
      <c r="AG199" s="113"/>
      <c r="AH199" s="113"/>
      <c r="AI199" s="113"/>
      <c r="AJ199" s="113"/>
      <c r="AK199" s="113"/>
      <c r="AL199" s="113"/>
      <c r="AM199" s="113"/>
      <c r="AN199" s="113"/>
      <c r="AO199" s="113"/>
      <c r="AP199" s="113"/>
      <c r="AQ199" s="113"/>
      <c r="AR199" s="113"/>
      <c r="AS199" s="113"/>
      <c r="AT199" s="113"/>
      <c r="AU199" s="113"/>
      <c r="AV199" s="113"/>
      <c r="AW199" s="113"/>
      <c r="AX199" s="113"/>
      <c r="AY199" s="113"/>
      <c r="AZ199" s="113"/>
      <c r="BA199" s="113"/>
      <c r="BB199" s="113"/>
      <c r="BC199" s="113"/>
      <c r="BD199" s="113"/>
      <c r="BE199" s="113"/>
      <c r="BF199" s="114"/>
    </row>
    <row r="200" spans="1:58">
      <c r="A200" s="475"/>
      <c r="B200" s="474"/>
      <c r="C200" s="484"/>
      <c r="D200" s="470"/>
      <c r="E200" s="472"/>
      <c r="F200" s="472"/>
      <c r="G200" s="72" t="s">
        <v>167</v>
      </c>
      <c r="H200" s="68">
        <f t="shared" si="228"/>
        <v>0</v>
      </c>
      <c r="I200" s="105"/>
      <c r="J200" s="106"/>
      <c r="K200" s="106"/>
      <c r="L200" s="106"/>
      <c r="M200" s="106"/>
      <c r="N200" s="106"/>
      <c r="O200" s="106"/>
      <c r="P200" s="106"/>
      <c r="Q200" s="106"/>
      <c r="R200" s="106"/>
      <c r="S200" s="106"/>
      <c r="T200" s="106"/>
      <c r="U200" s="106"/>
      <c r="V200" s="106"/>
      <c r="W200" s="106"/>
      <c r="X200" s="106"/>
      <c r="Y200" s="106"/>
      <c r="Z200" s="106"/>
      <c r="AA200" s="106"/>
      <c r="AB200" s="106"/>
      <c r="AC200" s="106"/>
      <c r="AD200" s="106"/>
      <c r="AE200" s="106"/>
      <c r="AF200" s="106"/>
      <c r="AG200" s="106"/>
      <c r="AH200" s="106"/>
      <c r="AI200" s="106"/>
      <c r="AJ200" s="106"/>
      <c r="AK200" s="106"/>
      <c r="AL200" s="106"/>
      <c r="AM200" s="106"/>
      <c r="AN200" s="106"/>
      <c r="AO200" s="106"/>
      <c r="AP200" s="106"/>
      <c r="AQ200" s="106"/>
      <c r="AR200" s="106"/>
      <c r="AS200" s="106"/>
      <c r="AT200" s="106"/>
      <c r="AU200" s="106"/>
      <c r="AV200" s="106"/>
      <c r="AW200" s="106"/>
      <c r="AX200" s="106"/>
      <c r="AY200" s="106"/>
      <c r="AZ200" s="106"/>
      <c r="BA200" s="106"/>
      <c r="BB200" s="106"/>
      <c r="BC200" s="106"/>
      <c r="BD200" s="106"/>
      <c r="BE200" s="106"/>
      <c r="BF200" s="107"/>
    </row>
    <row r="201" spans="1:58">
      <c r="A201" s="473">
        <f t="shared" si="164"/>
        <v>96</v>
      </c>
      <c r="B201" s="474"/>
      <c r="C201" s="483" t="s">
        <v>596</v>
      </c>
      <c r="D201" s="469">
        <f t="shared" ref="D201" si="250">SUM(I201:BF201)</f>
        <v>0</v>
      </c>
      <c r="E201" s="471" t="str">
        <f t="shared" ref="E201" si="251">IF(D201=0,"",H202/D201)</f>
        <v/>
      </c>
      <c r="F201" s="471" t="str">
        <f t="shared" ref="F201" si="252">IF(H201=0,"",H202/H201)</f>
        <v/>
      </c>
      <c r="G201" s="71" t="s">
        <v>168</v>
      </c>
      <c r="H201" s="67">
        <f t="shared" si="228"/>
        <v>0</v>
      </c>
      <c r="I201" s="112"/>
      <c r="J201" s="113"/>
      <c r="K201" s="113"/>
      <c r="L201" s="113"/>
      <c r="M201" s="113"/>
      <c r="N201" s="113"/>
      <c r="O201" s="113"/>
      <c r="P201" s="113"/>
      <c r="Q201" s="113"/>
      <c r="R201" s="113"/>
      <c r="S201" s="113"/>
      <c r="T201" s="113"/>
      <c r="U201" s="113"/>
      <c r="V201" s="113"/>
      <c r="W201" s="113"/>
      <c r="X201" s="113"/>
      <c r="Y201" s="113"/>
      <c r="Z201" s="113"/>
      <c r="AA201" s="113"/>
      <c r="AB201" s="113"/>
      <c r="AC201" s="113"/>
      <c r="AD201" s="113"/>
      <c r="AE201" s="113"/>
      <c r="AF201" s="113"/>
      <c r="AG201" s="113"/>
      <c r="AH201" s="113"/>
      <c r="AI201" s="113"/>
      <c r="AJ201" s="113"/>
      <c r="AK201" s="113"/>
      <c r="AL201" s="113"/>
      <c r="AM201" s="113"/>
      <c r="AN201" s="113"/>
      <c r="AO201" s="113"/>
      <c r="AP201" s="113"/>
      <c r="AQ201" s="113"/>
      <c r="AR201" s="113"/>
      <c r="AS201" s="113"/>
      <c r="AT201" s="113"/>
      <c r="AU201" s="113"/>
      <c r="AV201" s="113"/>
      <c r="AW201" s="113"/>
      <c r="AX201" s="113"/>
      <c r="AY201" s="113"/>
      <c r="AZ201" s="113"/>
      <c r="BA201" s="113"/>
      <c r="BB201" s="113"/>
      <c r="BC201" s="113"/>
      <c r="BD201" s="113"/>
      <c r="BE201" s="113"/>
      <c r="BF201" s="114"/>
    </row>
    <row r="202" spans="1:58">
      <c r="A202" s="475"/>
      <c r="B202" s="474"/>
      <c r="C202" s="484"/>
      <c r="D202" s="470"/>
      <c r="E202" s="472"/>
      <c r="F202" s="472"/>
      <c r="G202" s="72" t="s">
        <v>167</v>
      </c>
      <c r="H202" s="68">
        <f t="shared" si="228"/>
        <v>0</v>
      </c>
      <c r="I202" s="105"/>
      <c r="J202" s="106"/>
      <c r="K202" s="106"/>
      <c r="L202" s="106"/>
      <c r="M202" s="106"/>
      <c r="N202" s="106"/>
      <c r="O202" s="106"/>
      <c r="P202" s="106"/>
      <c r="Q202" s="106"/>
      <c r="R202" s="106"/>
      <c r="S202" s="106"/>
      <c r="T202" s="106"/>
      <c r="U202" s="106"/>
      <c r="V202" s="106"/>
      <c r="W202" s="106"/>
      <c r="X202" s="106"/>
      <c r="Y202" s="106"/>
      <c r="Z202" s="106"/>
      <c r="AA202" s="106"/>
      <c r="AB202" s="106"/>
      <c r="AC202" s="106"/>
      <c r="AD202" s="106"/>
      <c r="AE202" s="106"/>
      <c r="AF202" s="106"/>
      <c r="AG202" s="106"/>
      <c r="AH202" s="106"/>
      <c r="AI202" s="106"/>
      <c r="AJ202" s="106"/>
      <c r="AK202" s="106"/>
      <c r="AL202" s="106"/>
      <c r="AM202" s="106"/>
      <c r="AN202" s="106"/>
      <c r="AO202" s="106"/>
      <c r="AP202" s="106"/>
      <c r="AQ202" s="106"/>
      <c r="AR202" s="106"/>
      <c r="AS202" s="106"/>
      <c r="AT202" s="106"/>
      <c r="AU202" s="106"/>
      <c r="AV202" s="106"/>
      <c r="AW202" s="106"/>
      <c r="AX202" s="106"/>
      <c r="AY202" s="106"/>
      <c r="AZ202" s="106"/>
      <c r="BA202" s="106"/>
      <c r="BB202" s="106"/>
      <c r="BC202" s="106"/>
      <c r="BD202" s="106"/>
      <c r="BE202" s="106"/>
      <c r="BF202" s="107"/>
    </row>
    <row r="203" spans="1:58">
      <c r="A203" s="473">
        <f t="shared" si="164"/>
        <v>97</v>
      </c>
      <c r="B203" s="474"/>
      <c r="C203" s="483" t="s">
        <v>596</v>
      </c>
      <c r="D203" s="469">
        <f t="shared" ref="D203" si="253">SUM(I203:BF203)</f>
        <v>0</v>
      </c>
      <c r="E203" s="471" t="str">
        <f t="shared" ref="E203" si="254">IF(D203=0,"",H204/D203)</f>
        <v/>
      </c>
      <c r="F203" s="471" t="str">
        <f t="shared" ref="F203" si="255">IF(H203=0,"",H204/H203)</f>
        <v/>
      </c>
      <c r="G203" s="71" t="s">
        <v>168</v>
      </c>
      <c r="H203" s="67">
        <f t="shared" si="228"/>
        <v>0</v>
      </c>
      <c r="I203" s="112"/>
      <c r="J203" s="113"/>
      <c r="K203" s="113"/>
      <c r="L203" s="113"/>
      <c r="M203" s="113"/>
      <c r="N203" s="113"/>
      <c r="O203" s="113"/>
      <c r="P203" s="113"/>
      <c r="Q203" s="113"/>
      <c r="R203" s="113"/>
      <c r="S203" s="113"/>
      <c r="T203" s="113"/>
      <c r="U203" s="113"/>
      <c r="V203" s="113"/>
      <c r="W203" s="113"/>
      <c r="X203" s="113"/>
      <c r="Y203" s="113"/>
      <c r="Z203" s="113"/>
      <c r="AA203" s="113"/>
      <c r="AB203" s="113"/>
      <c r="AC203" s="113"/>
      <c r="AD203" s="113"/>
      <c r="AE203" s="113"/>
      <c r="AF203" s="113"/>
      <c r="AG203" s="113"/>
      <c r="AH203" s="113"/>
      <c r="AI203" s="113"/>
      <c r="AJ203" s="113"/>
      <c r="AK203" s="113"/>
      <c r="AL203" s="113"/>
      <c r="AM203" s="113"/>
      <c r="AN203" s="113"/>
      <c r="AO203" s="113"/>
      <c r="AP203" s="113"/>
      <c r="AQ203" s="113"/>
      <c r="AR203" s="113"/>
      <c r="AS203" s="113"/>
      <c r="AT203" s="113"/>
      <c r="AU203" s="113"/>
      <c r="AV203" s="113"/>
      <c r="AW203" s="113"/>
      <c r="AX203" s="113"/>
      <c r="AY203" s="113"/>
      <c r="AZ203" s="113"/>
      <c r="BA203" s="113"/>
      <c r="BB203" s="113"/>
      <c r="BC203" s="113"/>
      <c r="BD203" s="113"/>
      <c r="BE203" s="113"/>
      <c r="BF203" s="114"/>
    </row>
    <row r="204" spans="1:58">
      <c r="A204" s="475"/>
      <c r="B204" s="474"/>
      <c r="C204" s="484"/>
      <c r="D204" s="470"/>
      <c r="E204" s="472"/>
      <c r="F204" s="472"/>
      <c r="G204" s="72" t="s">
        <v>167</v>
      </c>
      <c r="H204" s="68">
        <f t="shared" si="228"/>
        <v>0</v>
      </c>
      <c r="I204" s="105"/>
      <c r="J204" s="106"/>
      <c r="K204" s="106"/>
      <c r="L204" s="106"/>
      <c r="M204" s="106"/>
      <c r="N204" s="106"/>
      <c r="O204" s="106"/>
      <c r="P204" s="106"/>
      <c r="Q204" s="106"/>
      <c r="R204" s="106"/>
      <c r="S204" s="106"/>
      <c r="T204" s="106"/>
      <c r="U204" s="106"/>
      <c r="V204" s="106"/>
      <c r="W204" s="106"/>
      <c r="X204" s="106"/>
      <c r="Y204" s="106"/>
      <c r="Z204" s="106"/>
      <c r="AA204" s="106"/>
      <c r="AB204" s="106"/>
      <c r="AC204" s="106"/>
      <c r="AD204" s="106"/>
      <c r="AE204" s="106"/>
      <c r="AF204" s="106"/>
      <c r="AG204" s="106"/>
      <c r="AH204" s="106"/>
      <c r="AI204" s="106"/>
      <c r="AJ204" s="106"/>
      <c r="AK204" s="106"/>
      <c r="AL204" s="106"/>
      <c r="AM204" s="106"/>
      <c r="AN204" s="106"/>
      <c r="AO204" s="106"/>
      <c r="AP204" s="106"/>
      <c r="AQ204" s="106"/>
      <c r="AR204" s="106"/>
      <c r="AS204" s="106"/>
      <c r="AT204" s="106"/>
      <c r="AU204" s="106"/>
      <c r="AV204" s="106"/>
      <c r="AW204" s="106"/>
      <c r="AX204" s="106"/>
      <c r="AY204" s="106"/>
      <c r="AZ204" s="106"/>
      <c r="BA204" s="106"/>
      <c r="BB204" s="106"/>
      <c r="BC204" s="106"/>
      <c r="BD204" s="106"/>
      <c r="BE204" s="106"/>
      <c r="BF204" s="107"/>
    </row>
    <row r="205" spans="1:58">
      <c r="A205" s="473">
        <f t="shared" si="164"/>
        <v>98</v>
      </c>
      <c r="B205" s="474"/>
      <c r="C205" s="483" t="s">
        <v>596</v>
      </c>
      <c r="D205" s="469">
        <f t="shared" ref="D205" si="256">SUM(I205:BF205)</f>
        <v>0</v>
      </c>
      <c r="E205" s="471" t="str">
        <f t="shared" ref="E205" si="257">IF(D205=0,"",H206/D205)</f>
        <v/>
      </c>
      <c r="F205" s="471" t="str">
        <f t="shared" ref="F205" si="258">IF(H205=0,"",H206/H205)</f>
        <v/>
      </c>
      <c r="G205" s="71" t="s">
        <v>168</v>
      </c>
      <c r="H205" s="67">
        <f t="shared" si="228"/>
        <v>0</v>
      </c>
      <c r="I205" s="112"/>
      <c r="J205" s="113"/>
      <c r="K205" s="113"/>
      <c r="L205" s="113"/>
      <c r="M205" s="113"/>
      <c r="N205" s="113"/>
      <c r="O205" s="113"/>
      <c r="P205" s="113"/>
      <c r="Q205" s="113"/>
      <c r="R205" s="113"/>
      <c r="S205" s="113"/>
      <c r="T205" s="113"/>
      <c r="U205" s="113"/>
      <c r="V205" s="113"/>
      <c r="W205" s="113"/>
      <c r="X205" s="113"/>
      <c r="Y205" s="113"/>
      <c r="Z205" s="113"/>
      <c r="AA205" s="113"/>
      <c r="AB205" s="113"/>
      <c r="AC205" s="113"/>
      <c r="AD205" s="113"/>
      <c r="AE205" s="113"/>
      <c r="AF205" s="113"/>
      <c r="AG205" s="113"/>
      <c r="AH205" s="113"/>
      <c r="AI205" s="113"/>
      <c r="AJ205" s="113"/>
      <c r="AK205" s="113"/>
      <c r="AL205" s="113"/>
      <c r="AM205" s="113"/>
      <c r="AN205" s="113"/>
      <c r="AO205" s="113"/>
      <c r="AP205" s="113"/>
      <c r="AQ205" s="113"/>
      <c r="AR205" s="113"/>
      <c r="AS205" s="113"/>
      <c r="AT205" s="113"/>
      <c r="AU205" s="113"/>
      <c r="AV205" s="113"/>
      <c r="AW205" s="113"/>
      <c r="AX205" s="113"/>
      <c r="AY205" s="113"/>
      <c r="AZ205" s="113"/>
      <c r="BA205" s="113"/>
      <c r="BB205" s="113"/>
      <c r="BC205" s="113"/>
      <c r="BD205" s="113"/>
      <c r="BE205" s="113"/>
      <c r="BF205" s="114"/>
    </row>
    <row r="206" spans="1:58">
      <c r="A206" s="475"/>
      <c r="B206" s="474"/>
      <c r="C206" s="484"/>
      <c r="D206" s="470"/>
      <c r="E206" s="472"/>
      <c r="F206" s="472"/>
      <c r="G206" s="72" t="s">
        <v>167</v>
      </c>
      <c r="H206" s="68">
        <f t="shared" si="228"/>
        <v>0</v>
      </c>
      <c r="I206" s="105"/>
      <c r="J206" s="106"/>
      <c r="K206" s="106"/>
      <c r="L206" s="106"/>
      <c r="M206" s="106"/>
      <c r="N206" s="106"/>
      <c r="O206" s="106"/>
      <c r="P206" s="106"/>
      <c r="Q206" s="106"/>
      <c r="R206" s="106"/>
      <c r="S206" s="106"/>
      <c r="T206" s="106"/>
      <c r="U206" s="106"/>
      <c r="V206" s="106"/>
      <c r="W206" s="106"/>
      <c r="X206" s="106"/>
      <c r="Y206" s="106"/>
      <c r="Z206" s="106"/>
      <c r="AA206" s="106"/>
      <c r="AB206" s="106"/>
      <c r="AC206" s="106"/>
      <c r="AD206" s="106"/>
      <c r="AE206" s="106"/>
      <c r="AF206" s="106"/>
      <c r="AG206" s="106"/>
      <c r="AH206" s="106"/>
      <c r="AI206" s="106"/>
      <c r="AJ206" s="106"/>
      <c r="AK206" s="106"/>
      <c r="AL206" s="106"/>
      <c r="AM206" s="106"/>
      <c r="AN206" s="106"/>
      <c r="AO206" s="106"/>
      <c r="AP206" s="106"/>
      <c r="AQ206" s="106"/>
      <c r="AR206" s="106"/>
      <c r="AS206" s="106"/>
      <c r="AT206" s="106"/>
      <c r="AU206" s="106"/>
      <c r="AV206" s="106"/>
      <c r="AW206" s="106"/>
      <c r="AX206" s="106"/>
      <c r="AY206" s="106"/>
      <c r="AZ206" s="106"/>
      <c r="BA206" s="106"/>
      <c r="BB206" s="106"/>
      <c r="BC206" s="106"/>
      <c r="BD206" s="106"/>
      <c r="BE206" s="106"/>
      <c r="BF206" s="107"/>
    </row>
    <row r="207" spans="1:58">
      <c r="A207" s="473">
        <f t="shared" si="164"/>
        <v>99</v>
      </c>
      <c r="B207" s="474"/>
      <c r="C207" s="483" t="s">
        <v>596</v>
      </c>
      <c r="D207" s="469">
        <f t="shared" ref="D207" si="259">SUM(I207:BF207)</f>
        <v>0</v>
      </c>
      <c r="E207" s="471" t="str">
        <f t="shared" ref="E207" si="260">IF(D207=0,"",H208/D207)</f>
        <v/>
      </c>
      <c r="F207" s="471" t="str">
        <f t="shared" ref="F207" si="261">IF(H207=0,"",H208/H207)</f>
        <v/>
      </c>
      <c r="G207" s="71" t="s">
        <v>168</v>
      </c>
      <c r="H207" s="67">
        <f t="shared" si="228"/>
        <v>0</v>
      </c>
      <c r="I207" s="112"/>
      <c r="J207" s="113"/>
      <c r="K207" s="113"/>
      <c r="L207" s="113"/>
      <c r="M207" s="113"/>
      <c r="N207" s="113"/>
      <c r="O207" s="113"/>
      <c r="P207" s="113"/>
      <c r="Q207" s="113"/>
      <c r="R207" s="113"/>
      <c r="S207" s="113"/>
      <c r="T207" s="113"/>
      <c r="U207" s="113"/>
      <c r="V207" s="113"/>
      <c r="W207" s="113"/>
      <c r="X207" s="113"/>
      <c r="Y207" s="113"/>
      <c r="Z207" s="113"/>
      <c r="AA207" s="113"/>
      <c r="AB207" s="113"/>
      <c r="AC207" s="113"/>
      <c r="AD207" s="113"/>
      <c r="AE207" s="113"/>
      <c r="AF207" s="113"/>
      <c r="AG207" s="113"/>
      <c r="AH207" s="113"/>
      <c r="AI207" s="113"/>
      <c r="AJ207" s="113"/>
      <c r="AK207" s="113"/>
      <c r="AL207" s="113"/>
      <c r="AM207" s="113"/>
      <c r="AN207" s="113"/>
      <c r="AO207" s="113"/>
      <c r="AP207" s="113"/>
      <c r="AQ207" s="113"/>
      <c r="AR207" s="113"/>
      <c r="AS207" s="113"/>
      <c r="AT207" s="113"/>
      <c r="AU207" s="113"/>
      <c r="AV207" s="113"/>
      <c r="AW207" s="113"/>
      <c r="AX207" s="113"/>
      <c r="AY207" s="113"/>
      <c r="AZ207" s="113"/>
      <c r="BA207" s="113"/>
      <c r="BB207" s="113"/>
      <c r="BC207" s="113"/>
      <c r="BD207" s="113"/>
      <c r="BE207" s="113"/>
      <c r="BF207" s="114"/>
    </row>
    <row r="208" spans="1:58">
      <c r="A208" s="475"/>
      <c r="B208" s="474"/>
      <c r="C208" s="484"/>
      <c r="D208" s="470"/>
      <c r="E208" s="472"/>
      <c r="F208" s="472"/>
      <c r="G208" s="72" t="s">
        <v>167</v>
      </c>
      <c r="H208" s="68">
        <f t="shared" si="228"/>
        <v>0</v>
      </c>
      <c r="I208" s="105"/>
      <c r="J208" s="106"/>
      <c r="K208" s="106"/>
      <c r="L208" s="106"/>
      <c r="M208" s="106"/>
      <c r="N208" s="106"/>
      <c r="O208" s="106"/>
      <c r="P208" s="106"/>
      <c r="Q208" s="106"/>
      <c r="R208" s="106"/>
      <c r="S208" s="106"/>
      <c r="T208" s="106"/>
      <c r="U208" s="106"/>
      <c r="V208" s="106"/>
      <c r="W208" s="106"/>
      <c r="X208" s="106"/>
      <c r="Y208" s="106"/>
      <c r="Z208" s="106"/>
      <c r="AA208" s="106"/>
      <c r="AB208" s="106"/>
      <c r="AC208" s="106"/>
      <c r="AD208" s="106"/>
      <c r="AE208" s="106"/>
      <c r="AF208" s="106"/>
      <c r="AG208" s="106"/>
      <c r="AH208" s="106"/>
      <c r="AI208" s="106"/>
      <c r="AJ208" s="106"/>
      <c r="AK208" s="106"/>
      <c r="AL208" s="106"/>
      <c r="AM208" s="106"/>
      <c r="AN208" s="106"/>
      <c r="AO208" s="106"/>
      <c r="AP208" s="106"/>
      <c r="AQ208" s="106"/>
      <c r="AR208" s="106"/>
      <c r="AS208" s="106"/>
      <c r="AT208" s="106"/>
      <c r="AU208" s="106"/>
      <c r="AV208" s="106"/>
      <c r="AW208" s="106"/>
      <c r="AX208" s="106"/>
      <c r="AY208" s="106"/>
      <c r="AZ208" s="106"/>
      <c r="BA208" s="106"/>
      <c r="BB208" s="106"/>
      <c r="BC208" s="106"/>
      <c r="BD208" s="106"/>
      <c r="BE208" s="106"/>
      <c r="BF208" s="107"/>
    </row>
    <row r="209" spans="1:58">
      <c r="A209" s="473">
        <f t="shared" ref="A209:A271" si="262">A207+1</f>
        <v>100</v>
      </c>
      <c r="B209" s="474"/>
      <c r="C209" s="483" t="s">
        <v>596</v>
      </c>
      <c r="D209" s="469">
        <f t="shared" ref="D209" si="263">SUM(I209:BF209)</f>
        <v>0</v>
      </c>
      <c r="E209" s="471" t="str">
        <f t="shared" ref="E209" si="264">IF(D209=0,"",H210/D209)</f>
        <v/>
      </c>
      <c r="F209" s="471" t="str">
        <f t="shared" ref="F209" si="265">IF(H209=0,"",H210/H209)</f>
        <v/>
      </c>
      <c r="G209" s="71" t="s">
        <v>168</v>
      </c>
      <c r="H209" s="67">
        <f t="shared" si="228"/>
        <v>0</v>
      </c>
      <c r="I209" s="112"/>
      <c r="J209" s="113"/>
      <c r="K209" s="113"/>
      <c r="L209" s="113"/>
      <c r="M209" s="113"/>
      <c r="N209" s="113"/>
      <c r="O209" s="113"/>
      <c r="P209" s="113"/>
      <c r="Q209" s="113"/>
      <c r="R209" s="113"/>
      <c r="S209" s="113"/>
      <c r="T209" s="113"/>
      <c r="U209" s="113"/>
      <c r="V209" s="113"/>
      <c r="W209" s="113"/>
      <c r="X209" s="113"/>
      <c r="Y209" s="113"/>
      <c r="Z209" s="113"/>
      <c r="AA209" s="113"/>
      <c r="AB209" s="113"/>
      <c r="AC209" s="113"/>
      <c r="AD209" s="113"/>
      <c r="AE209" s="113"/>
      <c r="AF209" s="113"/>
      <c r="AG209" s="113"/>
      <c r="AH209" s="113"/>
      <c r="AI209" s="113"/>
      <c r="AJ209" s="113"/>
      <c r="AK209" s="113"/>
      <c r="AL209" s="113"/>
      <c r="AM209" s="113"/>
      <c r="AN209" s="113"/>
      <c r="AO209" s="113"/>
      <c r="AP209" s="113"/>
      <c r="AQ209" s="113"/>
      <c r="AR209" s="113"/>
      <c r="AS209" s="113"/>
      <c r="AT209" s="113"/>
      <c r="AU209" s="113"/>
      <c r="AV209" s="113"/>
      <c r="AW209" s="113"/>
      <c r="AX209" s="113"/>
      <c r="AY209" s="113"/>
      <c r="AZ209" s="113"/>
      <c r="BA209" s="113"/>
      <c r="BB209" s="113"/>
      <c r="BC209" s="113"/>
      <c r="BD209" s="113"/>
      <c r="BE209" s="113"/>
      <c r="BF209" s="114"/>
    </row>
    <row r="210" spans="1:58">
      <c r="A210" s="475"/>
      <c r="B210" s="474"/>
      <c r="C210" s="484"/>
      <c r="D210" s="470"/>
      <c r="E210" s="472"/>
      <c r="F210" s="472"/>
      <c r="G210" s="72" t="s">
        <v>167</v>
      </c>
      <c r="H210" s="68">
        <f t="shared" si="228"/>
        <v>0</v>
      </c>
      <c r="I210" s="105"/>
      <c r="J210" s="106"/>
      <c r="K210" s="106"/>
      <c r="L210" s="106"/>
      <c r="M210" s="106"/>
      <c r="N210" s="106"/>
      <c r="O210" s="106"/>
      <c r="P210" s="106"/>
      <c r="Q210" s="106"/>
      <c r="R210" s="106"/>
      <c r="S210" s="106"/>
      <c r="T210" s="106"/>
      <c r="U210" s="106"/>
      <c r="V210" s="106"/>
      <c r="W210" s="106"/>
      <c r="X210" s="106"/>
      <c r="Y210" s="106"/>
      <c r="Z210" s="106"/>
      <c r="AA210" s="106"/>
      <c r="AB210" s="106"/>
      <c r="AC210" s="106"/>
      <c r="AD210" s="106"/>
      <c r="AE210" s="106"/>
      <c r="AF210" s="106"/>
      <c r="AG210" s="106"/>
      <c r="AH210" s="106"/>
      <c r="AI210" s="106"/>
      <c r="AJ210" s="106"/>
      <c r="AK210" s="106"/>
      <c r="AL210" s="106"/>
      <c r="AM210" s="106"/>
      <c r="AN210" s="106"/>
      <c r="AO210" s="106"/>
      <c r="AP210" s="106"/>
      <c r="AQ210" s="106"/>
      <c r="AR210" s="106"/>
      <c r="AS210" s="106"/>
      <c r="AT210" s="106"/>
      <c r="AU210" s="106"/>
      <c r="AV210" s="106"/>
      <c r="AW210" s="106"/>
      <c r="AX210" s="106"/>
      <c r="AY210" s="106"/>
      <c r="AZ210" s="106"/>
      <c r="BA210" s="106"/>
      <c r="BB210" s="106"/>
      <c r="BC210" s="106"/>
      <c r="BD210" s="106"/>
      <c r="BE210" s="106"/>
      <c r="BF210" s="107"/>
    </row>
    <row r="211" spans="1:58">
      <c r="A211" s="473">
        <f t="shared" si="262"/>
        <v>101</v>
      </c>
      <c r="B211" s="474"/>
      <c r="C211" s="483" t="s">
        <v>596</v>
      </c>
      <c r="D211" s="469">
        <f t="shared" ref="D211" si="266">SUM(I211:BF211)</f>
        <v>0</v>
      </c>
      <c r="E211" s="471" t="str">
        <f t="shared" ref="E211" si="267">IF(D211=0,"",H212/D211)</f>
        <v/>
      </c>
      <c r="F211" s="471" t="str">
        <f t="shared" ref="F211" si="268">IF(H211=0,"",H212/H211)</f>
        <v/>
      </c>
      <c r="G211" s="71" t="s">
        <v>168</v>
      </c>
      <c r="H211" s="67">
        <f t="shared" si="228"/>
        <v>0</v>
      </c>
      <c r="I211" s="112"/>
      <c r="J211" s="113"/>
      <c r="K211" s="113"/>
      <c r="L211" s="113"/>
      <c r="M211" s="113"/>
      <c r="N211" s="113"/>
      <c r="O211" s="113"/>
      <c r="P211" s="113"/>
      <c r="Q211" s="113"/>
      <c r="R211" s="113"/>
      <c r="S211" s="113"/>
      <c r="T211" s="113"/>
      <c r="U211" s="113"/>
      <c r="V211" s="113"/>
      <c r="W211" s="113"/>
      <c r="X211" s="113"/>
      <c r="Y211" s="113"/>
      <c r="Z211" s="113"/>
      <c r="AA211" s="113"/>
      <c r="AB211" s="113"/>
      <c r="AC211" s="113"/>
      <c r="AD211" s="113"/>
      <c r="AE211" s="113"/>
      <c r="AF211" s="113"/>
      <c r="AG211" s="113"/>
      <c r="AH211" s="113"/>
      <c r="AI211" s="113"/>
      <c r="AJ211" s="113"/>
      <c r="AK211" s="113"/>
      <c r="AL211" s="113"/>
      <c r="AM211" s="113"/>
      <c r="AN211" s="113"/>
      <c r="AO211" s="113"/>
      <c r="AP211" s="113"/>
      <c r="AQ211" s="113"/>
      <c r="AR211" s="113"/>
      <c r="AS211" s="113"/>
      <c r="AT211" s="113"/>
      <c r="AU211" s="113"/>
      <c r="AV211" s="113"/>
      <c r="AW211" s="113"/>
      <c r="AX211" s="113"/>
      <c r="AY211" s="113"/>
      <c r="AZ211" s="113"/>
      <c r="BA211" s="113"/>
      <c r="BB211" s="113"/>
      <c r="BC211" s="113"/>
      <c r="BD211" s="113"/>
      <c r="BE211" s="113"/>
      <c r="BF211" s="114"/>
    </row>
    <row r="212" spans="1:58">
      <c r="A212" s="475"/>
      <c r="B212" s="474"/>
      <c r="C212" s="484"/>
      <c r="D212" s="470"/>
      <c r="E212" s="472"/>
      <c r="F212" s="472"/>
      <c r="G212" s="72" t="s">
        <v>167</v>
      </c>
      <c r="H212" s="68">
        <f t="shared" si="228"/>
        <v>0</v>
      </c>
      <c r="I212" s="105"/>
      <c r="J212" s="106"/>
      <c r="K212" s="106"/>
      <c r="L212" s="106"/>
      <c r="M212" s="106"/>
      <c r="N212" s="106"/>
      <c r="O212" s="106"/>
      <c r="P212" s="106"/>
      <c r="Q212" s="106"/>
      <c r="R212" s="106"/>
      <c r="S212" s="106"/>
      <c r="T212" s="106"/>
      <c r="U212" s="106"/>
      <c r="V212" s="106"/>
      <c r="W212" s="106"/>
      <c r="X212" s="106"/>
      <c r="Y212" s="106"/>
      <c r="Z212" s="106"/>
      <c r="AA212" s="106"/>
      <c r="AB212" s="106"/>
      <c r="AC212" s="106"/>
      <c r="AD212" s="106"/>
      <c r="AE212" s="106"/>
      <c r="AF212" s="106"/>
      <c r="AG212" s="106"/>
      <c r="AH212" s="106"/>
      <c r="AI212" s="106"/>
      <c r="AJ212" s="106"/>
      <c r="AK212" s="106"/>
      <c r="AL212" s="106"/>
      <c r="AM212" s="106"/>
      <c r="AN212" s="106"/>
      <c r="AO212" s="106"/>
      <c r="AP212" s="106"/>
      <c r="AQ212" s="106"/>
      <c r="AR212" s="106"/>
      <c r="AS212" s="106"/>
      <c r="AT212" s="106"/>
      <c r="AU212" s="106"/>
      <c r="AV212" s="106"/>
      <c r="AW212" s="106"/>
      <c r="AX212" s="106"/>
      <c r="AY212" s="106"/>
      <c r="AZ212" s="106"/>
      <c r="BA212" s="106"/>
      <c r="BB212" s="106"/>
      <c r="BC212" s="106"/>
      <c r="BD212" s="106"/>
      <c r="BE212" s="106"/>
      <c r="BF212" s="107"/>
    </row>
    <row r="213" spans="1:58">
      <c r="A213" s="473">
        <f t="shared" si="262"/>
        <v>102</v>
      </c>
      <c r="B213" s="474"/>
      <c r="C213" s="483" t="s">
        <v>596</v>
      </c>
      <c r="D213" s="469">
        <f t="shared" ref="D213" si="269">SUM(I213:BF213)</f>
        <v>0</v>
      </c>
      <c r="E213" s="471" t="str">
        <f t="shared" ref="E213" si="270">IF(D213=0,"",H214/D213)</f>
        <v/>
      </c>
      <c r="F213" s="471" t="str">
        <f t="shared" ref="F213" si="271">IF(H213=0,"",H214/H213)</f>
        <v/>
      </c>
      <c r="G213" s="71" t="s">
        <v>168</v>
      </c>
      <c r="H213" s="67">
        <f t="shared" si="228"/>
        <v>0</v>
      </c>
      <c r="I213" s="112"/>
      <c r="J213" s="113"/>
      <c r="K213" s="113"/>
      <c r="L213" s="113"/>
      <c r="M213" s="113"/>
      <c r="N213" s="113"/>
      <c r="O213" s="113"/>
      <c r="P213" s="113"/>
      <c r="Q213" s="113"/>
      <c r="R213" s="113"/>
      <c r="S213" s="113"/>
      <c r="T213" s="113"/>
      <c r="U213" s="113"/>
      <c r="V213" s="113"/>
      <c r="W213" s="113"/>
      <c r="X213" s="113"/>
      <c r="Y213" s="113"/>
      <c r="Z213" s="113"/>
      <c r="AA213" s="113"/>
      <c r="AB213" s="113"/>
      <c r="AC213" s="113"/>
      <c r="AD213" s="113"/>
      <c r="AE213" s="113"/>
      <c r="AF213" s="113"/>
      <c r="AG213" s="113"/>
      <c r="AH213" s="113"/>
      <c r="AI213" s="113"/>
      <c r="AJ213" s="113"/>
      <c r="AK213" s="113"/>
      <c r="AL213" s="113"/>
      <c r="AM213" s="113"/>
      <c r="AN213" s="113"/>
      <c r="AO213" s="113"/>
      <c r="AP213" s="113"/>
      <c r="AQ213" s="113"/>
      <c r="AR213" s="113"/>
      <c r="AS213" s="113"/>
      <c r="AT213" s="113"/>
      <c r="AU213" s="113"/>
      <c r="AV213" s="113"/>
      <c r="AW213" s="113"/>
      <c r="AX213" s="113"/>
      <c r="AY213" s="113"/>
      <c r="AZ213" s="113"/>
      <c r="BA213" s="113"/>
      <c r="BB213" s="113"/>
      <c r="BC213" s="113"/>
      <c r="BD213" s="113"/>
      <c r="BE213" s="113"/>
      <c r="BF213" s="114"/>
    </row>
    <row r="214" spans="1:58">
      <c r="A214" s="475"/>
      <c r="B214" s="474"/>
      <c r="C214" s="484"/>
      <c r="D214" s="470"/>
      <c r="E214" s="472"/>
      <c r="F214" s="472"/>
      <c r="G214" s="72" t="s">
        <v>167</v>
      </c>
      <c r="H214" s="68">
        <f t="shared" si="228"/>
        <v>0</v>
      </c>
      <c r="I214" s="105"/>
      <c r="J214" s="106"/>
      <c r="K214" s="106"/>
      <c r="L214" s="106"/>
      <c r="M214" s="106"/>
      <c r="N214" s="106"/>
      <c r="O214" s="106"/>
      <c r="P214" s="106"/>
      <c r="Q214" s="106"/>
      <c r="R214" s="106"/>
      <c r="S214" s="106"/>
      <c r="T214" s="106"/>
      <c r="U214" s="106"/>
      <c r="V214" s="106"/>
      <c r="W214" s="106"/>
      <c r="X214" s="106"/>
      <c r="Y214" s="106"/>
      <c r="Z214" s="106"/>
      <c r="AA214" s="106"/>
      <c r="AB214" s="106"/>
      <c r="AC214" s="106"/>
      <c r="AD214" s="106"/>
      <c r="AE214" s="106"/>
      <c r="AF214" s="106"/>
      <c r="AG214" s="106"/>
      <c r="AH214" s="106"/>
      <c r="AI214" s="106"/>
      <c r="AJ214" s="106"/>
      <c r="AK214" s="106"/>
      <c r="AL214" s="106"/>
      <c r="AM214" s="106"/>
      <c r="AN214" s="106"/>
      <c r="AO214" s="106"/>
      <c r="AP214" s="106"/>
      <c r="AQ214" s="106"/>
      <c r="AR214" s="106"/>
      <c r="AS214" s="106"/>
      <c r="AT214" s="106"/>
      <c r="AU214" s="106"/>
      <c r="AV214" s="106"/>
      <c r="AW214" s="106"/>
      <c r="AX214" s="106"/>
      <c r="AY214" s="106"/>
      <c r="AZ214" s="106"/>
      <c r="BA214" s="106"/>
      <c r="BB214" s="106"/>
      <c r="BC214" s="106"/>
      <c r="BD214" s="106"/>
      <c r="BE214" s="106"/>
      <c r="BF214" s="107"/>
    </row>
    <row r="215" spans="1:58">
      <c r="A215" s="473">
        <f t="shared" si="262"/>
        <v>103</v>
      </c>
      <c r="B215" s="474"/>
      <c r="C215" s="483" t="s">
        <v>596</v>
      </c>
      <c r="D215" s="469">
        <f t="shared" ref="D215" si="272">SUM(I215:BF215)</f>
        <v>0</v>
      </c>
      <c r="E215" s="471" t="str">
        <f t="shared" ref="E215" si="273">IF(D215=0,"",H216/D215)</f>
        <v/>
      </c>
      <c r="F215" s="471" t="str">
        <f t="shared" ref="F215" si="274">IF(H215=0,"",H216/H215)</f>
        <v/>
      </c>
      <c r="G215" s="71" t="s">
        <v>168</v>
      </c>
      <c r="H215" s="67">
        <f t="shared" si="228"/>
        <v>0</v>
      </c>
      <c r="I215" s="112"/>
      <c r="J215" s="113"/>
      <c r="K215" s="113"/>
      <c r="L215" s="113"/>
      <c r="M215" s="113"/>
      <c r="N215" s="113"/>
      <c r="O215" s="113"/>
      <c r="P215" s="113"/>
      <c r="Q215" s="113"/>
      <c r="R215" s="113"/>
      <c r="S215" s="113"/>
      <c r="T215" s="113"/>
      <c r="U215" s="113"/>
      <c r="V215" s="113"/>
      <c r="W215" s="113"/>
      <c r="X215" s="113"/>
      <c r="Y215" s="113"/>
      <c r="Z215" s="113"/>
      <c r="AA215" s="113"/>
      <c r="AB215" s="113"/>
      <c r="AC215" s="113"/>
      <c r="AD215" s="113"/>
      <c r="AE215" s="113"/>
      <c r="AF215" s="113"/>
      <c r="AG215" s="113"/>
      <c r="AH215" s="113"/>
      <c r="AI215" s="113"/>
      <c r="AJ215" s="113"/>
      <c r="AK215" s="113"/>
      <c r="AL215" s="113"/>
      <c r="AM215" s="113"/>
      <c r="AN215" s="113"/>
      <c r="AO215" s="113"/>
      <c r="AP215" s="113"/>
      <c r="AQ215" s="113"/>
      <c r="AR215" s="113"/>
      <c r="AS215" s="113"/>
      <c r="AT215" s="113"/>
      <c r="AU215" s="113"/>
      <c r="AV215" s="113"/>
      <c r="AW215" s="113"/>
      <c r="AX215" s="113"/>
      <c r="AY215" s="113"/>
      <c r="AZ215" s="113"/>
      <c r="BA215" s="113"/>
      <c r="BB215" s="113"/>
      <c r="BC215" s="113"/>
      <c r="BD215" s="113"/>
      <c r="BE215" s="113"/>
      <c r="BF215" s="114"/>
    </row>
    <row r="216" spans="1:58">
      <c r="A216" s="475"/>
      <c r="B216" s="474"/>
      <c r="C216" s="484"/>
      <c r="D216" s="470"/>
      <c r="E216" s="472"/>
      <c r="F216" s="472"/>
      <c r="G216" s="72" t="s">
        <v>167</v>
      </c>
      <c r="H216" s="68">
        <f t="shared" si="228"/>
        <v>0</v>
      </c>
      <c r="I216" s="105"/>
      <c r="J216" s="106"/>
      <c r="K216" s="106"/>
      <c r="L216" s="106"/>
      <c r="M216" s="106"/>
      <c r="N216" s="106"/>
      <c r="O216" s="106"/>
      <c r="P216" s="106"/>
      <c r="Q216" s="106"/>
      <c r="R216" s="106"/>
      <c r="S216" s="106"/>
      <c r="T216" s="106"/>
      <c r="U216" s="106"/>
      <c r="V216" s="106"/>
      <c r="W216" s="106"/>
      <c r="X216" s="106"/>
      <c r="Y216" s="106"/>
      <c r="Z216" s="106"/>
      <c r="AA216" s="106"/>
      <c r="AB216" s="106"/>
      <c r="AC216" s="106"/>
      <c r="AD216" s="106"/>
      <c r="AE216" s="106"/>
      <c r="AF216" s="106"/>
      <c r="AG216" s="106"/>
      <c r="AH216" s="106"/>
      <c r="AI216" s="106"/>
      <c r="AJ216" s="106"/>
      <c r="AK216" s="106"/>
      <c r="AL216" s="106"/>
      <c r="AM216" s="106"/>
      <c r="AN216" s="106"/>
      <c r="AO216" s="106"/>
      <c r="AP216" s="106"/>
      <c r="AQ216" s="106"/>
      <c r="AR216" s="106"/>
      <c r="AS216" s="106"/>
      <c r="AT216" s="106"/>
      <c r="AU216" s="106"/>
      <c r="AV216" s="106"/>
      <c r="AW216" s="106"/>
      <c r="AX216" s="106"/>
      <c r="AY216" s="106"/>
      <c r="AZ216" s="106"/>
      <c r="BA216" s="106"/>
      <c r="BB216" s="106"/>
      <c r="BC216" s="106"/>
      <c r="BD216" s="106"/>
      <c r="BE216" s="106"/>
      <c r="BF216" s="107"/>
    </row>
    <row r="217" spans="1:58">
      <c r="A217" s="473">
        <f t="shared" si="262"/>
        <v>104</v>
      </c>
      <c r="B217" s="474"/>
      <c r="C217" s="483" t="s">
        <v>596</v>
      </c>
      <c r="D217" s="469">
        <f t="shared" ref="D217" si="275">SUM(I217:BF217)</f>
        <v>0</v>
      </c>
      <c r="E217" s="471" t="str">
        <f t="shared" ref="E217" si="276">IF(D217=0,"",H218/D217)</f>
        <v/>
      </c>
      <c r="F217" s="471" t="str">
        <f t="shared" ref="F217" si="277">IF(H217=0,"",H218/H217)</f>
        <v/>
      </c>
      <c r="G217" s="71" t="s">
        <v>168</v>
      </c>
      <c r="H217" s="67">
        <f t="shared" si="228"/>
        <v>0</v>
      </c>
      <c r="I217" s="112"/>
      <c r="J217" s="113"/>
      <c r="K217" s="113"/>
      <c r="L217" s="113"/>
      <c r="M217" s="113"/>
      <c r="N217" s="113"/>
      <c r="O217" s="113"/>
      <c r="P217" s="113"/>
      <c r="Q217" s="113"/>
      <c r="R217" s="113"/>
      <c r="S217" s="113"/>
      <c r="T217" s="113"/>
      <c r="U217" s="113"/>
      <c r="V217" s="113"/>
      <c r="W217" s="113"/>
      <c r="X217" s="113"/>
      <c r="Y217" s="113"/>
      <c r="Z217" s="113"/>
      <c r="AA217" s="113"/>
      <c r="AB217" s="113"/>
      <c r="AC217" s="113"/>
      <c r="AD217" s="113"/>
      <c r="AE217" s="113"/>
      <c r="AF217" s="113"/>
      <c r="AG217" s="113"/>
      <c r="AH217" s="113"/>
      <c r="AI217" s="113"/>
      <c r="AJ217" s="113"/>
      <c r="AK217" s="113"/>
      <c r="AL217" s="113"/>
      <c r="AM217" s="113"/>
      <c r="AN217" s="113"/>
      <c r="AO217" s="113"/>
      <c r="AP217" s="113"/>
      <c r="AQ217" s="113"/>
      <c r="AR217" s="113"/>
      <c r="AS217" s="113"/>
      <c r="AT217" s="113"/>
      <c r="AU217" s="113"/>
      <c r="AV217" s="113"/>
      <c r="AW217" s="113"/>
      <c r="AX217" s="113"/>
      <c r="AY217" s="113"/>
      <c r="AZ217" s="113"/>
      <c r="BA217" s="113"/>
      <c r="BB217" s="113"/>
      <c r="BC217" s="113"/>
      <c r="BD217" s="113"/>
      <c r="BE217" s="113"/>
      <c r="BF217" s="114"/>
    </row>
    <row r="218" spans="1:58">
      <c r="A218" s="475"/>
      <c r="B218" s="474"/>
      <c r="C218" s="484"/>
      <c r="D218" s="470"/>
      <c r="E218" s="472"/>
      <c r="F218" s="472"/>
      <c r="G218" s="72" t="s">
        <v>167</v>
      </c>
      <c r="H218" s="68">
        <f t="shared" si="228"/>
        <v>0</v>
      </c>
      <c r="I218" s="105"/>
      <c r="J218" s="106"/>
      <c r="K218" s="106"/>
      <c r="L218" s="106"/>
      <c r="M218" s="106"/>
      <c r="N218" s="106"/>
      <c r="O218" s="106"/>
      <c r="P218" s="106"/>
      <c r="Q218" s="106"/>
      <c r="R218" s="106"/>
      <c r="S218" s="106"/>
      <c r="T218" s="106"/>
      <c r="U218" s="106"/>
      <c r="V218" s="106"/>
      <c r="W218" s="106"/>
      <c r="X218" s="106"/>
      <c r="Y218" s="106"/>
      <c r="Z218" s="106"/>
      <c r="AA218" s="106"/>
      <c r="AB218" s="106"/>
      <c r="AC218" s="106"/>
      <c r="AD218" s="106"/>
      <c r="AE218" s="106"/>
      <c r="AF218" s="106"/>
      <c r="AG218" s="106"/>
      <c r="AH218" s="106"/>
      <c r="AI218" s="106"/>
      <c r="AJ218" s="106"/>
      <c r="AK218" s="106"/>
      <c r="AL218" s="106"/>
      <c r="AM218" s="106"/>
      <c r="AN218" s="106"/>
      <c r="AO218" s="106"/>
      <c r="AP218" s="106"/>
      <c r="AQ218" s="106"/>
      <c r="AR218" s="106"/>
      <c r="AS218" s="106"/>
      <c r="AT218" s="106"/>
      <c r="AU218" s="106"/>
      <c r="AV218" s="106"/>
      <c r="AW218" s="106"/>
      <c r="AX218" s="106"/>
      <c r="AY218" s="106"/>
      <c r="AZ218" s="106"/>
      <c r="BA218" s="106"/>
      <c r="BB218" s="106"/>
      <c r="BC218" s="106"/>
      <c r="BD218" s="106"/>
      <c r="BE218" s="106"/>
      <c r="BF218" s="107"/>
    </row>
    <row r="219" spans="1:58">
      <c r="A219" s="473">
        <f t="shared" si="262"/>
        <v>105</v>
      </c>
      <c r="B219" s="474"/>
      <c r="C219" s="483" t="s">
        <v>596</v>
      </c>
      <c r="D219" s="469">
        <f t="shared" ref="D219" si="278">SUM(I219:BF219)</f>
        <v>0</v>
      </c>
      <c r="E219" s="471" t="str">
        <f t="shared" ref="E219" si="279">IF(D219=0,"",H220/D219)</f>
        <v/>
      </c>
      <c r="F219" s="471" t="str">
        <f t="shared" ref="F219" si="280">IF(H219=0,"",H220/H219)</f>
        <v/>
      </c>
      <c r="G219" s="71" t="s">
        <v>168</v>
      </c>
      <c r="H219" s="67">
        <f t="shared" si="228"/>
        <v>0</v>
      </c>
      <c r="I219" s="112"/>
      <c r="J219" s="113"/>
      <c r="K219" s="113"/>
      <c r="L219" s="113"/>
      <c r="M219" s="113"/>
      <c r="N219" s="113"/>
      <c r="O219" s="113"/>
      <c r="P219" s="113"/>
      <c r="Q219" s="113"/>
      <c r="R219" s="113"/>
      <c r="S219" s="113"/>
      <c r="T219" s="113"/>
      <c r="U219" s="113"/>
      <c r="V219" s="113"/>
      <c r="W219" s="113"/>
      <c r="X219" s="113"/>
      <c r="Y219" s="113"/>
      <c r="Z219" s="113"/>
      <c r="AA219" s="113"/>
      <c r="AB219" s="113"/>
      <c r="AC219" s="113"/>
      <c r="AD219" s="113"/>
      <c r="AE219" s="113"/>
      <c r="AF219" s="113"/>
      <c r="AG219" s="113"/>
      <c r="AH219" s="113"/>
      <c r="AI219" s="113"/>
      <c r="AJ219" s="113"/>
      <c r="AK219" s="113"/>
      <c r="AL219" s="113"/>
      <c r="AM219" s="113"/>
      <c r="AN219" s="113"/>
      <c r="AO219" s="113"/>
      <c r="AP219" s="113"/>
      <c r="AQ219" s="113"/>
      <c r="AR219" s="113"/>
      <c r="AS219" s="113"/>
      <c r="AT219" s="113"/>
      <c r="AU219" s="113"/>
      <c r="AV219" s="113"/>
      <c r="AW219" s="113"/>
      <c r="AX219" s="113"/>
      <c r="AY219" s="113"/>
      <c r="AZ219" s="113"/>
      <c r="BA219" s="113"/>
      <c r="BB219" s="113"/>
      <c r="BC219" s="113"/>
      <c r="BD219" s="113"/>
      <c r="BE219" s="113"/>
      <c r="BF219" s="114"/>
    </row>
    <row r="220" spans="1:58">
      <c r="A220" s="475"/>
      <c r="B220" s="474"/>
      <c r="C220" s="484"/>
      <c r="D220" s="470"/>
      <c r="E220" s="472"/>
      <c r="F220" s="472"/>
      <c r="G220" s="72" t="s">
        <v>167</v>
      </c>
      <c r="H220" s="68">
        <f t="shared" si="228"/>
        <v>0</v>
      </c>
      <c r="I220" s="105"/>
      <c r="J220" s="106"/>
      <c r="K220" s="106"/>
      <c r="L220" s="106"/>
      <c r="M220" s="106"/>
      <c r="N220" s="106"/>
      <c r="O220" s="106"/>
      <c r="P220" s="106"/>
      <c r="Q220" s="106"/>
      <c r="R220" s="106"/>
      <c r="S220" s="106"/>
      <c r="T220" s="106"/>
      <c r="U220" s="106"/>
      <c r="V220" s="106"/>
      <c r="W220" s="106"/>
      <c r="X220" s="106"/>
      <c r="Y220" s="106"/>
      <c r="Z220" s="106"/>
      <c r="AA220" s="106"/>
      <c r="AB220" s="106"/>
      <c r="AC220" s="106"/>
      <c r="AD220" s="106"/>
      <c r="AE220" s="106"/>
      <c r="AF220" s="106"/>
      <c r="AG220" s="106"/>
      <c r="AH220" s="106"/>
      <c r="AI220" s="106"/>
      <c r="AJ220" s="106"/>
      <c r="AK220" s="106"/>
      <c r="AL220" s="106"/>
      <c r="AM220" s="106"/>
      <c r="AN220" s="106"/>
      <c r="AO220" s="106"/>
      <c r="AP220" s="106"/>
      <c r="AQ220" s="106"/>
      <c r="AR220" s="106"/>
      <c r="AS220" s="106"/>
      <c r="AT220" s="106"/>
      <c r="AU220" s="106"/>
      <c r="AV220" s="106"/>
      <c r="AW220" s="106"/>
      <c r="AX220" s="106"/>
      <c r="AY220" s="106"/>
      <c r="AZ220" s="106"/>
      <c r="BA220" s="106"/>
      <c r="BB220" s="106"/>
      <c r="BC220" s="106"/>
      <c r="BD220" s="106"/>
      <c r="BE220" s="106"/>
      <c r="BF220" s="107"/>
    </row>
    <row r="221" spans="1:58">
      <c r="A221" s="473">
        <f t="shared" si="262"/>
        <v>106</v>
      </c>
      <c r="B221" s="474"/>
      <c r="C221" s="483" t="s">
        <v>596</v>
      </c>
      <c r="D221" s="469">
        <f t="shared" ref="D221" si="281">SUM(I221:BF221)</f>
        <v>0</v>
      </c>
      <c r="E221" s="471" t="str">
        <f t="shared" ref="E221" si="282">IF(D221=0,"",H222/D221)</f>
        <v/>
      </c>
      <c r="F221" s="471" t="str">
        <f t="shared" ref="F221" si="283">IF(H221=0,"",H222/H221)</f>
        <v/>
      </c>
      <c r="G221" s="71" t="s">
        <v>168</v>
      </c>
      <c r="H221" s="67">
        <f t="shared" si="228"/>
        <v>0</v>
      </c>
      <c r="I221" s="112"/>
      <c r="J221" s="113"/>
      <c r="K221" s="113"/>
      <c r="L221" s="113"/>
      <c r="M221" s="113"/>
      <c r="N221" s="113"/>
      <c r="O221" s="113"/>
      <c r="P221" s="113"/>
      <c r="Q221" s="113"/>
      <c r="R221" s="113"/>
      <c r="S221" s="113"/>
      <c r="T221" s="113"/>
      <c r="U221" s="113"/>
      <c r="V221" s="113"/>
      <c r="W221" s="113"/>
      <c r="X221" s="113"/>
      <c r="Y221" s="113"/>
      <c r="Z221" s="113"/>
      <c r="AA221" s="113"/>
      <c r="AB221" s="113"/>
      <c r="AC221" s="113"/>
      <c r="AD221" s="113"/>
      <c r="AE221" s="113"/>
      <c r="AF221" s="113"/>
      <c r="AG221" s="113"/>
      <c r="AH221" s="113"/>
      <c r="AI221" s="113"/>
      <c r="AJ221" s="113"/>
      <c r="AK221" s="113"/>
      <c r="AL221" s="113"/>
      <c r="AM221" s="113"/>
      <c r="AN221" s="113"/>
      <c r="AO221" s="113"/>
      <c r="AP221" s="113"/>
      <c r="AQ221" s="113"/>
      <c r="AR221" s="113"/>
      <c r="AS221" s="113"/>
      <c r="AT221" s="113"/>
      <c r="AU221" s="113"/>
      <c r="AV221" s="113"/>
      <c r="AW221" s="113"/>
      <c r="AX221" s="113"/>
      <c r="AY221" s="113"/>
      <c r="AZ221" s="113"/>
      <c r="BA221" s="113"/>
      <c r="BB221" s="113"/>
      <c r="BC221" s="113"/>
      <c r="BD221" s="113"/>
      <c r="BE221" s="113"/>
      <c r="BF221" s="114"/>
    </row>
    <row r="222" spans="1:58">
      <c r="A222" s="475"/>
      <c r="B222" s="474"/>
      <c r="C222" s="484"/>
      <c r="D222" s="470"/>
      <c r="E222" s="472"/>
      <c r="F222" s="472"/>
      <c r="G222" s="72" t="s">
        <v>167</v>
      </c>
      <c r="H222" s="68">
        <f t="shared" si="228"/>
        <v>0</v>
      </c>
      <c r="I222" s="105"/>
      <c r="J222" s="106"/>
      <c r="K222" s="106"/>
      <c r="L222" s="106"/>
      <c r="M222" s="106"/>
      <c r="N222" s="106"/>
      <c r="O222" s="106"/>
      <c r="P222" s="106"/>
      <c r="Q222" s="106"/>
      <c r="R222" s="106"/>
      <c r="S222" s="106"/>
      <c r="T222" s="106"/>
      <c r="U222" s="106"/>
      <c r="V222" s="106"/>
      <c r="W222" s="106"/>
      <c r="X222" s="106"/>
      <c r="Y222" s="106"/>
      <c r="Z222" s="106"/>
      <c r="AA222" s="106"/>
      <c r="AB222" s="106"/>
      <c r="AC222" s="106"/>
      <c r="AD222" s="106"/>
      <c r="AE222" s="106"/>
      <c r="AF222" s="106"/>
      <c r="AG222" s="106"/>
      <c r="AH222" s="106"/>
      <c r="AI222" s="106"/>
      <c r="AJ222" s="106"/>
      <c r="AK222" s="106"/>
      <c r="AL222" s="106"/>
      <c r="AM222" s="106"/>
      <c r="AN222" s="106"/>
      <c r="AO222" s="106"/>
      <c r="AP222" s="106"/>
      <c r="AQ222" s="106"/>
      <c r="AR222" s="106"/>
      <c r="AS222" s="106"/>
      <c r="AT222" s="106"/>
      <c r="AU222" s="106"/>
      <c r="AV222" s="106"/>
      <c r="AW222" s="106"/>
      <c r="AX222" s="106"/>
      <c r="AY222" s="106"/>
      <c r="AZ222" s="106"/>
      <c r="BA222" s="106"/>
      <c r="BB222" s="106"/>
      <c r="BC222" s="106"/>
      <c r="BD222" s="106"/>
      <c r="BE222" s="106"/>
      <c r="BF222" s="107"/>
    </row>
    <row r="223" spans="1:58">
      <c r="A223" s="473">
        <f t="shared" si="262"/>
        <v>107</v>
      </c>
      <c r="B223" s="474"/>
      <c r="C223" s="483" t="s">
        <v>596</v>
      </c>
      <c r="D223" s="469">
        <f t="shared" ref="D223" si="284">SUM(I223:BF223)</f>
        <v>0</v>
      </c>
      <c r="E223" s="471" t="str">
        <f t="shared" ref="E223" si="285">IF(D223=0,"",H224/D223)</f>
        <v/>
      </c>
      <c r="F223" s="471" t="str">
        <f t="shared" ref="F223" si="286">IF(H223=0,"",H224/H223)</f>
        <v/>
      </c>
      <c r="G223" s="71" t="s">
        <v>168</v>
      </c>
      <c r="H223" s="67">
        <f t="shared" si="228"/>
        <v>0</v>
      </c>
      <c r="I223" s="112"/>
      <c r="J223" s="113"/>
      <c r="K223" s="113"/>
      <c r="L223" s="113"/>
      <c r="M223" s="113"/>
      <c r="N223" s="113"/>
      <c r="O223" s="113"/>
      <c r="P223" s="113"/>
      <c r="Q223" s="113"/>
      <c r="R223" s="113"/>
      <c r="S223" s="113"/>
      <c r="T223" s="113"/>
      <c r="U223" s="113"/>
      <c r="V223" s="113"/>
      <c r="W223" s="113"/>
      <c r="X223" s="113"/>
      <c r="Y223" s="113"/>
      <c r="Z223" s="113"/>
      <c r="AA223" s="113"/>
      <c r="AB223" s="113"/>
      <c r="AC223" s="113"/>
      <c r="AD223" s="113"/>
      <c r="AE223" s="113"/>
      <c r="AF223" s="113"/>
      <c r="AG223" s="113"/>
      <c r="AH223" s="113"/>
      <c r="AI223" s="113"/>
      <c r="AJ223" s="113"/>
      <c r="AK223" s="113"/>
      <c r="AL223" s="113"/>
      <c r="AM223" s="113"/>
      <c r="AN223" s="113"/>
      <c r="AO223" s="113"/>
      <c r="AP223" s="113"/>
      <c r="AQ223" s="113"/>
      <c r="AR223" s="113"/>
      <c r="AS223" s="113"/>
      <c r="AT223" s="113"/>
      <c r="AU223" s="113"/>
      <c r="AV223" s="113"/>
      <c r="AW223" s="113"/>
      <c r="AX223" s="113"/>
      <c r="AY223" s="113"/>
      <c r="AZ223" s="113"/>
      <c r="BA223" s="113"/>
      <c r="BB223" s="113"/>
      <c r="BC223" s="113"/>
      <c r="BD223" s="113"/>
      <c r="BE223" s="113"/>
      <c r="BF223" s="114"/>
    </row>
    <row r="224" spans="1:58">
      <c r="A224" s="475"/>
      <c r="B224" s="474"/>
      <c r="C224" s="484"/>
      <c r="D224" s="470"/>
      <c r="E224" s="472"/>
      <c r="F224" s="472"/>
      <c r="G224" s="72" t="s">
        <v>167</v>
      </c>
      <c r="H224" s="68">
        <f t="shared" si="228"/>
        <v>0</v>
      </c>
      <c r="I224" s="105"/>
      <c r="J224" s="106"/>
      <c r="K224" s="106"/>
      <c r="L224" s="106"/>
      <c r="M224" s="106"/>
      <c r="N224" s="106"/>
      <c r="O224" s="106"/>
      <c r="P224" s="106"/>
      <c r="Q224" s="106"/>
      <c r="R224" s="106"/>
      <c r="S224" s="106"/>
      <c r="T224" s="106"/>
      <c r="U224" s="106"/>
      <c r="V224" s="106"/>
      <c r="W224" s="106"/>
      <c r="X224" s="106"/>
      <c r="Y224" s="106"/>
      <c r="Z224" s="106"/>
      <c r="AA224" s="106"/>
      <c r="AB224" s="106"/>
      <c r="AC224" s="106"/>
      <c r="AD224" s="106"/>
      <c r="AE224" s="106"/>
      <c r="AF224" s="106"/>
      <c r="AG224" s="106"/>
      <c r="AH224" s="106"/>
      <c r="AI224" s="106"/>
      <c r="AJ224" s="106"/>
      <c r="AK224" s="106"/>
      <c r="AL224" s="106"/>
      <c r="AM224" s="106"/>
      <c r="AN224" s="106"/>
      <c r="AO224" s="106"/>
      <c r="AP224" s="106"/>
      <c r="AQ224" s="106"/>
      <c r="AR224" s="106"/>
      <c r="AS224" s="106"/>
      <c r="AT224" s="106"/>
      <c r="AU224" s="106"/>
      <c r="AV224" s="106"/>
      <c r="AW224" s="106"/>
      <c r="AX224" s="106"/>
      <c r="AY224" s="106"/>
      <c r="AZ224" s="106"/>
      <c r="BA224" s="106"/>
      <c r="BB224" s="106"/>
      <c r="BC224" s="106"/>
      <c r="BD224" s="106"/>
      <c r="BE224" s="106"/>
      <c r="BF224" s="107"/>
    </row>
    <row r="225" spans="1:58">
      <c r="A225" s="473">
        <f t="shared" si="262"/>
        <v>108</v>
      </c>
      <c r="B225" s="474"/>
      <c r="C225" s="483" t="s">
        <v>596</v>
      </c>
      <c r="D225" s="469">
        <f t="shared" ref="D225" si="287">SUM(I225:BF225)</f>
        <v>0</v>
      </c>
      <c r="E225" s="471" t="str">
        <f t="shared" ref="E225" si="288">IF(D225=0,"",H226/D225)</f>
        <v/>
      </c>
      <c r="F225" s="471" t="str">
        <f t="shared" ref="F225" si="289">IF(H225=0,"",H226/H225)</f>
        <v/>
      </c>
      <c r="G225" s="71" t="s">
        <v>168</v>
      </c>
      <c r="H225" s="67">
        <f t="shared" si="228"/>
        <v>0</v>
      </c>
      <c r="I225" s="112"/>
      <c r="J225" s="113"/>
      <c r="K225" s="113"/>
      <c r="L225" s="113"/>
      <c r="M225" s="113"/>
      <c r="N225" s="113"/>
      <c r="O225" s="113"/>
      <c r="P225" s="113"/>
      <c r="Q225" s="113"/>
      <c r="R225" s="113"/>
      <c r="S225" s="113"/>
      <c r="T225" s="113"/>
      <c r="U225" s="113"/>
      <c r="V225" s="113"/>
      <c r="W225" s="113"/>
      <c r="X225" s="113"/>
      <c r="Y225" s="113"/>
      <c r="Z225" s="113"/>
      <c r="AA225" s="113"/>
      <c r="AB225" s="113"/>
      <c r="AC225" s="113"/>
      <c r="AD225" s="113"/>
      <c r="AE225" s="113"/>
      <c r="AF225" s="113"/>
      <c r="AG225" s="113"/>
      <c r="AH225" s="113"/>
      <c r="AI225" s="113"/>
      <c r="AJ225" s="113"/>
      <c r="AK225" s="113"/>
      <c r="AL225" s="113"/>
      <c r="AM225" s="113"/>
      <c r="AN225" s="113"/>
      <c r="AO225" s="113"/>
      <c r="AP225" s="113"/>
      <c r="AQ225" s="113"/>
      <c r="AR225" s="113"/>
      <c r="AS225" s="113"/>
      <c r="AT225" s="113"/>
      <c r="AU225" s="113"/>
      <c r="AV225" s="113"/>
      <c r="AW225" s="113"/>
      <c r="AX225" s="113"/>
      <c r="AY225" s="113"/>
      <c r="AZ225" s="113"/>
      <c r="BA225" s="113"/>
      <c r="BB225" s="113"/>
      <c r="BC225" s="113"/>
      <c r="BD225" s="113"/>
      <c r="BE225" s="113"/>
      <c r="BF225" s="114"/>
    </row>
    <row r="226" spans="1:58">
      <c r="A226" s="475"/>
      <c r="B226" s="474"/>
      <c r="C226" s="484"/>
      <c r="D226" s="470"/>
      <c r="E226" s="472"/>
      <c r="F226" s="472"/>
      <c r="G226" s="72" t="s">
        <v>167</v>
      </c>
      <c r="H226" s="68">
        <f t="shared" si="228"/>
        <v>0</v>
      </c>
      <c r="I226" s="105"/>
      <c r="J226" s="106"/>
      <c r="K226" s="106"/>
      <c r="L226" s="106"/>
      <c r="M226" s="106"/>
      <c r="N226" s="106"/>
      <c r="O226" s="106"/>
      <c r="P226" s="106"/>
      <c r="Q226" s="106"/>
      <c r="R226" s="106"/>
      <c r="S226" s="106"/>
      <c r="T226" s="106"/>
      <c r="U226" s="106"/>
      <c r="V226" s="106"/>
      <c r="W226" s="106"/>
      <c r="X226" s="106"/>
      <c r="Y226" s="106"/>
      <c r="Z226" s="106"/>
      <c r="AA226" s="106"/>
      <c r="AB226" s="106"/>
      <c r="AC226" s="106"/>
      <c r="AD226" s="106"/>
      <c r="AE226" s="106"/>
      <c r="AF226" s="106"/>
      <c r="AG226" s="106"/>
      <c r="AH226" s="106"/>
      <c r="AI226" s="106"/>
      <c r="AJ226" s="106"/>
      <c r="AK226" s="106"/>
      <c r="AL226" s="106"/>
      <c r="AM226" s="106"/>
      <c r="AN226" s="106"/>
      <c r="AO226" s="106"/>
      <c r="AP226" s="106"/>
      <c r="AQ226" s="106"/>
      <c r="AR226" s="106"/>
      <c r="AS226" s="106"/>
      <c r="AT226" s="106"/>
      <c r="AU226" s="106"/>
      <c r="AV226" s="106"/>
      <c r="AW226" s="106"/>
      <c r="AX226" s="106"/>
      <c r="AY226" s="106"/>
      <c r="AZ226" s="106"/>
      <c r="BA226" s="106"/>
      <c r="BB226" s="106"/>
      <c r="BC226" s="106"/>
      <c r="BD226" s="106"/>
      <c r="BE226" s="106"/>
      <c r="BF226" s="107"/>
    </row>
    <row r="227" spans="1:58">
      <c r="A227" s="473">
        <f t="shared" si="262"/>
        <v>109</v>
      </c>
      <c r="B227" s="474"/>
      <c r="C227" s="483" t="s">
        <v>596</v>
      </c>
      <c r="D227" s="469">
        <f t="shared" ref="D227" si="290">SUM(I227:BF227)</f>
        <v>0</v>
      </c>
      <c r="E227" s="471" t="str">
        <f t="shared" ref="E227" si="291">IF(D227=0,"",H228/D227)</f>
        <v/>
      </c>
      <c r="F227" s="471" t="str">
        <f t="shared" ref="F227" si="292">IF(H227=0,"",H228/H227)</f>
        <v/>
      </c>
      <c r="G227" s="71" t="s">
        <v>168</v>
      </c>
      <c r="H227" s="67">
        <f t="shared" si="228"/>
        <v>0</v>
      </c>
      <c r="I227" s="112"/>
      <c r="J227" s="113"/>
      <c r="K227" s="113"/>
      <c r="L227" s="113"/>
      <c r="M227" s="113"/>
      <c r="N227" s="113"/>
      <c r="O227" s="113"/>
      <c r="P227" s="113"/>
      <c r="Q227" s="113"/>
      <c r="R227" s="113"/>
      <c r="S227" s="113"/>
      <c r="T227" s="113"/>
      <c r="U227" s="113"/>
      <c r="V227" s="113"/>
      <c r="W227" s="113"/>
      <c r="X227" s="113"/>
      <c r="Y227" s="113"/>
      <c r="Z227" s="113"/>
      <c r="AA227" s="113"/>
      <c r="AB227" s="113"/>
      <c r="AC227" s="113"/>
      <c r="AD227" s="113"/>
      <c r="AE227" s="113"/>
      <c r="AF227" s="113"/>
      <c r="AG227" s="113"/>
      <c r="AH227" s="113"/>
      <c r="AI227" s="113"/>
      <c r="AJ227" s="113"/>
      <c r="AK227" s="113"/>
      <c r="AL227" s="113"/>
      <c r="AM227" s="113"/>
      <c r="AN227" s="113"/>
      <c r="AO227" s="113"/>
      <c r="AP227" s="113"/>
      <c r="AQ227" s="113"/>
      <c r="AR227" s="113"/>
      <c r="AS227" s="113"/>
      <c r="AT227" s="113"/>
      <c r="AU227" s="113"/>
      <c r="AV227" s="113"/>
      <c r="AW227" s="113"/>
      <c r="AX227" s="113"/>
      <c r="AY227" s="113"/>
      <c r="AZ227" s="113"/>
      <c r="BA227" s="113"/>
      <c r="BB227" s="113"/>
      <c r="BC227" s="113"/>
      <c r="BD227" s="113"/>
      <c r="BE227" s="113"/>
      <c r="BF227" s="114"/>
    </row>
    <row r="228" spans="1:58">
      <c r="A228" s="475"/>
      <c r="B228" s="474"/>
      <c r="C228" s="484"/>
      <c r="D228" s="470"/>
      <c r="E228" s="472"/>
      <c r="F228" s="472"/>
      <c r="G228" s="72" t="s">
        <v>167</v>
      </c>
      <c r="H228" s="68">
        <f t="shared" si="228"/>
        <v>0</v>
      </c>
      <c r="I228" s="105"/>
      <c r="J228" s="106"/>
      <c r="K228" s="106"/>
      <c r="L228" s="106"/>
      <c r="M228" s="106"/>
      <c r="N228" s="106"/>
      <c r="O228" s="106"/>
      <c r="P228" s="106"/>
      <c r="Q228" s="106"/>
      <c r="R228" s="106"/>
      <c r="S228" s="106"/>
      <c r="T228" s="106"/>
      <c r="U228" s="106"/>
      <c r="V228" s="106"/>
      <c r="W228" s="106"/>
      <c r="X228" s="106"/>
      <c r="Y228" s="106"/>
      <c r="Z228" s="106"/>
      <c r="AA228" s="106"/>
      <c r="AB228" s="106"/>
      <c r="AC228" s="106"/>
      <c r="AD228" s="106"/>
      <c r="AE228" s="106"/>
      <c r="AF228" s="106"/>
      <c r="AG228" s="106"/>
      <c r="AH228" s="106"/>
      <c r="AI228" s="106"/>
      <c r="AJ228" s="106"/>
      <c r="AK228" s="106"/>
      <c r="AL228" s="106"/>
      <c r="AM228" s="106"/>
      <c r="AN228" s="106"/>
      <c r="AO228" s="106"/>
      <c r="AP228" s="106"/>
      <c r="AQ228" s="106"/>
      <c r="AR228" s="106"/>
      <c r="AS228" s="106"/>
      <c r="AT228" s="106"/>
      <c r="AU228" s="106"/>
      <c r="AV228" s="106"/>
      <c r="AW228" s="106"/>
      <c r="AX228" s="106"/>
      <c r="AY228" s="106"/>
      <c r="AZ228" s="106"/>
      <c r="BA228" s="106"/>
      <c r="BB228" s="106"/>
      <c r="BC228" s="106"/>
      <c r="BD228" s="106"/>
      <c r="BE228" s="106"/>
      <c r="BF228" s="107"/>
    </row>
    <row r="229" spans="1:58">
      <c r="A229" s="473">
        <f t="shared" si="262"/>
        <v>110</v>
      </c>
      <c r="B229" s="474"/>
      <c r="C229" s="483" t="s">
        <v>596</v>
      </c>
      <c r="D229" s="469">
        <f t="shared" ref="D229" si="293">SUM(I229:BF229)</f>
        <v>0</v>
      </c>
      <c r="E229" s="471" t="str">
        <f t="shared" ref="E229" si="294">IF(D229=0,"",H230/D229)</f>
        <v/>
      </c>
      <c r="F229" s="471" t="str">
        <f t="shared" ref="F229" si="295">IF(H229=0,"",H230/H229)</f>
        <v/>
      </c>
      <c r="G229" s="71" t="s">
        <v>168</v>
      </c>
      <c r="H229" s="67">
        <f t="shared" si="228"/>
        <v>0</v>
      </c>
      <c r="I229" s="112"/>
      <c r="J229" s="113"/>
      <c r="K229" s="113"/>
      <c r="L229" s="113"/>
      <c r="M229" s="113"/>
      <c r="N229" s="113"/>
      <c r="O229" s="113"/>
      <c r="P229" s="113"/>
      <c r="Q229" s="113"/>
      <c r="R229" s="113"/>
      <c r="S229" s="113"/>
      <c r="T229" s="113"/>
      <c r="U229" s="113"/>
      <c r="V229" s="113"/>
      <c r="W229" s="113"/>
      <c r="X229" s="113"/>
      <c r="Y229" s="113"/>
      <c r="Z229" s="113"/>
      <c r="AA229" s="113"/>
      <c r="AB229" s="113"/>
      <c r="AC229" s="113"/>
      <c r="AD229" s="113"/>
      <c r="AE229" s="113"/>
      <c r="AF229" s="113"/>
      <c r="AG229" s="113"/>
      <c r="AH229" s="113"/>
      <c r="AI229" s="113"/>
      <c r="AJ229" s="113"/>
      <c r="AK229" s="113"/>
      <c r="AL229" s="113"/>
      <c r="AM229" s="113"/>
      <c r="AN229" s="113"/>
      <c r="AO229" s="113"/>
      <c r="AP229" s="113"/>
      <c r="AQ229" s="113"/>
      <c r="AR229" s="113"/>
      <c r="AS229" s="113"/>
      <c r="AT229" s="113"/>
      <c r="AU229" s="113"/>
      <c r="AV229" s="113"/>
      <c r="AW229" s="113"/>
      <c r="AX229" s="113"/>
      <c r="AY229" s="113"/>
      <c r="AZ229" s="113"/>
      <c r="BA229" s="113"/>
      <c r="BB229" s="113"/>
      <c r="BC229" s="113"/>
      <c r="BD229" s="113"/>
      <c r="BE229" s="113"/>
      <c r="BF229" s="114"/>
    </row>
    <row r="230" spans="1:58">
      <c r="A230" s="475"/>
      <c r="B230" s="474"/>
      <c r="C230" s="484"/>
      <c r="D230" s="470"/>
      <c r="E230" s="472"/>
      <c r="F230" s="472"/>
      <c r="G230" s="72" t="s">
        <v>167</v>
      </c>
      <c r="H230" s="68">
        <f t="shared" si="228"/>
        <v>0</v>
      </c>
      <c r="I230" s="105"/>
      <c r="J230" s="106"/>
      <c r="K230" s="106"/>
      <c r="L230" s="106"/>
      <c r="M230" s="106"/>
      <c r="N230" s="106"/>
      <c r="O230" s="106"/>
      <c r="P230" s="106"/>
      <c r="Q230" s="106"/>
      <c r="R230" s="106"/>
      <c r="S230" s="106"/>
      <c r="T230" s="106"/>
      <c r="U230" s="106"/>
      <c r="V230" s="106"/>
      <c r="W230" s="106"/>
      <c r="X230" s="106"/>
      <c r="Y230" s="106"/>
      <c r="Z230" s="106"/>
      <c r="AA230" s="106"/>
      <c r="AB230" s="106"/>
      <c r="AC230" s="106"/>
      <c r="AD230" s="106"/>
      <c r="AE230" s="106"/>
      <c r="AF230" s="106"/>
      <c r="AG230" s="106"/>
      <c r="AH230" s="106"/>
      <c r="AI230" s="106"/>
      <c r="AJ230" s="106"/>
      <c r="AK230" s="106"/>
      <c r="AL230" s="106"/>
      <c r="AM230" s="106"/>
      <c r="AN230" s="106"/>
      <c r="AO230" s="106"/>
      <c r="AP230" s="106"/>
      <c r="AQ230" s="106"/>
      <c r="AR230" s="106"/>
      <c r="AS230" s="106"/>
      <c r="AT230" s="106"/>
      <c r="AU230" s="106"/>
      <c r="AV230" s="106"/>
      <c r="AW230" s="106"/>
      <c r="AX230" s="106"/>
      <c r="AY230" s="106"/>
      <c r="AZ230" s="106"/>
      <c r="BA230" s="106"/>
      <c r="BB230" s="106"/>
      <c r="BC230" s="106"/>
      <c r="BD230" s="106"/>
      <c r="BE230" s="106"/>
      <c r="BF230" s="107"/>
    </row>
    <row r="231" spans="1:58">
      <c r="A231" s="473">
        <f t="shared" si="262"/>
        <v>111</v>
      </c>
      <c r="B231" s="474"/>
      <c r="C231" s="483" t="s">
        <v>596</v>
      </c>
      <c r="D231" s="469">
        <f t="shared" ref="D231" si="296">SUM(I231:BF231)</f>
        <v>0</v>
      </c>
      <c r="E231" s="471" t="str">
        <f t="shared" ref="E231" si="297">IF(D231=0,"",H232/D231)</f>
        <v/>
      </c>
      <c r="F231" s="471" t="str">
        <f t="shared" ref="F231" si="298">IF(H231=0,"",H232/H231)</f>
        <v/>
      </c>
      <c r="G231" s="71" t="s">
        <v>168</v>
      </c>
      <c r="H231" s="67">
        <f t="shared" ref="H231:H396" si="299">SUMPRODUCT((I$8:BF$8&lt;&gt;"")*1,(I$8:BF$8&lt;=$O$2)*1,I231:BF231)</f>
        <v>0</v>
      </c>
      <c r="I231" s="112"/>
      <c r="J231" s="113"/>
      <c r="K231" s="113"/>
      <c r="L231" s="113"/>
      <c r="M231" s="113"/>
      <c r="N231" s="113"/>
      <c r="O231" s="113"/>
      <c r="P231" s="113"/>
      <c r="Q231" s="113"/>
      <c r="R231" s="113"/>
      <c r="S231" s="113"/>
      <c r="T231" s="113"/>
      <c r="U231" s="113"/>
      <c r="V231" s="113"/>
      <c r="W231" s="113"/>
      <c r="X231" s="113"/>
      <c r="Y231" s="113"/>
      <c r="Z231" s="113"/>
      <c r="AA231" s="113"/>
      <c r="AB231" s="113"/>
      <c r="AC231" s="113"/>
      <c r="AD231" s="113"/>
      <c r="AE231" s="113"/>
      <c r="AF231" s="113"/>
      <c r="AG231" s="113"/>
      <c r="AH231" s="113"/>
      <c r="AI231" s="113"/>
      <c r="AJ231" s="113"/>
      <c r="AK231" s="113"/>
      <c r="AL231" s="113"/>
      <c r="AM231" s="113"/>
      <c r="AN231" s="113"/>
      <c r="AO231" s="113"/>
      <c r="AP231" s="113"/>
      <c r="AQ231" s="113"/>
      <c r="AR231" s="113"/>
      <c r="AS231" s="113"/>
      <c r="AT231" s="113"/>
      <c r="AU231" s="113"/>
      <c r="AV231" s="113"/>
      <c r="AW231" s="113"/>
      <c r="AX231" s="113"/>
      <c r="AY231" s="113"/>
      <c r="AZ231" s="113"/>
      <c r="BA231" s="113"/>
      <c r="BB231" s="113"/>
      <c r="BC231" s="113"/>
      <c r="BD231" s="113"/>
      <c r="BE231" s="113"/>
      <c r="BF231" s="114"/>
    </row>
    <row r="232" spans="1:58">
      <c r="A232" s="475"/>
      <c r="B232" s="474"/>
      <c r="C232" s="484"/>
      <c r="D232" s="470"/>
      <c r="E232" s="472"/>
      <c r="F232" s="472"/>
      <c r="G232" s="72" t="s">
        <v>167</v>
      </c>
      <c r="H232" s="68">
        <f t="shared" si="299"/>
        <v>0</v>
      </c>
      <c r="I232" s="105"/>
      <c r="J232" s="106"/>
      <c r="K232" s="106"/>
      <c r="L232" s="106"/>
      <c r="M232" s="106"/>
      <c r="N232" s="106"/>
      <c r="O232" s="106"/>
      <c r="P232" s="106"/>
      <c r="Q232" s="106"/>
      <c r="R232" s="106"/>
      <c r="S232" s="106"/>
      <c r="T232" s="106"/>
      <c r="U232" s="106"/>
      <c r="V232" s="106"/>
      <c r="W232" s="106"/>
      <c r="X232" s="106"/>
      <c r="Y232" s="106"/>
      <c r="Z232" s="106"/>
      <c r="AA232" s="106"/>
      <c r="AB232" s="106"/>
      <c r="AC232" s="106"/>
      <c r="AD232" s="106"/>
      <c r="AE232" s="106"/>
      <c r="AF232" s="106"/>
      <c r="AG232" s="106"/>
      <c r="AH232" s="106"/>
      <c r="AI232" s="106"/>
      <c r="AJ232" s="106"/>
      <c r="AK232" s="106"/>
      <c r="AL232" s="106"/>
      <c r="AM232" s="106"/>
      <c r="AN232" s="106"/>
      <c r="AO232" s="106"/>
      <c r="AP232" s="106"/>
      <c r="AQ232" s="106"/>
      <c r="AR232" s="106"/>
      <c r="AS232" s="106"/>
      <c r="AT232" s="106"/>
      <c r="AU232" s="106"/>
      <c r="AV232" s="106"/>
      <c r="AW232" s="106"/>
      <c r="AX232" s="106"/>
      <c r="AY232" s="106"/>
      <c r="AZ232" s="106"/>
      <c r="BA232" s="106"/>
      <c r="BB232" s="106"/>
      <c r="BC232" s="106"/>
      <c r="BD232" s="106"/>
      <c r="BE232" s="106"/>
      <c r="BF232" s="107"/>
    </row>
    <row r="233" spans="1:58">
      <c r="A233" s="473">
        <f t="shared" si="262"/>
        <v>112</v>
      </c>
      <c r="B233" s="474"/>
      <c r="C233" s="483" t="s">
        <v>596</v>
      </c>
      <c r="D233" s="469">
        <f t="shared" ref="D233" si="300">SUM(I233:BF233)</f>
        <v>0</v>
      </c>
      <c r="E233" s="471" t="str">
        <f>IF(D233=0,"",H234/D233)</f>
        <v/>
      </c>
      <c r="F233" s="471" t="str">
        <f>IF(H233=0,"",H234/H233)</f>
        <v/>
      </c>
      <c r="G233" s="71" t="s">
        <v>168</v>
      </c>
      <c r="H233" s="67">
        <f t="shared" si="299"/>
        <v>0</v>
      </c>
      <c r="I233" s="112"/>
      <c r="J233" s="113"/>
      <c r="K233" s="113"/>
      <c r="L233" s="113"/>
      <c r="M233" s="113"/>
      <c r="N233" s="113"/>
      <c r="O233" s="113"/>
      <c r="P233" s="113"/>
      <c r="Q233" s="113"/>
      <c r="R233" s="113"/>
      <c r="S233" s="113"/>
      <c r="T233" s="113"/>
      <c r="U233" s="113"/>
      <c r="V233" s="113"/>
      <c r="W233" s="113"/>
      <c r="X233" s="113"/>
      <c r="Y233" s="113"/>
      <c r="Z233" s="113"/>
      <c r="AA233" s="113"/>
      <c r="AB233" s="113"/>
      <c r="AC233" s="113"/>
      <c r="AD233" s="113"/>
      <c r="AE233" s="113"/>
      <c r="AF233" s="113"/>
      <c r="AG233" s="113"/>
      <c r="AH233" s="113"/>
      <c r="AI233" s="113"/>
      <c r="AJ233" s="113"/>
      <c r="AK233" s="113"/>
      <c r="AL233" s="113"/>
      <c r="AM233" s="113"/>
      <c r="AN233" s="113"/>
      <c r="AO233" s="113"/>
      <c r="AP233" s="113"/>
      <c r="AQ233" s="113"/>
      <c r="AR233" s="113"/>
      <c r="AS233" s="113"/>
      <c r="AT233" s="113"/>
      <c r="AU233" s="113"/>
      <c r="AV233" s="113"/>
      <c r="AW233" s="113"/>
      <c r="AX233" s="113"/>
      <c r="AY233" s="113"/>
      <c r="AZ233" s="113"/>
      <c r="BA233" s="113"/>
      <c r="BB233" s="113"/>
      <c r="BC233" s="113"/>
      <c r="BD233" s="113"/>
      <c r="BE233" s="113"/>
      <c r="BF233" s="114"/>
    </row>
    <row r="234" spans="1:58">
      <c r="A234" s="475"/>
      <c r="B234" s="474"/>
      <c r="C234" s="484"/>
      <c r="D234" s="470"/>
      <c r="E234" s="472"/>
      <c r="F234" s="472"/>
      <c r="G234" s="72" t="s">
        <v>167</v>
      </c>
      <c r="H234" s="68">
        <f t="shared" si="299"/>
        <v>0</v>
      </c>
      <c r="I234" s="105"/>
      <c r="J234" s="106"/>
      <c r="K234" s="106"/>
      <c r="L234" s="106"/>
      <c r="M234" s="106"/>
      <c r="N234" s="106"/>
      <c r="O234" s="106"/>
      <c r="P234" s="106"/>
      <c r="Q234" s="106"/>
      <c r="R234" s="106"/>
      <c r="S234" s="106"/>
      <c r="T234" s="106"/>
      <c r="U234" s="106"/>
      <c r="V234" s="106"/>
      <c r="W234" s="106"/>
      <c r="X234" s="106"/>
      <c r="Y234" s="106"/>
      <c r="Z234" s="106"/>
      <c r="AA234" s="106"/>
      <c r="AB234" s="106"/>
      <c r="AC234" s="106"/>
      <c r="AD234" s="106"/>
      <c r="AE234" s="106"/>
      <c r="AF234" s="106"/>
      <c r="AG234" s="106"/>
      <c r="AH234" s="106"/>
      <c r="AI234" s="106"/>
      <c r="AJ234" s="106"/>
      <c r="AK234" s="106"/>
      <c r="AL234" s="106"/>
      <c r="AM234" s="106"/>
      <c r="AN234" s="106"/>
      <c r="AO234" s="106"/>
      <c r="AP234" s="106"/>
      <c r="AQ234" s="106"/>
      <c r="AR234" s="106"/>
      <c r="AS234" s="106"/>
      <c r="AT234" s="106"/>
      <c r="AU234" s="106"/>
      <c r="AV234" s="106"/>
      <c r="AW234" s="106"/>
      <c r="AX234" s="106"/>
      <c r="AY234" s="106"/>
      <c r="AZ234" s="106"/>
      <c r="BA234" s="106"/>
      <c r="BB234" s="106"/>
      <c r="BC234" s="106"/>
      <c r="BD234" s="106"/>
      <c r="BE234" s="106"/>
      <c r="BF234" s="107"/>
    </row>
    <row r="235" spans="1:58">
      <c r="A235" s="473">
        <f t="shared" si="262"/>
        <v>113</v>
      </c>
      <c r="B235" s="474"/>
      <c r="C235" s="483" t="s">
        <v>596</v>
      </c>
      <c r="D235" s="469">
        <f t="shared" ref="D235" si="301">SUM(I235:BF235)</f>
        <v>0</v>
      </c>
      <c r="E235" s="471" t="str">
        <f t="shared" ref="E235" si="302">IF(D235=0,"",H236/D235)</f>
        <v/>
      </c>
      <c r="F235" s="471" t="str">
        <f t="shared" ref="F235" si="303">IF(H235=0,"",H236/H235)</f>
        <v/>
      </c>
      <c r="G235" s="71" t="s">
        <v>168</v>
      </c>
      <c r="H235" s="67">
        <f t="shared" si="299"/>
        <v>0</v>
      </c>
      <c r="I235" s="112"/>
      <c r="J235" s="113"/>
      <c r="K235" s="113"/>
      <c r="L235" s="113"/>
      <c r="M235" s="113"/>
      <c r="N235" s="113"/>
      <c r="O235" s="113"/>
      <c r="P235" s="113"/>
      <c r="Q235" s="113"/>
      <c r="R235" s="113"/>
      <c r="S235" s="113"/>
      <c r="T235" s="113"/>
      <c r="U235" s="113"/>
      <c r="V235" s="113"/>
      <c r="W235" s="113"/>
      <c r="X235" s="113"/>
      <c r="Y235" s="113"/>
      <c r="Z235" s="113"/>
      <c r="AA235" s="113"/>
      <c r="AB235" s="113"/>
      <c r="AC235" s="113"/>
      <c r="AD235" s="113"/>
      <c r="AE235" s="113"/>
      <c r="AF235" s="113"/>
      <c r="AG235" s="113"/>
      <c r="AH235" s="113"/>
      <c r="AI235" s="113"/>
      <c r="AJ235" s="113"/>
      <c r="AK235" s="113"/>
      <c r="AL235" s="113"/>
      <c r="AM235" s="113"/>
      <c r="AN235" s="113"/>
      <c r="AO235" s="113"/>
      <c r="AP235" s="113"/>
      <c r="AQ235" s="113"/>
      <c r="AR235" s="113"/>
      <c r="AS235" s="113"/>
      <c r="AT235" s="113"/>
      <c r="AU235" s="113"/>
      <c r="AV235" s="113"/>
      <c r="AW235" s="113"/>
      <c r="AX235" s="113"/>
      <c r="AY235" s="113"/>
      <c r="AZ235" s="113"/>
      <c r="BA235" s="113"/>
      <c r="BB235" s="113"/>
      <c r="BC235" s="113"/>
      <c r="BD235" s="113"/>
      <c r="BE235" s="113"/>
      <c r="BF235" s="114"/>
    </row>
    <row r="236" spans="1:58">
      <c r="A236" s="475"/>
      <c r="B236" s="474"/>
      <c r="C236" s="484"/>
      <c r="D236" s="470"/>
      <c r="E236" s="472"/>
      <c r="F236" s="472"/>
      <c r="G236" s="72" t="s">
        <v>167</v>
      </c>
      <c r="H236" s="68">
        <f t="shared" si="299"/>
        <v>0</v>
      </c>
      <c r="I236" s="105"/>
      <c r="J236" s="106"/>
      <c r="K236" s="106"/>
      <c r="L236" s="106"/>
      <c r="M236" s="106"/>
      <c r="N236" s="106"/>
      <c r="O236" s="106"/>
      <c r="P236" s="106"/>
      <c r="Q236" s="106"/>
      <c r="R236" s="106"/>
      <c r="S236" s="106"/>
      <c r="T236" s="106"/>
      <c r="U236" s="106"/>
      <c r="V236" s="106"/>
      <c r="W236" s="106"/>
      <c r="X236" s="106"/>
      <c r="Y236" s="106"/>
      <c r="Z236" s="106"/>
      <c r="AA236" s="106"/>
      <c r="AB236" s="106"/>
      <c r="AC236" s="106"/>
      <c r="AD236" s="106"/>
      <c r="AE236" s="106"/>
      <c r="AF236" s="106"/>
      <c r="AG236" s="106"/>
      <c r="AH236" s="106"/>
      <c r="AI236" s="106"/>
      <c r="AJ236" s="106"/>
      <c r="AK236" s="106"/>
      <c r="AL236" s="106"/>
      <c r="AM236" s="106"/>
      <c r="AN236" s="106"/>
      <c r="AO236" s="106"/>
      <c r="AP236" s="106"/>
      <c r="AQ236" s="106"/>
      <c r="AR236" s="106"/>
      <c r="AS236" s="106"/>
      <c r="AT236" s="106"/>
      <c r="AU236" s="106"/>
      <c r="AV236" s="106"/>
      <c r="AW236" s="106"/>
      <c r="AX236" s="106"/>
      <c r="AY236" s="106"/>
      <c r="AZ236" s="106"/>
      <c r="BA236" s="106"/>
      <c r="BB236" s="106"/>
      <c r="BC236" s="106"/>
      <c r="BD236" s="106"/>
      <c r="BE236" s="106"/>
      <c r="BF236" s="107"/>
    </row>
    <row r="237" spans="1:58">
      <c r="A237" s="473">
        <f t="shared" si="262"/>
        <v>114</v>
      </c>
      <c r="B237" s="474"/>
      <c r="C237" s="483" t="s">
        <v>596</v>
      </c>
      <c r="D237" s="469">
        <f t="shared" ref="D237" si="304">SUM(I237:BF237)</f>
        <v>0</v>
      </c>
      <c r="E237" s="471" t="str">
        <f t="shared" ref="E237" si="305">IF(D237=0,"",H238/D237)</f>
        <v/>
      </c>
      <c r="F237" s="471" t="str">
        <f t="shared" ref="F237" si="306">IF(H237=0,"",H238/H237)</f>
        <v/>
      </c>
      <c r="G237" s="71" t="s">
        <v>168</v>
      </c>
      <c r="H237" s="67">
        <f t="shared" si="299"/>
        <v>0</v>
      </c>
      <c r="I237" s="112"/>
      <c r="J237" s="113"/>
      <c r="K237" s="113"/>
      <c r="L237" s="113"/>
      <c r="M237" s="113"/>
      <c r="N237" s="113"/>
      <c r="O237" s="113"/>
      <c r="P237" s="113"/>
      <c r="Q237" s="113"/>
      <c r="R237" s="113"/>
      <c r="S237" s="113"/>
      <c r="T237" s="113"/>
      <c r="U237" s="113"/>
      <c r="V237" s="113"/>
      <c r="W237" s="113"/>
      <c r="X237" s="113"/>
      <c r="Y237" s="113"/>
      <c r="Z237" s="113"/>
      <c r="AA237" s="113"/>
      <c r="AB237" s="113"/>
      <c r="AC237" s="113"/>
      <c r="AD237" s="113"/>
      <c r="AE237" s="113"/>
      <c r="AF237" s="113"/>
      <c r="AG237" s="113"/>
      <c r="AH237" s="113"/>
      <c r="AI237" s="113"/>
      <c r="AJ237" s="113"/>
      <c r="AK237" s="113"/>
      <c r="AL237" s="113"/>
      <c r="AM237" s="113"/>
      <c r="AN237" s="113"/>
      <c r="AO237" s="113"/>
      <c r="AP237" s="113"/>
      <c r="AQ237" s="113"/>
      <c r="AR237" s="113"/>
      <c r="AS237" s="113"/>
      <c r="AT237" s="113"/>
      <c r="AU237" s="113"/>
      <c r="AV237" s="113"/>
      <c r="AW237" s="113"/>
      <c r="AX237" s="113"/>
      <c r="AY237" s="113"/>
      <c r="AZ237" s="113"/>
      <c r="BA237" s="113"/>
      <c r="BB237" s="113"/>
      <c r="BC237" s="113"/>
      <c r="BD237" s="113"/>
      <c r="BE237" s="113"/>
      <c r="BF237" s="114"/>
    </row>
    <row r="238" spans="1:58">
      <c r="A238" s="475"/>
      <c r="B238" s="474"/>
      <c r="C238" s="484"/>
      <c r="D238" s="470"/>
      <c r="E238" s="472"/>
      <c r="F238" s="472"/>
      <c r="G238" s="72" t="s">
        <v>167</v>
      </c>
      <c r="H238" s="68">
        <f t="shared" si="299"/>
        <v>0</v>
      </c>
      <c r="I238" s="105"/>
      <c r="J238" s="106"/>
      <c r="K238" s="106"/>
      <c r="L238" s="106"/>
      <c r="M238" s="106"/>
      <c r="N238" s="106"/>
      <c r="O238" s="106"/>
      <c r="P238" s="106"/>
      <c r="Q238" s="106"/>
      <c r="R238" s="106"/>
      <c r="S238" s="106"/>
      <c r="T238" s="106"/>
      <c r="U238" s="106"/>
      <c r="V238" s="106"/>
      <c r="W238" s="106"/>
      <c r="X238" s="106"/>
      <c r="Y238" s="106"/>
      <c r="Z238" s="106"/>
      <c r="AA238" s="106"/>
      <c r="AB238" s="106"/>
      <c r="AC238" s="106"/>
      <c r="AD238" s="106"/>
      <c r="AE238" s="106"/>
      <c r="AF238" s="106"/>
      <c r="AG238" s="106"/>
      <c r="AH238" s="106"/>
      <c r="AI238" s="106"/>
      <c r="AJ238" s="106"/>
      <c r="AK238" s="106"/>
      <c r="AL238" s="106"/>
      <c r="AM238" s="106"/>
      <c r="AN238" s="106"/>
      <c r="AO238" s="106"/>
      <c r="AP238" s="106"/>
      <c r="AQ238" s="106"/>
      <c r="AR238" s="106"/>
      <c r="AS238" s="106"/>
      <c r="AT238" s="106"/>
      <c r="AU238" s="106"/>
      <c r="AV238" s="106"/>
      <c r="AW238" s="106"/>
      <c r="AX238" s="106"/>
      <c r="AY238" s="106"/>
      <c r="AZ238" s="106"/>
      <c r="BA238" s="106"/>
      <c r="BB238" s="106"/>
      <c r="BC238" s="106"/>
      <c r="BD238" s="106"/>
      <c r="BE238" s="106"/>
      <c r="BF238" s="107"/>
    </row>
    <row r="239" spans="1:58">
      <c r="A239" s="473">
        <f t="shared" si="262"/>
        <v>115</v>
      </c>
      <c r="B239" s="474"/>
      <c r="C239" s="483" t="s">
        <v>596</v>
      </c>
      <c r="D239" s="469">
        <f t="shared" ref="D239" si="307">SUM(I239:BF239)</f>
        <v>0</v>
      </c>
      <c r="E239" s="471" t="str">
        <f t="shared" ref="E239" si="308">IF(D239=0,"",H240/D239)</f>
        <v/>
      </c>
      <c r="F239" s="471" t="str">
        <f t="shared" ref="F239" si="309">IF(H239=0,"",H240/H239)</f>
        <v/>
      </c>
      <c r="G239" s="71" t="s">
        <v>168</v>
      </c>
      <c r="H239" s="67">
        <f t="shared" si="299"/>
        <v>0</v>
      </c>
      <c r="I239" s="112"/>
      <c r="J239" s="113"/>
      <c r="K239" s="113"/>
      <c r="L239" s="113"/>
      <c r="M239" s="113"/>
      <c r="N239" s="113"/>
      <c r="O239" s="113"/>
      <c r="P239" s="113"/>
      <c r="Q239" s="113"/>
      <c r="R239" s="113"/>
      <c r="S239" s="113"/>
      <c r="T239" s="113"/>
      <c r="U239" s="113"/>
      <c r="V239" s="113"/>
      <c r="W239" s="113"/>
      <c r="X239" s="113"/>
      <c r="Y239" s="113"/>
      <c r="Z239" s="113"/>
      <c r="AA239" s="113"/>
      <c r="AB239" s="113"/>
      <c r="AC239" s="113"/>
      <c r="AD239" s="113"/>
      <c r="AE239" s="113"/>
      <c r="AF239" s="113"/>
      <c r="AG239" s="113"/>
      <c r="AH239" s="113"/>
      <c r="AI239" s="113"/>
      <c r="AJ239" s="113"/>
      <c r="AK239" s="113"/>
      <c r="AL239" s="113"/>
      <c r="AM239" s="113"/>
      <c r="AN239" s="113"/>
      <c r="AO239" s="113"/>
      <c r="AP239" s="113"/>
      <c r="AQ239" s="113"/>
      <c r="AR239" s="113"/>
      <c r="AS239" s="113"/>
      <c r="AT239" s="113"/>
      <c r="AU239" s="113"/>
      <c r="AV239" s="113"/>
      <c r="AW239" s="113"/>
      <c r="AX239" s="113"/>
      <c r="AY239" s="113"/>
      <c r="AZ239" s="113"/>
      <c r="BA239" s="113"/>
      <c r="BB239" s="113"/>
      <c r="BC239" s="113"/>
      <c r="BD239" s="113"/>
      <c r="BE239" s="113"/>
      <c r="BF239" s="114"/>
    </row>
    <row r="240" spans="1:58">
      <c r="A240" s="475"/>
      <c r="B240" s="474"/>
      <c r="C240" s="484"/>
      <c r="D240" s="470"/>
      <c r="E240" s="472"/>
      <c r="F240" s="472"/>
      <c r="G240" s="72" t="s">
        <v>167</v>
      </c>
      <c r="H240" s="68">
        <f t="shared" si="299"/>
        <v>0</v>
      </c>
      <c r="I240" s="105"/>
      <c r="J240" s="106"/>
      <c r="K240" s="106"/>
      <c r="L240" s="106"/>
      <c r="M240" s="106"/>
      <c r="N240" s="106"/>
      <c r="O240" s="106"/>
      <c r="P240" s="106"/>
      <c r="Q240" s="106"/>
      <c r="R240" s="106"/>
      <c r="S240" s="106"/>
      <c r="T240" s="106"/>
      <c r="U240" s="106"/>
      <c r="V240" s="106"/>
      <c r="W240" s="106"/>
      <c r="X240" s="106"/>
      <c r="Y240" s="106"/>
      <c r="Z240" s="106"/>
      <c r="AA240" s="106"/>
      <c r="AB240" s="106"/>
      <c r="AC240" s="106"/>
      <c r="AD240" s="106"/>
      <c r="AE240" s="106"/>
      <c r="AF240" s="106"/>
      <c r="AG240" s="106"/>
      <c r="AH240" s="106"/>
      <c r="AI240" s="106"/>
      <c r="AJ240" s="106"/>
      <c r="AK240" s="106"/>
      <c r="AL240" s="106"/>
      <c r="AM240" s="106"/>
      <c r="AN240" s="106"/>
      <c r="AO240" s="106"/>
      <c r="AP240" s="106"/>
      <c r="AQ240" s="106"/>
      <c r="AR240" s="106"/>
      <c r="AS240" s="106"/>
      <c r="AT240" s="106"/>
      <c r="AU240" s="106"/>
      <c r="AV240" s="106"/>
      <c r="AW240" s="106"/>
      <c r="AX240" s="106"/>
      <c r="AY240" s="106"/>
      <c r="AZ240" s="106"/>
      <c r="BA240" s="106"/>
      <c r="BB240" s="106"/>
      <c r="BC240" s="106"/>
      <c r="BD240" s="106"/>
      <c r="BE240" s="106"/>
      <c r="BF240" s="107"/>
    </row>
    <row r="241" spans="1:58">
      <c r="A241" s="477">
        <f t="shared" si="262"/>
        <v>116</v>
      </c>
      <c r="B241" s="478"/>
      <c r="C241" s="476" t="s">
        <v>827</v>
      </c>
      <c r="D241" s="469">
        <f t="shared" ref="D241" si="310">SUM(I241:BF241)</f>
        <v>0</v>
      </c>
      <c r="E241" s="471" t="str">
        <f t="shared" ref="E241" si="311">IF(D241=0,"",H242/D241)</f>
        <v/>
      </c>
      <c r="F241" s="471" t="str">
        <f t="shared" ref="F241" si="312">IF(H241=0,"",H242/H241)</f>
        <v/>
      </c>
      <c r="G241" s="71" t="s">
        <v>168</v>
      </c>
      <c r="H241" s="67">
        <f t="shared" si="299"/>
        <v>0</v>
      </c>
      <c r="I241" s="312"/>
      <c r="J241" s="113"/>
      <c r="K241" s="113"/>
      <c r="L241" s="113"/>
      <c r="M241" s="113"/>
      <c r="N241" s="113"/>
      <c r="O241" s="113"/>
      <c r="P241" s="113"/>
      <c r="Q241" s="113"/>
      <c r="R241" s="113"/>
      <c r="S241" s="113"/>
      <c r="T241" s="113"/>
      <c r="U241" s="113"/>
      <c r="V241" s="113"/>
      <c r="W241" s="113"/>
      <c r="X241" s="113"/>
      <c r="Y241" s="113"/>
      <c r="Z241" s="113"/>
      <c r="AA241" s="113"/>
      <c r="AB241" s="113"/>
      <c r="AC241" s="113"/>
      <c r="AD241" s="113"/>
      <c r="AE241" s="113"/>
      <c r="AF241" s="113"/>
      <c r="AG241" s="113"/>
      <c r="AH241" s="113"/>
      <c r="AI241" s="113"/>
      <c r="AJ241" s="113"/>
      <c r="AK241" s="113"/>
      <c r="AL241" s="113"/>
      <c r="AM241" s="113"/>
      <c r="AN241" s="113"/>
      <c r="AO241" s="113"/>
      <c r="AP241" s="113"/>
      <c r="AQ241" s="113"/>
      <c r="AR241" s="113"/>
      <c r="AS241" s="113"/>
      <c r="AT241" s="113"/>
      <c r="AU241" s="113"/>
      <c r="AV241" s="113"/>
      <c r="AW241" s="113"/>
      <c r="AX241" s="113"/>
      <c r="AY241" s="113"/>
      <c r="AZ241" s="113"/>
      <c r="BA241" s="113"/>
      <c r="BB241" s="113"/>
      <c r="BC241" s="113"/>
      <c r="BD241" s="113"/>
      <c r="BE241" s="113"/>
      <c r="BF241" s="114"/>
    </row>
    <row r="242" spans="1:58">
      <c r="A242" s="479"/>
      <c r="B242" s="478"/>
      <c r="C242" s="468"/>
      <c r="D242" s="470"/>
      <c r="E242" s="472"/>
      <c r="F242" s="472"/>
      <c r="G242" s="72" t="s">
        <v>167</v>
      </c>
      <c r="H242" s="68">
        <f t="shared" si="299"/>
        <v>0</v>
      </c>
      <c r="I242" s="105"/>
      <c r="J242" s="106"/>
      <c r="K242" s="106"/>
      <c r="L242" s="106"/>
      <c r="M242" s="106"/>
      <c r="N242" s="106"/>
      <c r="O242" s="106"/>
      <c r="P242" s="106"/>
      <c r="Q242" s="106"/>
      <c r="R242" s="106"/>
      <c r="S242" s="106"/>
      <c r="T242" s="106"/>
      <c r="U242" s="106"/>
      <c r="V242" s="106"/>
      <c r="W242" s="106"/>
      <c r="X242" s="106"/>
      <c r="Y242" s="106"/>
      <c r="Z242" s="106"/>
      <c r="AA242" s="106"/>
      <c r="AB242" s="106"/>
      <c r="AC242" s="106"/>
      <c r="AD242" s="106"/>
      <c r="AE242" s="106"/>
      <c r="AF242" s="106"/>
      <c r="AG242" s="106"/>
      <c r="AH242" s="106"/>
      <c r="AI242" s="106"/>
      <c r="AJ242" s="106"/>
      <c r="AK242" s="106"/>
      <c r="AL242" s="106"/>
      <c r="AM242" s="106"/>
      <c r="AN242" s="106"/>
      <c r="AO242" s="106"/>
      <c r="AP242" s="106"/>
      <c r="AQ242" s="106"/>
      <c r="AR242" s="106"/>
      <c r="AS242" s="106"/>
      <c r="AT242" s="106"/>
      <c r="AU242" s="106"/>
      <c r="AV242" s="106"/>
      <c r="AW242" s="106"/>
      <c r="AX242" s="106"/>
      <c r="AY242" s="106"/>
      <c r="AZ242" s="106"/>
      <c r="BA242" s="106"/>
      <c r="BB242" s="106"/>
      <c r="BC242" s="106"/>
      <c r="BD242" s="106"/>
      <c r="BE242" s="106"/>
      <c r="BF242" s="107"/>
    </row>
    <row r="243" spans="1:58">
      <c r="A243" s="464">
        <f t="shared" si="262"/>
        <v>117</v>
      </c>
      <c r="B243" s="465"/>
      <c r="C243" s="476" t="s">
        <v>596</v>
      </c>
      <c r="D243" s="469">
        <f t="shared" ref="D243" si="313">SUM(I243:BF243)</f>
        <v>0</v>
      </c>
      <c r="E243" s="471" t="str">
        <f t="shared" ref="E243" si="314">IF(D243=0,"",H244/D243)</f>
        <v/>
      </c>
      <c r="F243" s="471" t="str">
        <f t="shared" ref="F243" si="315">IF(H243=0,"",H244/H243)</f>
        <v/>
      </c>
      <c r="G243" s="71" t="s">
        <v>168</v>
      </c>
      <c r="H243" s="67">
        <f t="shared" si="299"/>
        <v>0</v>
      </c>
      <c r="I243" s="112"/>
      <c r="J243" s="113"/>
      <c r="K243" s="113"/>
      <c r="L243" s="113"/>
      <c r="M243" s="113"/>
      <c r="N243" s="113"/>
      <c r="O243" s="113"/>
      <c r="P243" s="113"/>
      <c r="Q243" s="113"/>
      <c r="R243" s="113"/>
      <c r="S243" s="113"/>
      <c r="T243" s="113"/>
      <c r="U243" s="113"/>
      <c r="V243" s="113"/>
      <c r="W243" s="113"/>
      <c r="X243" s="113"/>
      <c r="Y243" s="113"/>
      <c r="Z243" s="113"/>
      <c r="AA243" s="113"/>
      <c r="AB243" s="113"/>
      <c r="AC243" s="113"/>
      <c r="AD243" s="113"/>
      <c r="AE243" s="113"/>
      <c r="AF243" s="113"/>
      <c r="AG243" s="113"/>
      <c r="AH243" s="113"/>
      <c r="AI243" s="113"/>
      <c r="AJ243" s="113"/>
      <c r="AK243" s="113"/>
      <c r="AL243" s="113"/>
      <c r="AM243" s="113"/>
      <c r="AN243" s="113"/>
      <c r="AO243" s="113"/>
      <c r="AP243" s="113"/>
      <c r="AQ243" s="113"/>
      <c r="AR243" s="113"/>
      <c r="AS243" s="113"/>
      <c r="AT243" s="113"/>
      <c r="AU243" s="113"/>
      <c r="AV243" s="113"/>
      <c r="AW243" s="113"/>
      <c r="AX243" s="113"/>
      <c r="AY243" s="113"/>
      <c r="AZ243" s="113"/>
      <c r="BA243" s="113"/>
      <c r="BB243" s="113"/>
      <c r="BC243" s="113"/>
      <c r="BD243" s="113"/>
      <c r="BE243" s="113"/>
      <c r="BF243" s="114"/>
    </row>
    <row r="244" spans="1:58">
      <c r="A244" s="466"/>
      <c r="B244" s="465"/>
      <c r="C244" s="468"/>
      <c r="D244" s="470"/>
      <c r="E244" s="472"/>
      <c r="F244" s="472"/>
      <c r="G244" s="72" t="s">
        <v>167</v>
      </c>
      <c r="H244" s="68">
        <f t="shared" si="299"/>
        <v>0</v>
      </c>
      <c r="I244" s="105"/>
      <c r="J244" s="106"/>
      <c r="K244" s="106"/>
      <c r="L244" s="106"/>
      <c r="M244" s="106"/>
      <c r="N244" s="106"/>
      <c r="O244" s="106"/>
      <c r="P244" s="106"/>
      <c r="Q244" s="106"/>
      <c r="R244" s="106"/>
      <c r="S244" s="106"/>
      <c r="T244" s="106"/>
      <c r="U244" s="106"/>
      <c r="V244" s="106"/>
      <c r="W244" s="106"/>
      <c r="X244" s="106"/>
      <c r="Y244" s="106"/>
      <c r="Z244" s="106"/>
      <c r="AA244" s="106"/>
      <c r="AB244" s="106"/>
      <c r="AC244" s="106"/>
      <c r="AD244" s="106"/>
      <c r="AE244" s="106"/>
      <c r="AF244" s="106"/>
      <c r="AG244" s="106"/>
      <c r="AH244" s="106"/>
      <c r="AI244" s="106"/>
      <c r="AJ244" s="106"/>
      <c r="AK244" s="106"/>
      <c r="AL244" s="106"/>
      <c r="AM244" s="106"/>
      <c r="AN244" s="106"/>
      <c r="AO244" s="106"/>
      <c r="AP244" s="106"/>
      <c r="AQ244" s="106"/>
      <c r="AR244" s="106"/>
      <c r="AS244" s="106"/>
      <c r="AT244" s="106"/>
      <c r="AU244" s="106"/>
      <c r="AV244" s="106"/>
      <c r="AW244" s="106"/>
      <c r="AX244" s="106"/>
      <c r="AY244" s="106"/>
      <c r="AZ244" s="106"/>
      <c r="BA244" s="106"/>
      <c r="BB244" s="106"/>
      <c r="BC244" s="106"/>
      <c r="BD244" s="106"/>
      <c r="BE244" s="106"/>
      <c r="BF244" s="107"/>
    </row>
    <row r="245" spans="1:58">
      <c r="A245" s="464">
        <f t="shared" si="262"/>
        <v>118</v>
      </c>
      <c r="B245" s="465"/>
      <c r="C245" s="476" t="s">
        <v>596</v>
      </c>
      <c r="D245" s="469">
        <f t="shared" ref="D245" si="316">SUM(I245:BF245)</f>
        <v>0</v>
      </c>
      <c r="E245" s="471" t="str">
        <f t="shared" ref="E245" si="317">IF(D245=0,"",H246/D245)</f>
        <v/>
      </c>
      <c r="F245" s="471" t="str">
        <f t="shared" ref="F245" si="318">IF(H245=0,"",H246/H245)</f>
        <v/>
      </c>
      <c r="G245" s="71" t="s">
        <v>168</v>
      </c>
      <c r="H245" s="67">
        <f t="shared" si="299"/>
        <v>0</v>
      </c>
      <c r="I245" s="112"/>
      <c r="J245" s="113"/>
      <c r="K245" s="113"/>
      <c r="L245" s="113"/>
      <c r="M245" s="113"/>
      <c r="N245" s="113"/>
      <c r="O245" s="113"/>
      <c r="P245" s="113"/>
      <c r="Q245" s="113"/>
      <c r="R245" s="113"/>
      <c r="S245" s="113"/>
      <c r="T245" s="113"/>
      <c r="U245" s="113"/>
      <c r="V245" s="113"/>
      <c r="W245" s="113"/>
      <c r="X245" s="113"/>
      <c r="Y245" s="113"/>
      <c r="Z245" s="113"/>
      <c r="AA245" s="113"/>
      <c r="AB245" s="113"/>
      <c r="AC245" s="113"/>
      <c r="AD245" s="113"/>
      <c r="AE245" s="113"/>
      <c r="AF245" s="113"/>
      <c r="AG245" s="113"/>
      <c r="AH245" s="113"/>
      <c r="AI245" s="113"/>
      <c r="AJ245" s="113"/>
      <c r="AK245" s="113"/>
      <c r="AL245" s="113"/>
      <c r="AM245" s="113"/>
      <c r="AN245" s="113"/>
      <c r="AO245" s="113"/>
      <c r="AP245" s="113"/>
      <c r="AQ245" s="113"/>
      <c r="AR245" s="113"/>
      <c r="AS245" s="113"/>
      <c r="AT245" s="113"/>
      <c r="AU245" s="113"/>
      <c r="AV245" s="113"/>
      <c r="AW245" s="113"/>
      <c r="AX245" s="113"/>
      <c r="AY245" s="113"/>
      <c r="AZ245" s="113"/>
      <c r="BA245" s="113"/>
      <c r="BB245" s="113"/>
      <c r="BC245" s="113"/>
      <c r="BD245" s="113"/>
      <c r="BE245" s="113"/>
      <c r="BF245" s="114"/>
    </row>
    <row r="246" spans="1:58">
      <c r="A246" s="466"/>
      <c r="B246" s="465"/>
      <c r="C246" s="468"/>
      <c r="D246" s="470"/>
      <c r="E246" s="472"/>
      <c r="F246" s="472"/>
      <c r="G246" s="72" t="s">
        <v>167</v>
      </c>
      <c r="H246" s="68">
        <f t="shared" si="299"/>
        <v>0</v>
      </c>
      <c r="I246" s="105"/>
      <c r="J246" s="106"/>
      <c r="K246" s="106"/>
      <c r="L246" s="106"/>
      <c r="M246" s="106"/>
      <c r="N246" s="106"/>
      <c r="O246" s="106"/>
      <c r="P246" s="106"/>
      <c r="Q246" s="106"/>
      <c r="R246" s="106"/>
      <c r="S246" s="106"/>
      <c r="T246" s="106"/>
      <c r="U246" s="106"/>
      <c r="V246" s="106"/>
      <c r="W246" s="106"/>
      <c r="X246" s="106"/>
      <c r="Y246" s="106"/>
      <c r="Z246" s="106"/>
      <c r="AA246" s="106"/>
      <c r="AB246" s="106"/>
      <c r="AC246" s="106"/>
      <c r="AD246" s="106"/>
      <c r="AE246" s="106"/>
      <c r="AF246" s="106"/>
      <c r="AG246" s="106"/>
      <c r="AH246" s="106"/>
      <c r="AI246" s="106"/>
      <c r="AJ246" s="106"/>
      <c r="AK246" s="106"/>
      <c r="AL246" s="106"/>
      <c r="AM246" s="106"/>
      <c r="AN246" s="106"/>
      <c r="AO246" s="106"/>
      <c r="AP246" s="106"/>
      <c r="AQ246" s="106"/>
      <c r="AR246" s="106"/>
      <c r="AS246" s="106"/>
      <c r="AT246" s="106"/>
      <c r="AU246" s="106"/>
      <c r="AV246" s="106"/>
      <c r="AW246" s="106"/>
      <c r="AX246" s="106"/>
      <c r="AY246" s="106"/>
      <c r="AZ246" s="106"/>
      <c r="BA246" s="106"/>
      <c r="BB246" s="106"/>
      <c r="BC246" s="106"/>
      <c r="BD246" s="106"/>
      <c r="BE246" s="106"/>
      <c r="BF246" s="107"/>
    </row>
    <row r="247" spans="1:58">
      <c r="A247" s="464">
        <f t="shared" si="262"/>
        <v>119</v>
      </c>
      <c r="B247" s="465"/>
      <c r="C247" s="476" t="s">
        <v>596</v>
      </c>
      <c r="D247" s="469">
        <f t="shared" ref="D247" si="319">SUM(I247:BF247)</f>
        <v>0</v>
      </c>
      <c r="E247" s="471" t="str">
        <f t="shared" ref="E247" si="320">IF(D247=0,"",H248/D247)</f>
        <v/>
      </c>
      <c r="F247" s="471" t="str">
        <f t="shared" ref="F247" si="321">IF(H247=0,"",H248/H247)</f>
        <v/>
      </c>
      <c r="G247" s="71" t="s">
        <v>168</v>
      </c>
      <c r="H247" s="67">
        <f t="shared" si="299"/>
        <v>0</v>
      </c>
      <c r="I247" s="112"/>
      <c r="J247" s="113"/>
      <c r="K247" s="113"/>
      <c r="L247" s="113"/>
      <c r="M247" s="113"/>
      <c r="N247" s="113"/>
      <c r="O247" s="113"/>
      <c r="P247" s="113"/>
      <c r="Q247" s="113"/>
      <c r="R247" s="113"/>
      <c r="S247" s="113"/>
      <c r="T247" s="113"/>
      <c r="U247" s="113"/>
      <c r="V247" s="113"/>
      <c r="W247" s="113"/>
      <c r="X247" s="113"/>
      <c r="Y247" s="113"/>
      <c r="Z247" s="113"/>
      <c r="AA247" s="113"/>
      <c r="AB247" s="113"/>
      <c r="AC247" s="113"/>
      <c r="AD247" s="113"/>
      <c r="AE247" s="113"/>
      <c r="AF247" s="113"/>
      <c r="AG247" s="113"/>
      <c r="AH247" s="113"/>
      <c r="AI247" s="113"/>
      <c r="AJ247" s="113"/>
      <c r="AK247" s="113"/>
      <c r="AL247" s="113"/>
      <c r="AM247" s="113"/>
      <c r="AN247" s="113"/>
      <c r="AO247" s="113"/>
      <c r="AP247" s="113"/>
      <c r="AQ247" s="113"/>
      <c r="AR247" s="113"/>
      <c r="AS247" s="113"/>
      <c r="AT247" s="113"/>
      <c r="AU247" s="113"/>
      <c r="AV247" s="113"/>
      <c r="AW247" s="113"/>
      <c r="AX247" s="113"/>
      <c r="AY247" s="113"/>
      <c r="AZ247" s="113"/>
      <c r="BA247" s="113"/>
      <c r="BB247" s="113"/>
      <c r="BC247" s="113"/>
      <c r="BD247" s="113"/>
      <c r="BE247" s="113"/>
      <c r="BF247" s="114"/>
    </row>
    <row r="248" spans="1:58">
      <c r="A248" s="466"/>
      <c r="B248" s="465"/>
      <c r="C248" s="468"/>
      <c r="D248" s="470"/>
      <c r="E248" s="472"/>
      <c r="F248" s="472"/>
      <c r="G248" s="72" t="s">
        <v>167</v>
      </c>
      <c r="H248" s="68">
        <f t="shared" si="299"/>
        <v>0</v>
      </c>
      <c r="I248" s="105"/>
      <c r="J248" s="106"/>
      <c r="K248" s="106"/>
      <c r="L248" s="106"/>
      <c r="M248" s="106"/>
      <c r="N248" s="106"/>
      <c r="O248" s="106"/>
      <c r="P248" s="106"/>
      <c r="Q248" s="106"/>
      <c r="R248" s="106"/>
      <c r="S248" s="106"/>
      <c r="T248" s="106"/>
      <c r="U248" s="106"/>
      <c r="V248" s="106"/>
      <c r="W248" s="106"/>
      <c r="X248" s="106"/>
      <c r="Y248" s="106"/>
      <c r="Z248" s="106"/>
      <c r="AA248" s="106"/>
      <c r="AB248" s="106"/>
      <c r="AC248" s="106"/>
      <c r="AD248" s="106"/>
      <c r="AE248" s="106"/>
      <c r="AF248" s="106"/>
      <c r="AG248" s="106"/>
      <c r="AH248" s="106"/>
      <c r="AI248" s="106"/>
      <c r="AJ248" s="106"/>
      <c r="AK248" s="106"/>
      <c r="AL248" s="106"/>
      <c r="AM248" s="106"/>
      <c r="AN248" s="106"/>
      <c r="AO248" s="106"/>
      <c r="AP248" s="106"/>
      <c r="AQ248" s="106"/>
      <c r="AR248" s="106"/>
      <c r="AS248" s="106"/>
      <c r="AT248" s="106"/>
      <c r="AU248" s="106"/>
      <c r="AV248" s="106"/>
      <c r="AW248" s="106"/>
      <c r="AX248" s="106"/>
      <c r="AY248" s="106"/>
      <c r="AZ248" s="106"/>
      <c r="BA248" s="106"/>
      <c r="BB248" s="106"/>
      <c r="BC248" s="106"/>
      <c r="BD248" s="106"/>
      <c r="BE248" s="106"/>
      <c r="BF248" s="107"/>
    </row>
    <row r="249" spans="1:58">
      <c r="A249" s="464">
        <f t="shared" si="262"/>
        <v>120</v>
      </c>
      <c r="B249" s="465"/>
      <c r="C249" s="476" t="s">
        <v>596</v>
      </c>
      <c r="D249" s="469">
        <f t="shared" ref="D249" si="322">SUM(I249:BF249)</f>
        <v>0</v>
      </c>
      <c r="E249" s="471" t="str">
        <f t="shared" ref="E249" si="323">IF(D249=0,"",H250/D249)</f>
        <v/>
      </c>
      <c r="F249" s="471" t="str">
        <f t="shared" ref="F249" si="324">IF(H249=0,"",H250/H249)</f>
        <v/>
      </c>
      <c r="G249" s="71" t="s">
        <v>168</v>
      </c>
      <c r="H249" s="67">
        <f t="shared" si="299"/>
        <v>0</v>
      </c>
      <c r="I249" s="112"/>
      <c r="J249" s="113"/>
      <c r="K249" s="113"/>
      <c r="L249" s="113"/>
      <c r="M249" s="113"/>
      <c r="N249" s="113"/>
      <c r="O249" s="113"/>
      <c r="P249" s="113"/>
      <c r="Q249" s="113"/>
      <c r="R249" s="113"/>
      <c r="S249" s="113"/>
      <c r="T249" s="113"/>
      <c r="U249" s="113"/>
      <c r="V249" s="113"/>
      <c r="W249" s="113"/>
      <c r="X249" s="113"/>
      <c r="Y249" s="113"/>
      <c r="Z249" s="113"/>
      <c r="AA249" s="113"/>
      <c r="AB249" s="113"/>
      <c r="AC249" s="113"/>
      <c r="AD249" s="113"/>
      <c r="AE249" s="113"/>
      <c r="AF249" s="113"/>
      <c r="AG249" s="113"/>
      <c r="AH249" s="113"/>
      <c r="AI249" s="113"/>
      <c r="AJ249" s="113"/>
      <c r="AK249" s="113"/>
      <c r="AL249" s="113"/>
      <c r="AM249" s="113"/>
      <c r="AN249" s="113"/>
      <c r="AO249" s="113"/>
      <c r="AP249" s="113"/>
      <c r="AQ249" s="113"/>
      <c r="AR249" s="113"/>
      <c r="AS249" s="113"/>
      <c r="AT249" s="113"/>
      <c r="AU249" s="113"/>
      <c r="AV249" s="113"/>
      <c r="AW249" s="113"/>
      <c r="AX249" s="113"/>
      <c r="AY249" s="113"/>
      <c r="AZ249" s="113"/>
      <c r="BA249" s="113"/>
      <c r="BB249" s="113"/>
      <c r="BC249" s="113"/>
      <c r="BD249" s="113"/>
      <c r="BE249" s="113"/>
      <c r="BF249" s="114"/>
    </row>
    <row r="250" spans="1:58">
      <c r="A250" s="466"/>
      <c r="B250" s="465"/>
      <c r="C250" s="468"/>
      <c r="D250" s="470"/>
      <c r="E250" s="472"/>
      <c r="F250" s="472"/>
      <c r="G250" s="72" t="s">
        <v>167</v>
      </c>
      <c r="H250" s="68">
        <f t="shared" si="299"/>
        <v>0</v>
      </c>
      <c r="I250" s="105"/>
      <c r="J250" s="106"/>
      <c r="K250" s="106"/>
      <c r="L250" s="106"/>
      <c r="M250" s="106"/>
      <c r="N250" s="106"/>
      <c r="O250" s="106"/>
      <c r="P250" s="106"/>
      <c r="Q250" s="106"/>
      <c r="R250" s="106"/>
      <c r="S250" s="106"/>
      <c r="T250" s="106"/>
      <c r="U250" s="106"/>
      <c r="V250" s="106"/>
      <c r="W250" s="106"/>
      <c r="X250" s="106"/>
      <c r="Y250" s="106"/>
      <c r="Z250" s="106"/>
      <c r="AA250" s="106"/>
      <c r="AB250" s="106"/>
      <c r="AC250" s="106"/>
      <c r="AD250" s="106"/>
      <c r="AE250" s="106"/>
      <c r="AF250" s="106"/>
      <c r="AG250" s="106"/>
      <c r="AH250" s="106"/>
      <c r="AI250" s="106"/>
      <c r="AJ250" s="106"/>
      <c r="AK250" s="106"/>
      <c r="AL250" s="106"/>
      <c r="AM250" s="106"/>
      <c r="AN250" s="106"/>
      <c r="AO250" s="106"/>
      <c r="AP250" s="106"/>
      <c r="AQ250" s="106"/>
      <c r="AR250" s="106"/>
      <c r="AS250" s="106"/>
      <c r="AT250" s="106"/>
      <c r="AU250" s="106"/>
      <c r="AV250" s="106"/>
      <c r="AW250" s="106"/>
      <c r="AX250" s="106"/>
      <c r="AY250" s="106"/>
      <c r="AZ250" s="106"/>
      <c r="BA250" s="106"/>
      <c r="BB250" s="106"/>
      <c r="BC250" s="106"/>
      <c r="BD250" s="106"/>
      <c r="BE250" s="106"/>
      <c r="BF250" s="107"/>
    </row>
    <row r="251" spans="1:58">
      <c r="A251" s="464">
        <f t="shared" si="262"/>
        <v>121</v>
      </c>
      <c r="B251" s="465"/>
      <c r="C251" s="476" t="s">
        <v>596</v>
      </c>
      <c r="D251" s="469">
        <f t="shared" ref="D251" si="325">SUM(I251:BF251)</f>
        <v>0</v>
      </c>
      <c r="E251" s="471" t="str">
        <f t="shared" ref="E251" si="326">IF(D251=0,"",H252/D251)</f>
        <v/>
      </c>
      <c r="F251" s="471" t="str">
        <f t="shared" ref="F251" si="327">IF(H251=0,"",H252/H251)</f>
        <v/>
      </c>
      <c r="G251" s="71" t="s">
        <v>168</v>
      </c>
      <c r="H251" s="67">
        <f t="shared" si="299"/>
        <v>0</v>
      </c>
      <c r="I251" s="112"/>
      <c r="J251" s="113"/>
      <c r="K251" s="113"/>
      <c r="L251" s="113"/>
      <c r="M251" s="113"/>
      <c r="N251" s="113"/>
      <c r="O251" s="113"/>
      <c r="P251" s="113"/>
      <c r="Q251" s="113"/>
      <c r="R251" s="113"/>
      <c r="S251" s="113"/>
      <c r="T251" s="113"/>
      <c r="U251" s="113"/>
      <c r="V251" s="113"/>
      <c r="W251" s="113"/>
      <c r="X251" s="113"/>
      <c r="Y251" s="113"/>
      <c r="Z251" s="113"/>
      <c r="AA251" s="113"/>
      <c r="AB251" s="113"/>
      <c r="AC251" s="113"/>
      <c r="AD251" s="113"/>
      <c r="AE251" s="113"/>
      <c r="AF251" s="113"/>
      <c r="AG251" s="113"/>
      <c r="AH251" s="113"/>
      <c r="AI251" s="113"/>
      <c r="AJ251" s="113"/>
      <c r="AK251" s="113"/>
      <c r="AL251" s="113"/>
      <c r="AM251" s="113"/>
      <c r="AN251" s="113"/>
      <c r="AO251" s="113"/>
      <c r="AP251" s="113"/>
      <c r="AQ251" s="113"/>
      <c r="AR251" s="113"/>
      <c r="AS251" s="113"/>
      <c r="AT251" s="113"/>
      <c r="AU251" s="113"/>
      <c r="AV251" s="113"/>
      <c r="AW251" s="113"/>
      <c r="AX251" s="113"/>
      <c r="AY251" s="113"/>
      <c r="AZ251" s="113"/>
      <c r="BA251" s="113"/>
      <c r="BB251" s="113"/>
      <c r="BC251" s="113"/>
      <c r="BD251" s="113"/>
      <c r="BE251" s="113"/>
      <c r="BF251" s="114"/>
    </row>
    <row r="252" spans="1:58">
      <c r="A252" s="466"/>
      <c r="B252" s="465"/>
      <c r="C252" s="468"/>
      <c r="D252" s="470"/>
      <c r="E252" s="472"/>
      <c r="F252" s="472"/>
      <c r="G252" s="72" t="s">
        <v>167</v>
      </c>
      <c r="H252" s="68">
        <f t="shared" si="299"/>
        <v>0</v>
      </c>
      <c r="I252" s="105"/>
      <c r="J252" s="106"/>
      <c r="K252" s="106"/>
      <c r="L252" s="106"/>
      <c r="M252" s="106"/>
      <c r="N252" s="106"/>
      <c r="O252" s="106"/>
      <c r="P252" s="106"/>
      <c r="Q252" s="106"/>
      <c r="R252" s="106"/>
      <c r="S252" s="106"/>
      <c r="T252" s="106"/>
      <c r="U252" s="106"/>
      <c r="V252" s="106"/>
      <c r="W252" s="106"/>
      <c r="X252" s="106"/>
      <c r="Y252" s="106"/>
      <c r="Z252" s="106"/>
      <c r="AA252" s="106"/>
      <c r="AB252" s="106"/>
      <c r="AC252" s="106"/>
      <c r="AD252" s="106"/>
      <c r="AE252" s="106"/>
      <c r="AF252" s="106"/>
      <c r="AG252" s="106"/>
      <c r="AH252" s="106"/>
      <c r="AI252" s="106"/>
      <c r="AJ252" s="106"/>
      <c r="AK252" s="106"/>
      <c r="AL252" s="106"/>
      <c r="AM252" s="106"/>
      <c r="AN252" s="106"/>
      <c r="AO252" s="106"/>
      <c r="AP252" s="106"/>
      <c r="AQ252" s="106"/>
      <c r="AR252" s="106"/>
      <c r="AS252" s="106"/>
      <c r="AT252" s="106"/>
      <c r="AU252" s="106"/>
      <c r="AV252" s="106"/>
      <c r="AW252" s="106"/>
      <c r="AX252" s="106"/>
      <c r="AY252" s="106"/>
      <c r="AZ252" s="106"/>
      <c r="BA252" s="106"/>
      <c r="BB252" s="106"/>
      <c r="BC252" s="106"/>
      <c r="BD252" s="106"/>
      <c r="BE252" s="106"/>
      <c r="BF252" s="107"/>
    </row>
    <row r="253" spans="1:58">
      <c r="A253" s="464">
        <f t="shared" si="262"/>
        <v>122</v>
      </c>
      <c r="B253" s="465"/>
      <c r="C253" s="476" t="s">
        <v>596</v>
      </c>
      <c r="D253" s="469">
        <f t="shared" ref="D253" si="328">SUM(I253:BF253)</f>
        <v>0</v>
      </c>
      <c r="E253" s="471" t="str">
        <f t="shared" ref="E253" si="329">IF(D253=0,"",H254/D253)</f>
        <v/>
      </c>
      <c r="F253" s="471" t="str">
        <f t="shared" ref="F253" si="330">IF(H253=0,"",H254/H253)</f>
        <v/>
      </c>
      <c r="G253" s="71" t="s">
        <v>168</v>
      </c>
      <c r="H253" s="67">
        <f t="shared" si="299"/>
        <v>0</v>
      </c>
      <c r="I253" s="112"/>
      <c r="J253" s="113"/>
      <c r="K253" s="113"/>
      <c r="L253" s="113"/>
      <c r="M253" s="113"/>
      <c r="N253" s="113"/>
      <c r="O253" s="113"/>
      <c r="P253" s="113"/>
      <c r="Q253" s="113"/>
      <c r="R253" s="113"/>
      <c r="S253" s="113"/>
      <c r="T253" s="113"/>
      <c r="U253" s="113"/>
      <c r="V253" s="113"/>
      <c r="W253" s="113"/>
      <c r="X253" s="113"/>
      <c r="Y253" s="113"/>
      <c r="Z253" s="113"/>
      <c r="AA253" s="113"/>
      <c r="AB253" s="113"/>
      <c r="AC253" s="113"/>
      <c r="AD253" s="113"/>
      <c r="AE253" s="113"/>
      <c r="AF253" s="113"/>
      <c r="AG253" s="113"/>
      <c r="AH253" s="113"/>
      <c r="AI253" s="113"/>
      <c r="AJ253" s="113"/>
      <c r="AK253" s="113"/>
      <c r="AL253" s="113"/>
      <c r="AM253" s="113"/>
      <c r="AN253" s="113"/>
      <c r="AO253" s="113"/>
      <c r="AP253" s="113"/>
      <c r="AQ253" s="113"/>
      <c r="AR253" s="113"/>
      <c r="AS253" s="113"/>
      <c r="AT253" s="113"/>
      <c r="AU253" s="113"/>
      <c r="AV253" s="113"/>
      <c r="AW253" s="113"/>
      <c r="AX253" s="113"/>
      <c r="AY253" s="113"/>
      <c r="AZ253" s="113"/>
      <c r="BA253" s="113"/>
      <c r="BB253" s="113"/>
      <c r="BC253" s="113"/>
      <c r="BD253" s="113"/>
      <c r="BE253" s="113"/>
      <c r="BF253" s="114"/>
    </row>
    <row r="254" spans="1:58">
      <c r="A254" s="466"/>
      <c r="B254" s="465"/>
      <c r="C254" s="468"/>
      <c r="D254" s="470"/>
      <c r="E254" s="472"/>
      <c r="F254" s="472"/>
      <c r="G254" s="72" t="s">
        <v>167</v>
      </c>
      <c r="H254" s="68">
        <f t="shared" si="299"/>
        <v>0</v>
      </c>
      <c r="I254" s="105"/>
      <c r="J254" s="106"/>
      <c r="K254" s="106"/>
      <c r="L254" s="106"/>
      <c r="M254" s="106"/>
      <c r="N254" s="106"/>
      <c r="O254" s="106"/>
      <c r="P254" s="106"/>
      <c r="Q254" s="106"/>
      <c r="R254" s="106"/>
      <c r="S254" s="106"/>
      <c r="T254" s="106"/>
      <c r="U254" s="106"/>
      <c r="V254" s="106"/>
      <c r="W254" s="106"/>
      <c r="X254" s="106"/>
      <c r="Y254" s="106"/>
      <c r="Z254" s="106"/>
      <c r="AA254" s="106"/>
      <c r="AB254" s="106"/>
      <c r="AC254" s="106"/>
      <c r="AD254" s="106"/>
      <c r="AE254" s="106"/>
      <c r="AF254" s="106"/>
      <c r="AG254" s="106"/>
      <c r="AH254" s="106"/>
      <c r="AI254" s="106"/>
      <c r="AJ254" s="106"/>
      <c r="AK254" s="106"/>
      <c r="AL254" s="106"/>
      <c r="AM254" s="106"/>
      <c r="AN254" s="106"/>
      <c r="AO254" s="106"/>
      <c r="AP254" s="106"/>
      <c r="AQ254" s="106"/>
      <c r="AR254" s="106"/>
      <c r="AS254" s="106"/>
      <c r="AT254" s="106"/>
      <c r="AU254" s="106"/>
      <c r="AV254" s="106"/>
      <c r="AW254" s="106"/>
      <c r="AX254" s="106"/>
      <c r="AY254" s="106"/>
      <c r="AZ254" s="106"/>
      <c r="BA254" s="106"/>
      <c r="BB254" s="106"/>
      <c r="BC254" s="106"/>
      <c r="BD254" s="106"/>
      <c r="BE254" s="106"/>
      <c r="BF254" s="107"/>
    </row>
    <row r="255" spans="1:58">
      <c r="A255" s="464">
        <f t="shared" si="262"/>
        <v>123</v>
      </c>
      <c r="B255" s="465"/>
      <c r="C255" s="476" t="s">
        <v>596</v>
      </c>
      <c r="D255" s="469">
        <f t="shared" ref="D255" si="331">SUM(I255:BF255)</f>
        <v>0</v>
      </c>
      <c r="E255" s="471" t="str">
        <f t="shared" ref="E255" si="332">IF(D255=0,"",H256/D255)</f>
        <v/>
      </c>
      <c r="F255" s="471" t="str">
        <f t="shared" ref="F255" si="333">IF(H255=0,"",H256/H255)</f>
        <v/>
      </c>
      <c r="G255" s="71" t="s">
        <v>168</v>
      </c>
      <c r="H255" s="67">
        <f t="shared" si="299"/>
        <v>0</v>
      </c>
      <c r="I255" s="112"/>
      <c r="J255" s="113"/>
      <c r="K255" s="113"/>
      <c r="L255" s="113"/>
      <c r="M255" s="113"/>
      <c r="N255" s="113"/>
      <c r="O255" s="113"/>
      <c r="P255" s="113"/>
      <c r="Q255" s="113"/>
      <c r="R255" s="113"/>
      <c r="S255" s="113"/>
      <c r="T255" s="113"/>
      <c r="U255" s="113"/>
      <c r="V255" s="113"/>
      <c r="W255" s="113"/>
      <c r="X255" s="113"/>
      <c r="Y255" s="113"/>
      <c r="Z255" s="113"/>
      <c r="AA255" s="113"/>
      <c r="AB255" s="113"/>
      <c r="AC255" s="113"/>
      <c r="AD255" s="113"/>
      <c r="AE255" s="113"/>
      <c r="AF255" s="113"/>
      <c r="AG255" s="113"/>
      <c r="AH255" s="113"/>
      <c r="AI255" s="113"/>
      <c r="AJ255" s="113"/>
      <c r="AK255" s="113"/>
      <c r="AL255" s="113"/>
      <c r="AM255" s="113"/>
      <c r="AN255" s="113"/>
      <c r="AO255" s="113"/>
      <c r="AP255" s="113"/>
      <c r="AQ255" s="113"/>
      <c r="AR255" s="113"/>
      <c r="AS255" s="113"/>
      <c r="AT255" s="113"/>
      <c r="AU255" s="113"/>
      <c r="AV255" s="113"/>
      <c r="AW255" s="113"/>
      <c r="AX255" s="113"/>
      <c r="AY255" s="113"/>
      <c r="AZ255" s="113"/>
      <c r="BA255" s="113"/>
      <c r="BB255" s="113"/>
      <c r="BC255" s="113"/>
      <c r="BD255" s="113"/>
      <c r="BE255" s="113"/>
      <c r="BF255" s="114"/>
    </row>
    <row r="256" spans="1:58">
      <c r="A256" s="466"/>
      <c r="B256" s="465"/>
      <c r="C256" s="468"/>
      <c r="D256" s="470"/>
      <c r="E256" s="472"/>
      <c r="F256" s="472"/>
      <c r="G256" s="72" t="s">
        <v>167</v>
      </c>
      <c r="H256" s="68">
        <f t="shared" si="299"/>
        <v>0</v>
      </c>
      <c r="I256" s="105"/>
      <c r="J256" s="106"/>
      <c r="K256" s="106"/>
      <c r="L256" s="106"/>
      <c r="M256" s="106"/>
      <c r="N256" s="106"/>
      <c r="O256" s="106"/>
      <c r="P256" s="106"/>
      <c r="Q256" s="106"/>
      <c r="R256" s="106"/>
      <c r="S256" s="106"/>
      <c r="T256" s="106"/>
      <c r="U256" s="106"/>
      <c r="V256" s="106"/>
      <c r="W256" s="106"/>
      <c r="X256" s="106"/>
      <c r="Y256" s="106"/>
      <c r="Z256" s="106"/>
      <c r="AA256" s="106"/>
      <c r="AB256" s="106"/>
      <c r="AC256" s="106"/>
      <c r="AD256" s="106"/>
      <c r="AE256" s="106"/>
      <c r="AF256" s="106"/>
      <c r="AG256" s="106"/>
      <c r="AH256" s="106"/>
      <c r="AI256" s="106"/>
      <c r="AJ256" s="106"/>
      <c r="AK256" s="106"/>
      <c r="AL256" s="106"/>
      <c r="AM256" s="106"/>
      <c r="AN256" s="106"/>
      <c r="AO256" s="106"/>
      <c r="AP256" s="106"/>
      <c r="AQ256" s="106"/>
      <c r="AR256" s="106"/>
      <c r="AS256" s="106"/>
      <c r="AT256" s="106"/>
      <c r="AU256" s="106"/>
      <c r="AV256" s="106"/>
      <c r="AW256" s="106"/>
      <c r="AX256" s="106"/>
      <c r="AY256" s="106"/>
      <c r="AZ256" s="106"/>
      <c r="BA256" s="106"/>
      <c r="BB256" s="106"/>
      <c r="BC256" s="106"/>
      <c r="BD256" s="106"/>
      <c r="BE256" s="106"/>
      <c r="BF256" s="107"/>
    </row>
    <row r="257" spans="1:58">
      <c r="A257" s="464">
        <f t="shared" si="262"/>
        <v>124</v>
      </c>
      <c r="B257" s="465"/>
      <c r="C257" s="476" t="s">
        <v>596</v>
      </c>
      <c r="D257" s="469">
        <f t="shared" ref="D257" si="334">SUM(I257:BF257)</f>
        <v>0</v>
      </c>
      <c r="E257" s="471" t="str">
        <f t="shared" ref="E257" si="335">IF(D257=0,"",H258/D257)</f>
        <v/>
      </c>
      <c r="F257" s="471" t="str">
        <f t="shared" ref="F257" si="336">IF(H257=0,"",H258/H257)</f>
        <v/>
      </c>
      <c r="G257" s="71" t="s">
        <v>168</v>
      </c>
      <c r="H257" s="67">
        <f t="shared" si="299"/>
        <v>0</v>
      </c>
      <c r="I257" s="112"/>
      <c r="J257" s="113"/>
      <c r="K257" s="113"/>
      <c r="L257" s="113"/>
      <c r="M257" s="113"/>
      <c r="N257" s="113"/>
      <c r="O257" s="113"/>
      <c r="P257" s="113"/>
      <c r="Q257" s="113"/>
      <c r="R257" s="113"/>
      <c r="S257" s="113"/>
      <c r="T257" s="113"/>
      <c r="U257" s="113"/>
      <c r="V257" s="113"/>
      <c r="W257" s="113"/>
      <c r="X257" s="113"/>
      <c r="Y257" s="113"/>
      <c r="Z257" s="113"/>
      <c r="AA257" s="113"/>
      <c r="AB257" s="113"/>
      <c r="AC257" s="113"/>
      <c r="AD257" s="113"/>
      <c r="AE257" s="113"/>
      <c r="AF257" s="113"/>
      <c r="AG257" s="113"/>
      <c r="AH257" s="113"/>
      <c r="AI257" s="113"/>
      <c r="AJ257" s="113"/>
      <c r="AK257" s="113"/>
      <c r="AL257" s="113"/>
      <c r="AM257" s="113"/>
      <c r="AN257" s="113"/>
      <c r="AO257" s="113"/>
      <c r="AP257" s="113"/>
      <c r="AQ257" s="113"/>
      <c r="AR257" s="113"/>
      <c r="AS257" s="113"/>
      <c r="AT257" s="113"/>
      <c r="AU257" s="113"/>
      <c r="AV257" s="113"/>
      <c r="AW257" s="113"/>
      <c r="AX257" s="113"/>
      <c r="AY257" s="113"/>
      <c r="AZ257" s="113"/>
      <c r="BA257" s="113"/>
      <c r="BB257" s="113"/>
      <c r="BC257" s="113"/>
      <c r="BD257" s="113"/>
      <c r="BE257" s="113"/>
      <c r="BF257" s="114"/>
    </row>
    <row r="258" spans="1:58">
      <c r="A258" s="466"/>
      <c r="B258" s="465"/>
      <c r="C258" s="468"/>
      <c r="D258" s="470"/>
      <c r="E258" s="472"/>
      <c r="F258" s="472"/>
      <c r="G258" s="72" t="s">
        <v>167</v>
      </c>
      <c r="H258" s="68">
        <f t="shared" si="299"/>
        <v>0</v>
      </c>
      <c r="I258" s="105"/>
      <c r="J258" s="106"/>
      <c r="K258" s="106"/>
      <c r="L258" s="106"/>
      <c r="M258" s="106"/>
      <c r="N258" s="106"/>
      <c r="O258" s="106"/>
      <c r="P258" s="106"/>
      <c r="Q258" s="106"/>
      <c r="R258" s="106"/>
      <c r="S258" s="106"/>
      <c r="T258" s="106"/>
      <c r="U258" s="106"/>
      <c r="V258" s="106"/>
      <c r="W258" s="106"/>
      <c r="X258" s="106"/>
      <c r="Y258" s="106"/>
      <c r="Z258" s="106"/>
      <c r="AA258" s="106"/>
      <c r="AB258" s="106"/>
      <c r="AC258" s="106"/>
      <c r="AD258" s="106"/>
      <c r="AE258" s="106"/>
      <c r="AF258" s="106"/>
      <c r="AG258" s="106"/>
      <c r="AH258" s="106"/>
      <c r="AI258" s="106"/>
      <c r="AJ258" s="106"/>
      <c r="AK258" s="106"/>
      <c r="AL258" s="106"/>
      <c r="AM258" s="106"/>
      <c r="AN258" s="106"/>
      <c r="AO258" s="106"/>
      <c r="AP258" s="106"/>
      <c r="AQ258" s="106"/>
      <c r="AR258" s="106"/>
      <c r="AS258" s="106"/>
      <c r="AT258" s="106"/>
      <c r="AU258" s="106"/>
      <c r="AV258" s="106"/>
      <c r="AW258" s="106"/>
      <c r="AX258" s="106"/>
      <c r="AY258" s="106"/>
      <c r="AZ258" s="106"/>
      <c r="BA258" s="106"/>
      <c r="BB258" s="106"/>
      <c r="BC258" s="106"/>
      <c r="BD258" s="106"/>
      <c r="BE258" s="106"/>
      <c r="BF258" s="107"/>
    </row>
    <row r="259" spans="1:58">
      <c r="A259" s="464">
        <f t="shared" si="262"/>
        <v>125</v>
      </c>
      <c r="B259" s="465"/>
      <c r="C259" s="476" t="s">
        <v>596</v>
      </c>
      <c r="D259" s="469">
        <f t="shared" ref="D259" si="337">SUM(I259:BF259)</f>
        <v>0</v>
      </c>
      <c r="E259" s="471" t="str">
        <f t="shared" ref="E259" si="338">IF(D259=0,"",H260/D259)</f>
        <v/>
      </c>
      <c r="F259" s="471" t="str">
        <f t="shared" ref="F259" si="339">IF(H259=0,"",H260/H259)</f>
        <v/>
      </c>
      <c r="G259" s="71" t="s">
        <v>168</v>
      </c>
      <c r="H259" s="67">
        <f t="shared" si="299"/>
        <v>0</v>
      </c>
      <c r="I259" s="112"/>
      <c r="J259" s="113"/>
      <c r="K259" s="113"/>
      <c r="L259" s="113"/>
      <c r="M259" s="113"/>
      <c r="N259" s="113"/>
      <c r="O259" s="113"/>
      <c r="P259" s="113"/>
      <c r="Q259" s="113"/>
      <c r="R259" s="113"/>
      <c r="S259" s="113"/>
      <c r="T259" s="113"/>
      <c r="U259" s="113"/>
      <c r="V259" s="113"/>
      <c r="W259" s="113"/>
      <c r="X259" s="113"/>
      <c r="Y259" s="113"/>
      <c r="Z259" s="113"/>
      <c r="AA259" s="113"/>
      <c r="AB259" s="113"/>
      <c r="AC259" s="113"/>
      <c r="AD259" s="113"/>
      <c r="AE259" s="113"/>
      <c r="AF259" s="113"/>
      <c r="AG259" s="113"/>
      <c r="AH259" s="113"/>
      <c r="AI259" s="113"/>
      <c r="AJ259" s="113"/>
      <c r="AK259" s="113"/>
      <c r="AL259" s="113"/>
      <c r="AM259" s="113"/>
      <c r="AN259" s="113"/>
      <c r="AO259" s="113"/>
      <c r="AP259" s="113"/>
      <c r="AQ259" s="113"/>
      <c r="AR259" s="113"/>
      <c r="AS259" s="113"/>
      <c r="AT259" s="113"/>
      <c r="AU259" s="113"/>
      <c r="AV259" s="113"/>
      <c r="AW259" s="113"/>
      <c r="AX259" s="113"/>
      <c r="AY259" s="113"/>
      <c r="AZ259" s="113"/>
      <c r="BA259" s="113"/>
      <c r="BB259" s="113"/>
      <c r="BC259" s="113"/>
      <c r="BD259" s="113"/>
      <c r="BE259" s="113"/>
      <c r="BF259" s="114"/>
    </row>
    <row r="260" spans="1:58">
      <c r="A260" s="466"/>
      <c r="B260" s="465"/>
      <c r="C260" s="468"/>
      <c r="D260" s="470"/>
      <c r="E260" s="472"/>
      <c r="F260" s="472"/>
      <c r="G260" s="72" t="s">
        <v>167</v>
      </c>
      <c r="H260" s="68">
        <f t="shared" si="299"/>
        <v>0</v>
      </c>
      <c r="I260" s="105"/>
      <c r="J260" s="106"/>
      <c r="K260" s="106"/>
      <c r="L260" s="106"/>
      <c r="M260" s="106"/>
      <c r="N260" s="106"/>
      <c r="O260" s="106"/>
      <c r="P260" s="106"/>
      <c r="Q260" s="106"/>
      <c r="R260" s="106"/>
      <c r="S260" s="106"/>
      <c r="T260" s="106"/>
      <c r="U260" s="106"/>
      <c r="V260" s="106"/>
      <c r="W260" s="106"/>
      <c r="X260" s="106"/>
      <c r="Y260" s="106"/>
      <c r="Z260" s="106"/>
      <c r="AA260" s="106"/>
      <c r="AB260" s="106"/>
      <c r="AC260" s="106"/>
      <c r="AD260" s="106"/>
      <c r="AE260" s="106"/>
      <c r="AF260" s="106"/>
      <c r="AG260" s="106"/>
      <c r="AH260" s="106"/>
      <c r="AI260" s="106"/>
      <c r="AJ260" s="106"/>
      <c r="AK260" s="106"/>
      <c r="AL260" s="106"/>
      <c r="AM260" s="106"/>
      <c r="AN260" s="106"/>
      <c r="AO260" s="106"/>
      <c r="AP260" s="106"/>
      <c r="AQ260" s="106"/>
      <c r="AR260" s="106"/>
      <c r="AS260" s="106"/>
      <c r="AT260" s="106"/>
      <c r="AU260" s="106"/>
      <c r="AV260" s="106"/>
      <c r="AW260" s="106"/>
      <c r="AX260" s="106"/>
      <c r="AY260" s="106"/>
      <c r="AZ260" s="106"/>
      <c r="BA260" s="106"/>
      <c r="BB260" s="106"/>
      <c r="BC260" s="106"/>
      <c r="BD260" s="106"/>
      <c r="BE260" s="106"/>
      <c r="BF260" s="107"/>
    </row>
    <row r="261" spans="1:58">
      <c r="A261" s="464">
        <f t="shared" si="262"/>
        <v>126</v>
      </c>
      <c r="B261" s="465"/>
      <c r="C261" s="476" t="s">
        <v>596</v>
      </c>
      <c r="D261" s="469">
        <f t="shared" ref="D261" si="340">SUM(I261:BF261)</f>
        <v>0</v>
      </c>
      <c r="E261" s="471" t="str">
        <f t="shared" ref="E261" si="341">IF(D261=0,"",H262/D261)</f>
        <v/>
      </c>
      <c r="F261" s="471" t="str">
        <f t="shared" ref="F261" si="342">IF(H261=0,"",H262/H261)</f>
        <v/>
      </c>
      <c r="G261" s="71" t="s">
        <v>168</v>
      </c>
      <c r="H261" s="67">
        <f t="shared" si="299"/>
        <v>0</v>
      </c>
      <c r="I261" s="112"/>
      <c r="J261" s="113"/>
      <c r="K261" s="113"/>
      <c r="L261" s="113"/>
      <c r="M261" s="113"/>
      <c r="N261" s="113"/>
      <c r="O261" s="113"/>
      <c r="P261" s="113"/>
      <c r="Q261" s="113"/>
      <c r="R261" s="113"/>
      <c r="S261" s="113"/>
      <c r="T261" s="113"/>
      <c r="U261" s="113"/>
      <c r="V261" s="113"/>
      <c r="W261" s="113"/>
      <c r="X261" s="113"/>
      <c r="Y261" s="113"/>
      <c r="Z261" s="113"/>
      <c r="AA261" s="113"/>
      <c r="AB261" s="113"/>
      <c r="AC261" s="113"/>
      <c r="AD261" s="113"/>
      <c r="AE261" s="113"/>
      <c r="AF261" s="113"/>
      <c r="AG261" s="113"/>
      <c r="AH261" s="113"/>
      <c r="AI261" s="113"/>
      <c r="AJ261" s="113"/>
      <c r="AK261" s="113"/>
      <c r="AL261" s="113"/>
      <c r="AM261" s="113"/>
      <c r="AN261" s="113"/>
      <c r="AO261" s="113"/>
      <c r="AP261" s="113"/>
      <c r="AQ261" s="113"/>
      <c r="AR261" s="113"/>
      <c r="AS261" s="113"/>
      <c r="AT261" s="113"/>
      <c r="AU261" s="113"/>
      <c r="AV261" s="113"/>
      <c r="AW261" s="113"/>
      <c r="AX261" s="113"/>
      <c r="AY261" s="113"/>
      <c r="AZ261" s="113"/>
      <c r="BA261" s="113"/>
      <c r="BB261" s="113"/>
      <c r="BC261" s="113"/>
      <c r="BD261" s="113"/>
      <c r="BE261" s="113"/>
      <c r="BF261" s="114"/>
    </row>
    <row r="262" spans="1:58">
      <c r="A262" s="466"/>
      <c r="B262" s="465"/>
      <c r="C262" s="468"/>
      <c r="D262" s="470"/>
      <c r="E262" s="472"/>
      <c r="F262" s="472"/>
      <c r="G262" s="72" t="s">
        <v>167</v>
      </c>
      <c r="H262" s="68">
        <f t="shared" si="299"/>
        <v>0</v>
      </c>
      <c r="I262" s="105"/>
      <c r="J262" s="106"/>
      <c r="K262" s="106"/>
      <c r="L262" s="106"/>
      <c r="M262" s="106"/>
      <c r="N262" s="106"/>
      <c r="O262" s="106"/>
      <c r="P262" s="106"/>
      <c r="Q262" s="106"/>
      <c r="R262" s="106"/>
      <c r="S262" s="106"/>
      <c r="T262" s="106"/>
      <c r="U262" s="106"/>
      <c r="V262" s="106"/>
      <c r="W262" s="106"/>
      <c r="X262" s="106"/>
      <c r="Y262" s="106"/>
      <c r="Z262" s="106"/>
      <c r="AA262" s="106"/>
      <c r="AB262" s="106"/>
      <c r="AC262" s="106"/>
      <c r="AD262" s="106"/>
      <c r="AE262" s="106"/>
      <c r="AF262" s="106"/>
      <c r="AG262" s="106"/>
      <c r="AH262" s="106"/>
      <c r="AI262" s="106"/>
      <c r="AJ262" s="106"/>
      <c r="AK262" s="106"/>
      <c r="AL262" s="106"/>
      <c r="AM262" s="106"/>
      <c r="AN262" s="106"/>
      <c r="AO262" s="106"/>
      <c r="AP262" s="106"/>
      <c r="AQ262" s="106"/>
      <c r="AR262" s="106"/>
      <c r="AS262" s="106"/>
      <c r="AT262" s="106"/>
      <c r="AU262" s="106"/>
      <c r="AV262" s="106"/>
      <c r="AW262" s="106"/>
      <c r="AX262" s="106"/>
      <c r="AY262" s="106"/>
      <c r="AZ262" s="106"/>
      <c r="BA262" s="106"/>
      <c r="BB262" s="106"/>
      <c r="BC262" s="106"/>
      <c r="BD262" s="106"/>
      <c r="BE262" s="106"/>
      <c r="BF262" s="107"/>
    </row>
    <row r="263" spans="1:58">
      <c r="A263" s="464">
        <f t="shared" si="262"/>
        <v>127</v>
      </c>
      <c r="B263" s="465"/>
      <c r="C263" s="476" t="s">
        <v>596</v>
      </c>
      <c r="D263" s="469">
        <f t="shared" ref="D263" si="343">SUM(I263:BF263)</f>
        <v>0</v>
      </c>
      <c r="E263" s="471" t="str">
        <f t="shared" ref="E263" si="344">IF(D263=0,"",H264/D263)</f>
        <v/>
      </c>
      <c r="F263" s="471" t="str">
        <f t="shared" ref="F263" si="345">IF(H263=0,"",H264/H263)</f>
        <v/>
      </c>
      <c r="G263" s="71" t="s">
        <v>168</v>
      </c>
      <c r="H263" s="67">
        <f t="shared" si="299"/>
        <v>0</v>
      </c>
      <c r="I263" s="112"/>
      <c r="J263" s="113"/>
      <c r="K263" s="113"/>
      <c r="L263" s="113"/>
      <c r="M263" s="113"/>
      <c r="N263" s="113"/>
      <c r="O263" s="113"/>
      <c r="P263" s="113"/>
      <c r="Q263" s="113"/>
      <c r="R263" s="113"/>
      <c r="S263" s="113"/>
      <c r="T263" s="113"/>
      <c r="U263" s="113"/>
      <c r="V263" s="113"/>
      <c r="W263" s="113"/>
      <c r="X263" s="113"/>
      <c r="Y263" s="113"/>
      <c r="Z263" s="113"/>
      <c r="AA263" s="113"/>
      <c r="AB263" s="113"/>
      <c r="AC263" s="113"/>
      <c r="AD263" s="113"/>
      <c r="AE263" s="113"/>
      <c r="AF263" s="113"/>
      <c r="AG263" s="113"/>
      <c r="AH263" s="113"/>
      <c r="AI263" s="113"/>
      <c r="AJ263" s="113"/>
      <c r="AK263" s="113"/>
      <c r="AL263" s="113"/>
      <c r="AM263" s="113"/>
      <c r="AN263" s="113"/>
      <c r="AO263" s="113"/>
      <c r="AP263" s="113"/>
      <c r="AQ263" s="113"/>
      <c r="AR263" s="113"/>
      <c r="AS263" s="113"/>
      <c r="AT263" s="113"/>
      <c r="AU263" s="113"/>
      <c r="AV263" s="113"/>
      <c r="AW263" s="113"/>
      <c r="AX263" s="113"/>
      <c r="AY263" s="113"/>
      <c r="AZ263" s="113"/>
      <c r="BA263" s="113"/>
      <c r="BB263" s="113"/>
      <c r="BC263" s="113"/>
      <c r="BD263" s="113"/>
      <c r="BE263" s="113"/>
      <c r="BF263" s="114"/>
    </row>
    <row r="264" spans="1:58">
      <c r="A264" s="466"/>
      <c r="B264" s="465"/>
      <c r="C264" s="468"/>
      <c r="D264" s="470"/>
      <c r="E264" s="472"/>
      <c r="F264" s="472"/>
      <c r="G264" s="72" t="s">
        <v>167</v>
      </c>
      <c r="H264" s="68">
        <f t="shared" si="299"/>
        <v>0</v>
      </c>
      <c r="I264" s="105"/>
      <c r="J264" s="106"/>
      <c r="K264" s="106"/>
      <c r="L264" s="106"/>
      <c r="M264" s="106"/>
      <c r="N264" s="106"/>
      <c r="O264" s="106"/>
      <c r="P264" s="106"/>
      <c r="Q264" s="106"/>
      <c r="R264" s="106"/>
      <c r="S264" s="106"/>
      <c r="T264" s="106"/>
      <c r="U264" s="106"/>
      <c r="V264" s="106"/>
      <c r="W264" s="106"/>
      <c r="X264" s="106"/>
      <c r="Y264" s="106"/>
      <c r="Z264" s="106"/>
      <c r="AA264" s="106"/>
      <c r="AB264" s="106"/>
      <c r="AC264" s="106"/>
      <c r="AD264" s="106"/>
      <c r="AE264" s="106"/>
      <c r="AF264" s="106"/>
      <c r="AG264" s="106"/>
      <c r="AH264" s="106"/>
      <c r="AI264" s="106"/>
      <c r="AJ264" s="106"/>
      <c r="AK264" s="106"/>
      <c r="AL264" s="106"/>
      <c r="AM264" s="106"/>
      <c r="AN264" s="106"/>
      <c r="AO264" s="106"/>
      <c r="AP264" s="106"/>
      <c r="AQ264" s="106"/>
      <c r="AR264" s="106"/>
      <c r="AS264" s="106"/>
      <c r="AT264" s="106"/>
      <c r="AU264" s="106"/>
      <c r="AV264" s="106"/>
      <c r="AW264" s="106"/>
      <c r="AX264" s="106"/>
      <c r="AY264" s="106"/>
      <c r="AZ264" s="106"/>
      <c r="BA264" s="106"/>
      <c r="BB264" s="106"/>
      <c r="BC264" s="106"/>
      <c r="BD264" s="106"/>
      <c r="BE264" s="106"/>
      <c r="BF264" s="107"/>
    </row>
    <row r="265" spans="1:58">
      <c r="A265" s="464">
        <f t="shared" si="262"/>
        <v>128</v>
      </c>
      <c r="B265" s="465"/>
      <c r="C265" s="476" t="s">
        <v>596</v>
      </c>
      <c r="D265" s="469">
        <f t="shared" ref="D265" si="346">SUM(I265:BF265)</f>
        <v>0</v>
      </c>
      <c r="E265" s="471" t="str">
        <f t="shared" ref="E265" si="347">IF(D265=0,"",H266/D265)</f>
        <v/>
      </c>
      <c r="F265" s="471" t="str">
        <f t="shared" ref="F265" si="348">IF(H265=0,"",H266/H265)</f>
        <v/>
      </c>
      <c r="G265" s="71" t="s">
        <v>168</v>
      </c>
      <c r="H265" s="67">
        <f t="shared" si="299"/>
        <v>0</v>
      </c>
      <c r="I265" s="112"/>
      <c r="J265" s="113"/>
      <c r="K265" s="113"/>
      <c r="L265" s="113"/>
      <c r="M265" s="113"/>
      <c r="N265" s="113"/>
      <c r="O265" s="113"/>
      <c r="P265" s="113"/>
      <c r="Q265" s="113"/>
      <c r="R265" s="113"/>
      <c r="S265" s="113"/>
      <c r="T265" s="113"/>
      <c r="U265" s="113"/>
      <c r="V265" s="113"/>
      <c r="W265" s="113"/>
      <c r="X265" s="113"/>
      <c r="Y265" s="113"/>
      <c r="Z265" s="113"/>
      <c r="AA265" s="113"/>
      <c r="AB265" s="113"/>
      <c r="AC265" s="113"/>
      <c r="AD265" s="113"/>
      <c r="AE265" s="113"/>
      <c r="AF265" s="113"/>
      <c r="AG265" s="113"/>
      <c r="AH265" s="113"/>
      <c r="AI265" s="113"/>
      <c r="AJ265" s="113"/>
      <c r="AK265" s="113"/>
      <c r="AL265" s="113"/>
      <c r="AM265" s="113"/>
      <c r="AN265" s="113"/>
      <c r="AO265" s="113"/>
      <c r="AP265" s="113"/>
      <c r="AQ265" s="113"/>
      <c r="AR265" s="113"/>
      <c r="AS265" s="113"/>
      <c r="AT265" s="113"/>
      <c r="AU265" s="113"/>
      <c r="AV265" s="113"/>
      <c r="AW265" s="113"/>
      <c r="AX265" s="113"/>
      <c r="AY265" s="113"/>
      <c r="AZ265" s="113"/>
      <c r="BA265" s="113"/>
      <c r="BB265" s="113"/>
      <c r="BC265" s="113"/>
      <c r="BD265" s="113"/>
      <c r="BE265" s="113"/>
      <c r="BF265" s="114"/>
    </row>
    <row r="266" spans="1:58">
      <c r="A266" s="466"/>
      <c r="B266" s="465"/>
      <c r="C266" s="468"/>
      <c r="D266" s="470"/>
      <c r="E266" s="472"/>
      <c r="F266" s="472"/>
      <c r="G266" s="72" t="s">
        <v>167</v>
      </c>
      <c r="H266" s="68">
        <f t="shared" si="299"/>
        <v>0</v>
      </c>
      <c r="I266" s="105"/>
      <c r="J266" s="106"/>
      <c r="K266" s="106"/>
      <c r="L266" s="106"/>
      <c r="M266" s="106"/>
      <c r="N266" s="106"/>
      <c r="O266" s="106"/>
      <c r="P266" s="106"/>
      <c r="Q266" s="106"/>
      <c r="R266" s="106"/>
      <c r="S266" s="106"/>
      <c r="T266" s="106"/>
      <c r="U266" s="106"/>
      <c r="V266" s="106"/>
      <c r="W266" s="106"/>
      <c r="X266" s="106"/>
      <c r="Y266" s="106"/>
      <c r="Z266" s="106"/>
      <c r="AA266" s="106"/>
      <c r="AB266" s="106"/>
      <c r="AC266" s="106"/>
      <c r="AD266" s="106"/>
      <c r="AE266" s="106"/>
      <c r="AF266" s="106"/>
      <c r="AG266" s="106"/>
      <c r="AH266" s="106"/>
      <c r="AI266" s="106"/>
      <c r="AJ266" s="106"/>
      <c r="AK266" s="106"/>
      <c r="AL266" s="106"/>
      <c r="AM266" s="106"/>
      <c r="AN266" s="106"/>
      <c r="AO266" s="106"/>
      <c r="AP266" s="106"/>
      <c r="AQ266" s="106"/>
      <c r="AR266" s="106"/>
      <c r="AS266" s="106"/>
      <c r="AT266" s="106"/>
      <c r="AU266" s="106"/>
      <c r="AV266" s="106"/>
      <c r="AW266" s="106"/>
      <c r="AX266" s="106"/>
      <c r="AY266" s="106"/>
      <c r="AZ266" s="106"/>
      <c r="BA266" s="106"/>
      <c r="BB266" s="106"/>
      <c r="BC266" s="106"/>
      <c r="BD266" s="106"/>
      <c r="BE266" s="106"/>
      <c r="BF266" s="107"/>
    </row>
    <row r="267" spans="1:58">
      <c r="A267" s="464">
        <f t="shared" si="262"/>
        <v>129</v>
      </c>
      <c r="B267" s="465"/>
      <c r="C267" s="476" t="s">
        <v>596</v>
      </c>
      <c r="D267" s="469">
        <f t="shared" ref="D267" si="349">SUM(I267:BF267)</f>
        <v>0</v>
      </c>
      <c r="E267" s="471" t="str">
        <f t="shared" ref="E267" si="350">IF(D267=0,"",H268/D267)</f>
        <v/>
      </c>
      <c r="F267" s="471" t="str">
        <f t="shared" ref="F267" si="351">IF(H267=0,"",H268/H267)</f>
        <v/>
      </c>
      <c r="G267" s="71" t="s">
        <v>168</v>
      </c>
      <c r="H267" s="67">
        <f t="shared" si="299"/>
        <v>0</v>
      </c>
      <c r="I267" s="112"/>
      <c r="J267" s="113"/>
      <c r="K267" s="113"/>
      <c r="L267" s="113"/>
      <c r="M267" s="113"/>
      <c r="N267" s="113"/>
      <c r="O267" s="113"/>
      <c r="P267" s="113"/>
      <c r="Q267" s="113"/>
      <c r="R267" s="113"/>
      <c r="S267" s="113"/>
      <c r="T267" s="113"/>
      <c r="U267" s="113"/>
      <c r="V267" s="113"/>
      <c r="W267" s="113"/>
      <c r="X267" s="113"/>
      <c r="Y267" s="113"/>
      <c r="Z267" s="113"/>
      <c r="AA267" s="113"/>
      <c r="AB267" s="113"/>
      <c r="AC267" s="113"/>
      <c r="AD267" s="113"/>
      <c r="AE267" s="113"/>
      <c r="AF267" s="113"/>
      <c r="AG267" s="113"/>
      <c r="AH267" s="113"/>
      <c r="AI267" s="113"/>
      <c r="AJ267" s="113"/>
      <c r="AK267" s="113"/>
      <c r="AL267" s="113"/>
      <c r="AM267" s="113"/>
      <c r="AN267" s="113"/>
      <c r="AO267" s="113"/>
      <c r="AP267" s="113"/>
      <c r="AQ267" s="113"/>
      <c r="AR267" s="113"/>
      <c r="AS267" s="113"/>
      <c r="AT267" s="113"/>
      <c r="AU267" s="113"/>
      <c r="AV267" s="113"/>
      <c r="AW267" s="113"/>
      <c r="AX267" s="113"/>
      <c r="AY267" s="113"/>
      <c r="AZ267" s="113"/>
      <c r="BA267" s="113"/>
      <c r="BB267" s="113"/>
      <c r="BC267" s="113"/>
      <c r="BD267" s="113"/>
      <c r="BE267" s="113"/>
      <c r="BF267" s="114"/>
    </row>
    <row r="268" spans="1:58">
      <c r="A268" s="466"/>
      <c r="B268" s="465"/>
      <c r="C268" s="468"/>
      <c r="D268" s="470"/>
      <c r="E268" s="472"/>
      <c r="F268" s="472"/>
      <c r="G268" s="72" t="s">
        <v>167</v>
      </c>
      <c r="H268" s="68">
        <f t="shared" si="299"/>
        <v>0</v>
      </c>
      <c r="I268" s="105"/>
      <c r="J268" s="106"/>
      <c r="K268" s="106"/>
      <c r="L268" s="106"/>
      <c r="M268" s="106"/>
      <c r="N268" s="106"/>
      <c r="O268" s="106"/>
      <c r="P268" s="106"/>
      <c r="Q268" s="106"/>
      <c r="R268" s="106"/>
      <c r="S268" s="106"/>
      <c r="T268" s="106"/>
      <c r="U268" s="106"/>
      <c r="V268" s="106"/>
      <c r="W268" s="106"/>
      <c r="X268" s="106"/>
      <c r="Y268" s="106"/>
      <c r="Z268" s="106"/>
      <c r="AA268" s="106"/>
      <c r="AB268" s="106"/>
      <c r="AC268" s="106"/>
      <c r="AD268" s="106"/>
      <c r="AE268" s="106"/>
      <c r="AF268" s="106"/>
      <c r="AG268" s="106"/>
      <c r="AH268" s="106"/>
      <c r="AI268" s="106"/>
      <c r="AJ268" s="106"/>
      <c r="AK268" s="106"/>
      <c r="AL268" s="106"/>
      <c r="AM268" s="106"/>
      <c r="AN268" s="106"/>
      <c r="AO268" s="106"/>
      <c r="AP268" s="106"/>
      <c r="AQ268" s="106"/>
      <c r="AR268" s="106"/>
      <c r="AS268" s="106"/>
      <c r="AT268" s="106"/>
      <c r="AU268" s="106"/>
      <c r="AV268" s="106"/>
      <c r="AW268" s="106"/>
      <c r="AX268" s="106"/>
      <c r="AY268" s="106"/>
      <c r="AZ268" s="106"/>
      <c r="BA268" s="106"/>
      <c r="BB268" s="106"/>
      <c r="BC268" s="106"/>
      <c r="BD268" s="106"/>
      <c r="BE268" s="106"/>
      <c r="BF268" s="107"/>
    </row>
    <row r="269" spans="1:58">
      <c r="A269" s="464">
        <f t="shared" si="262"/>
        <v>130</v>
      </c>
      <c r="B269" s="465"/>
      <c r="C269" s="476" t="s">
        <v>596</v>
      </c>
      <c r="D269" s="469">
        <f t="shared" ref="D269" si="352">SUM(I269:BF269)</f>
        <v>0</v>
      </c>
      <c r="E269" s="471" t="str">
        <f t="shared" ref="E269" si="353">IF(D269=0,"",H270/D269)</f>
        <v/>
      </c>
      <c r="F269" s="471" t="str">
        <f t="shared" ref="F269" si="354">IF(H269=0,"",H270/H269)</f>
        <v/>
      </c>
      <c r="G269" s="71" t="s">
        <v>168</v>
      </c>
      <c r="H269" s="67">
        <f t="shared" si="299"/>
        <v>0</v>
      </c>
      <c r="I269" s="112"/>
      <c r="J269" s="113"/>
      <c r="K269" s="113"/>
      <c r="L269" s="113"/>
      <c r="M269" s="113"/>
      <c r="N269" s="113"/>
      <c r="O269" s="113"/>
      <c r="P269" s="113"/>
      <c r="Q269" s="113"/>
      <c r="R269" s="113"/>
      <c r="S269" s="113"/>
      <c r="T269" s="113"/>
      <c r="U269" s="113"/>
      <c r="V269" s="113"/>
      <c r="W269" s="113"/>
      <c r="X269" s="113"/>
      <c r="Y269" s="113"/>
      <c r="Z269" s="113"/>
      <c r="AA269" s="113"/>
      <c r="AB269" s="113"/>
      <c r="AC269" s="113"/>
      <c r="AD269" s="113"/>
      <c r="AE269" s="113"/>
      <c r="AF269" s="113"/>
      <c r="AG269" s="113"/>
      <c r="AH269" s="113"/>
      <c r="AI269" s="113"/>
      <c r="AJ269" s="113"/>
      <c r="AK269" s="113"/>
      <c r="AL269" s="113"/>
      <c r="AM269" s="113"/>
      <c r="AN269" s="113"/>
      <c r="AO269" s="113"/>
      <c r="AP269" s="113"/>
      <c r="AQ269" s="113"/>
      <c r="AR269" s="113"/>
      <c r="AS269" s="113"/>
      <c r="AT269" s="113"/>
      <c r="AU269" s="113"/>
      <c r="AV269" s="113"/>
      <c r="AW269" s="113"/>
      <c r="AX269" s="113"/>
      <c r="AY269" s="113"/>
      <c r="AZ269" s="113"/>
      <c r="BA269" s="113"/>
      <c r="BB269" s="113"/>
      <c r="BC269" s="113"/>
      <c r="BD269" s="113"/>
      <c r="BE269" s="113"/>
      <c r="BF269" s="114"/>
    </row>
    <row r="270" spans="1:58">
      <c r="A270" s="466"/>
      <c r="B270" s="465"/>
      <c r="C270" s="468"/>
      <c r="D270" s="470"/>
      <c r="E270" s="472"/>
      <c r="F270" s="472"/>
      <c r="G270" s="72" t="s">
        <v>167</v>
      </c>
      <c r="H270" s="68">
        <f t="shared" si="299"/>
        <v>0</v>
      </c>
      <c r="I270" s="105"/>
      <c r="J270" s="106"/>
      <c r="K270" s="106"/>
      <c r="L270" s="106"/>
      <c r="M270" s="106"/>
      <c r="N270" s="106"/>
      <c r="O270" s="106"/>
      <c r="P270" s="106"/>
      <c r="Q270" s="106"/>
      <c r="R270" s="106"/>
      <c r="S270" s="106"/>
      <c r="T270" s="106"/>
      <c r="U270" s="106"/>
      <c r="V270" s="106"/>
      <c r="W270" s="106"/>
      <c r="X270" s="106"/>
      <c r="Y270" s="106"/>
      <c r="Z270" s="106"/>
      <c r="AA270" s="106"/>
      <c r="AB270" s="106"/>
      <c r="AC270" s="106"/>
      <c r="AD270" s="106"/>
      <c r="AE270" s="106"/>
      <c r="AF270" s="106"/>
      <c r="AG270" s="106"/>
      <c r="AH270" s="106"/>
      <c r="AI270" s="106"/>
      <c r="AJ270" s="106"/>
      <c r="AK270" s="106"/>
      <c r="AL270" s="106"/>
      <c r="AM270" s="106"/>
      <c r="AN270" s="106"/>
      <c r="AO270" s="106"/>
      <c r="AP270" s="106"/>
      <c r="AQ270" s="106"/>
      <c r="AR270" s="106"/>
      <c r="AS270" s="106"/>
      <c r="AT270" s="106"/>
      <c r="AU270" s="106"/>
      <c r="AV270" s="106"/>
      <c r="AW270" s="106"/>
      <c r="AX270" s="106"/>
      <c r="AY270" s="106"/>
      <c r="AZ270" s="106"/>
      <c r="BA270" s="106"/>
      <c r="BB270" s="106"/>
      <c r="BC270" s="106"/>
      <c r="BD270" s="106"/>
      <c r="BE270" s="106"/>
      <c r="BF270" s="107"/>
    </row>
    <row r="271" spans="1:58">
      <c r="A271" s="464">
        <f t="shared" si="262"/>
        <v>131</v>
      </c>
      <c r="B271" s="465"/>
      <c r="C271" s="476" t="s">
        <v>596</v>
      </c>
      <c r="D271" s="469">
        <f t="shared" ref="D271" si="355">SUM(I271:BF271)</f>
        <v>0</v>
      </c>
      <c r="E271" s="471" t="str">
        <f t="shared" ref="E271" si="356">IF(D271=0,"",H272/D271)</f>
        <v/>
      </c>
      <c r="F271" s="471" t="str">
        <f t="shared" ref="F271" si="357">IF(H271=0,"",H272/H271)</f>
        <v/>
      </c>
      <c r="G271" s="71" t="s">
        <v>168</v>
      </c>
      <c r="H271" s="67">
        <f t="shared" si="299"/>
        <v>0</v>
      </c>
      <c r="I271" s="112"/>
      <c r="J271" s="113"/>
      <c r="K271" s="113"/>
      <c r="L271" s="113"/>
      <c r="M271" s="113"/>
      <c r="N271" s="113"/>
      <c r="O271" s="113"/>
      <c r="P271" s="113"/>
      <c r="Q271" s="113"/>
      <c r="R271" s="113"/>
      <c r="S271" s="113"/>
      <c r="T271" s="113"/>
      <c r="U271" s="113"/>
      <c r="V271" s="113"/>
      <c r="W271" s="113"/>
      <c r="X271" s="113"/>
      <c r="Y271" s="113"/>
      <c r="Z271" s="113"/>
      <c r="AA271" s="113"/>
      <c r="AB271" s="113"/>
      <c r="AC271" s="113"/>
      <c r="AD271" s="113"/>
      <c r="AE271" s="113"/>
      <c r="AF271" s="113"/>
      <c r="AG271" s="113"/>
      <c r="AH271" s="113"/>
      <c r="AI271" s="113"/>
      <c r="AJ271" s="113"/>
      <c r="AK271" s="113"/>
      <c r="AL271" s="113"/>
      <c r="AM271" s="113"/>
      <c r="AN271" s="113"/>
      <c r="AO271" s="113"/>
      <c r="AP271" s="113"/>
      <c r="AQ271" s="113"/>
      <c r="AR271" s="113"/>
      <c r="AS271" s="113"/>
      <c r="AT271" s="113"/>
      <c r="AU271" s="113"/>
      <c r="AV271" s="113"/>
      <c r="AW271" s="113"/>
      <c r="AX271" s="113"/>
      <c r="AY271" s="113"/>
      <c r="AZ271" s="113"/>
      <c r="BA271" s="113"/>
      <c r="BB271" s="113"/>
      <c r="BC271" s="113"/>
      <c r="BD271" s="113"/>
      <c r="BE271" s="113"/>
      <c r="BF271" s="114"/>
    </row>
    <row r="272" spans="1:58">
      <c r="A272" s="466"/>
      <c r="B272" s="465"/>
      <c r="C272" s="468"/>
      <c r="D272" s="470"/>
      <c r="E272" s="472"/>
      <c r="F272" s="472"/>
      <c r="G272" s="72" t="s">
        <v>167</v>
      </c>
      <c r="H272" s="68">
        <f t="shared" si="299"/>
        <v>0</v>
      </c>
      <c r="I272" s="105"/>
      <c r="J272" s="106"/>
      <c r="K272" s="106"/>
      <c r="L272" s="106"/>
      <c r="M272" s="106"/>
      <c r="N272" s="106"/>
      <c r="O272" s="106"/>
      <c r="P272" s="106"/>
      <c r="Q272" s="106"/>
      <c r="R272" s="106"/>
      <c r="S272" s="106"/>
      <c r="T272" s="106"/>
      <c r="U272" s="106"/>
      <c r="V272" s="106"/>
      <c r="W272" s="106"/>
      <c r="X272" s="106"/>
      <c r="Y272" s="106"/>
      <c r="Z272" s="106"/>
      <c r="AA272" s="106"/>
      <c r="AB272" s="106"/>
      <c r="AC272" s="106"/>
      <c r="AD272" s="106"/>
      <c r="AE272" s="106"/>
      <c r="AF272" s="106"/>
      <c r="AG272" s="106"/>
      <c r="AH272" s="106"/>
      <c r="AI272" s="106"/>
      <c r="AJ272" s="106"/>
      <c r="AK272" s="106"/>
      <c r="AL272" s="106"/>
      <c r="AM272" s="106"/>
      <c r="AN272" s="106"/>
      <c r="AO272" s="106"/>
      <c r="AP272" s="106"/>
      <c r="AQ272" s="106"/>
      <c r="AR272" s="106"/>
      <c r="AS272" s="106"/>
      <c r="AT272" s="106"/>
      <c r="AU272" s="106"/>
      <c r="AV272" s="106"/>
      <c r="AW272" s="106"/>
      <c r="AX272" s="106"/>
      <c r="AY272" s="106"/>
      <c r="AZ272" s="106"/>
      <c r="BA272" s="106"/>
      <c r="BB272" s="106"/>
      <c r="BC272" s="106"/>
      <c r="BD272" s="106"/>
      <c r="BE272" s="106"/>
      <c r="BF272" s="107"/>
    </row>
    <row r="273" spans="1:58">
      <c r="A273" s="464">
        <f t="shared" ref="A273:A335" si="358">A271+1</f>
        <v>132</v>
      </c>
      <c r="B273" s="465"/>
      <c r="C273" s="476" t="s">
        <v>596</v>
      </c>
      <c r="D273" s="469">
        <f t="shared" ref="D273" si="359">SUM(I273:BF273)</f>
        <v>0</v>
      </c>
      <c r="E273" s="471" t="str">
        <f t="shared" ref="E273" si="360">IF(D273=0,"",H274/D273)</f>
        <v/>
      </c>
      <c r="F273" s="471" t="str">
        <f t="shared" ref="F273" si="361">IF(H273=0,"",H274/H273)</f>
        <v/>
      </c>
      <c r="G273" s="71" t="s">
        <v>168</v>
      </c>
      <c r="H273" s="67">
        <f t="shared" si="299"/>
        <v>0</v>
      </c>
      <c r="I273" s="112"/>
      <c r="J273" s="113"/>
      <c r="K273" s="113"/>
      <c r="L273" s="113"/>
      <c r="M273" s="113"/>
      <c r="N273" s="113"/>
      <c r="O273" s="113"/>
      <c r="P273" s="113"/>
      <c r="Q273" s="113"/>
      <c r="R273" s="113"/>
      <c r="S273" s="113"/>
      <c r="T273" s="113"/>
      <c r="U273" s="113"/>
      <c r="V273" s="113"/>
      <c r="W273" s="113"/>
      <c r="X273" s="113"/>
      <c r="Y273" s="113"/>
      <c r="Z273" s="113"/>
      <c r="AA273" s="113"/>
      <c r="AB273" s="113"/>
      <c r="AC273" s="113"/>
      <c r="AD273" s="113"/>
      <c r="AE273" s="113"/>
      <c r="AF273" s="113"/>
      <c r="AG273" s="113"/>
      <c r="AH273" s="113"/>
      <c r="AI273" s="113"/>
      <c r="AJ273" s="113"/>
      <c r="AK273" s="113"/>
      <c r="AL273" s="113"/>
      <c r="AM273" s="113"/>
      <c r="AN273" s="113"/>
      <c r="AO273" s="113"/>
      <c r="AP273" s="113"/>
      <c r="AQ273" s="113"/>
      <c r="AR273" s="113"/>
      <c r="AS273" s="113"/>
      <c r="AT273" s="113"/>
      <c r="AU273" s="113"/>
      <c r="AV273" s="113"/>
      <c r="AW273" s="113"/>
      <c r="AX273" s="113"/>
      <c r="AY273" s="113"/>
      <c r="AZ273" s="113"/>
      <c r="BA273" s="113"/>
      <c r="BB273" s="113"/>
      <c r="BC273" s="113"/>
      <c r="BD273" s="113"/>
      <c r="BE273" s="113"/>
      <c r="BF273" s="114"/>
    </row>
    <row r="274" spans="1:58">
      <c r="A274" s="466"/>
      <c r="B274" s="465"/>
      <c r="C274" s="468"/>
      <c r="D274" s="470"/>
      <c r="E274" s="472"/>
      <c r="F274" s="472"/>
      <c r="G274" s="72" t="s">
        <v>167</v>
      </c>
      <c r="H274" s="68">
        <f t="shared" si="299"/>
        <v>0</v>
      </c>
      <c r="I274" s="105"/>
      <c r="J274" s="106"/>
      <c r="K274" s="106"/>
      <c r="L274" s="106"/>
      <c r="M274" s="106"/>
      <c r="N274" s="106"/>
      <c r="O274" s="106"/>
      <c r="P274" s="106"/>
      <c r="Q274" s="106"/>
      <c r="R274" s="106"/>
      <c r="S274" s="106"/>
      <c r="T274" s="106"/>
      <c r="U274" s="106"/>
      <c r="V274" s="106"/>
      <c r="W274" s="106"/>
      <c r="X274" s="106"/>
      <c r="Y274" s="106"/>
      <c r="Z274" s="106"/>
      <c r="AA274" s="106"/>
      <c r="AB274" s="106"/>
      <c r="AC274" s="106"/>
      <c r="AD274" s="106"/>
      <c r="AE274" s="106"/>
      <c r="AF274" s="106"/>
      <c r="AG274" s="106"/>
      <c r="AH274" s="106"/>
      <c r="AI274" s="106"/>
      <c r="AJ274" s="106"/>
      <c r="AK274" s="106"/>
      <c r="AL274" s="106"/>
      <c r="AM274" s="106"/>
      <c r="AN274" s="106"/>
      <c r="AO274" s="106"/>
      <c r="AP274" s="106"/>
      <c r="AQ274" s="106"/>
      <c r="AR274" s="106"/>
      <c r="AS274" s="106"/>
      <c r="AT274" s="106"/>
      <c r="AU274" s="106"/>
      <c r="AV274" s="106"/>
      <c r="AW274" s="106"/>
      <c r="AX274" s="106"/>
      <c r="AY274" s="106"/>
      <c r="AZ274" s="106"/>
      <c r="BA274" s="106"/>
      <c r="BB274" s="106"/>
      <c r="BC274" s="106"/>
      <c r="BD274" s="106"/>
      <c r="BE274" s="106"/>
      <c r="BF274" s="107"/>
    </row>
    <row r="275" spans="1:58">
      <c r="A275" s="464">
        <f t="shared" si="358"/>
        <v>133</v>
      </c>
      <c r="B275" s="465"/>
      <c r="C275" s="476" t="s">
        <v>596</v>
      </c>
      <c r="D275" s="469">
        <f t="shared" ref="D275" si="362">SUM(I275:BF275)</f>
        <v>0</v>
      </c>
      <c r="E275" s="471" t="str">
        <f t="shared" ref="E275" si="363">IF(D275=0,"",H276/D275)</f>
        <v/>
      </c>
      <c r="F275" s="471" t="str">
        <f t="shared" ref="F275" si="364">IF(H275=0,"",H276/H275)</f>
        <v/>
      </c>
      <c r="G275" s="71" t="s">
        <v>168</v>
      </c>
      <c r="H275" s="67">
        <f t="shared" si="299"/>
        <v>0</v>
      </c>
      <c r="I275" s="112"/>
      <c r="J275" s="113"/>
      <c r="K275" s="113"/>
      <c r="L275" s="113"/>
      <c r="M275" s="113"/>
      <c r="N275" s="113"/>
      <c r="O275" s="113"/>
      <c r="P275" s="113"/>
      <c r="Q275" s="113"/>
      <c r="R275" s="113"/>
      <c r="S275" s="113"/>
      <c r="T275" s="113"/>
      <c r="U275" s="113"/>
      <c r="V275" s="113"/>
      <c r="W275" s="113"/>
      <c r="X275" s="113"/>
      <c r="Y275" s="113"/>
      <c r="Z275" s="113"/>
      <c r="AA275" s="113"/>
      <c r="AB275" s="113"/>
      <c r="AC275" s="113"/>
      <c r="AD275" s="113"/>
      <c r="AE275" s="113"/>
      <c r="AF275" s="113"/>
      <c r="AG275" s="113"/>
      <c r="AH275" s="113"/>
      <c r="AI275" s="113"/>
      <c r="AJ275" s="113"/>
      <c r="AK275" s="113"/>
      <c r="AL275" s="113"/>
      <c r="AM275" s="113"/>
      <c r="AN275" s="113"/>
      <c r="AO275" s="113"/>
      <c r="AP275" s="113"/>
      <c r="AQ275" s="113"/>
      <c r="AR275" s="113"/>
      <c r="AS275" s="113"/>
      <c r="AT275" s="113"/>
      <c r="AU275" s="113"/>
      <c r="AV275" s="113"/>
      <c r="AW275" s="113"/>
      <c r="AX275" s="113"/>
      <c r="AY275" s="113"/>
      <c r="AZ275" s="113"/>
      <c r="BA275" s="113"/>
      <c r="BB275" s="113"/>
      <c r="BC275" s="113"/>
      <c r="BD275" s="113"/>
      <c r="BE275" s="113"/>
      <c r="BF275" s="114"/>
    </row>
    <row r="276" spans="1:58">
      <c r="A276" s="466"/>
      <c r="B276" s="465"/>
      <c r="C276" s="468"/>
      <c r="D276" s="470"/>
      <c r="E276" s="472"/>
      <c r="F276" s="472"/>
      <c r="G276" s="72" t="s">
        <v>167</v>
      </c>
      <c r="H276" s="68">
        <f t="shared" si="299"/>
        <v>0</v>
      </c>
      <c r="I276" s="105"/>
      <c r="J276" s="106"/>
      <c r="K276" s="106"/>
      <c r="L276" s="106"/>
      <c r="M276" s="106"/>
      <c r="N276" s="106"/>
      <c r="O276" s="106"/>
      <c r="P276" s="106"/>
      <c r="Q276" s="106"/>
      <c r="R276" s="106"/>
      <c r="S276" s="106"/>
      <c r="T276" s="106"/>
      <c r="U276" s="106"/>
      <c r="V276" s="106"/>
      <c r="W276" s="106"/>
      <c r="X276" s="106"/>
      <c r="Y276" s="106"/>
      <c r="Z276" s="106"/>
      <c r="AA276" s="106"/>
      <c r="AB276" s="106"/>
      <c r="AC276" s="106"/>
      <c r="AD276" s="106"/>
      <c r="AE276" s="106"/>
      <c r="AF276" s="106"/>
      <c r="AG276" s="106"/>
      <c r="AH276" s="106"/>
      <c r="AI276" s="106"/>
      <c r="AJ276" s="106"/>
      <c r="AK276" s="106"/>
      <c r="AL276" s="106"/>
      <c r="AM276" s="106"/>
      <c r="AN276" s="106"/>
      <c r="AO276" s="106"/>
      <c r="AP276" s="106"/>
      <c r="AQ276" s="106"/>
      <c r="AR276" s="106"/>
      <c r="AS276" s="106"/>
      <c r="AT276" s="106"/>
      <c r="AU276" s="106"/>
      <c r="AV276" s="106"/>
      <c r="AW276" s="106"/>
      <c r="AX276" s="106"/>
      <c r="AY276" s="106"/>
      <c r="AZ276" s="106"/>
      <c r="BA276" s="106"/>
      <c r="BB276" s="106"/>
      <c r="BC276" s="106"/>
      <c r="BD276" s="106"/>
      <c r="BE276" s="106"/>
      <c r="BF276" s="107"/>
    </row>
    <row r="277" spans="1:58">
      <c r="A277" s="464">
        <f t="shared" si="358"/>
        <v>134</v>
      </c>
      <c r="B277" s="465"/>
      <c r="C277" s="476" t="s">
        <v>596</v>
      </c>
      <c r="D277" s="469">
        <f t="shared" ref="D277" si="365">SUM(I277:BF277)</f>
        <v>0</v>
      </c>
      <c r="E277" s="471" t="str">
        <f t="shared" ref="E277" si="366">IF(D277=0,"",H278/D277)</f>
        <v/>
      </c>
      <c r="F277" s="471" t="str">
        <f t="shared" ref="F277" si="367">IF(H277=0,"",H278/H277)</f>
        <v/>
      </c>
      <c r="G277" s="71" t="s">
        <v>168</v>
      </c>
      <c r="H277" s="67">
        <f t="shared" si="299"/>
        <v>0</v>
      </c>
      <c r="I277" s="112"/>
      <c r="J277" s="113"/>
      <c r="K277" s="113"/>
      <c r="L277" s="113"/>
      <c r="M277" s="113"/>
      <c r="N277" s="113"/>
      <c r="O277" s="113"/>
      <c r="P277" s="113"/>
      <c r="Q277" s="113"/>
      <c r="R277" s="113"/>
      <c r="S277" s="113"/>
      <c r="T277" s="113"/>
      <c r="U277" s="113"/>
      <c r="V277" s="113"/>
      <c r="W277" s="113"/>
      <c r="X277" s="113"/>
      <c r="Y277" s="113"/>
      <c r="Z277" s="113"/>
      <c r="AA277" s="113"/>
      <c r="AB277" s="113"/>
      <c r="AC277" s="113"/>
      <c r="AD277" s="113"/>
      <c r="AE277" s="113"/>
      <c r="AF277" s="113"/>
      <c r="AG277" s="113"/>
      <c r="AH277" s="113"/>
      <c r="AI277" s="113"/>
      <c r="AJ277" s="113"/>
      <c r="AK277" s="113"/>
      <c r="AL277" s="113"/>
      <c r="AM277" s="113"/>
      <c r="AN277" s="113"/>
      <c r="AO277" s="113"/>
      <c r="AP277" s="113"/>
      <c r="AQ277" s="113"/>
      <c r="AR277" s="113"/>
      <c r="AS277" s="113"/>
      <c r="AT277" s="113"/>
      <c r="AU277" s="113"/>
      <c r="AV277" s="113"/>
      <c r="AW277" s="113"/>
      <c r="AX277" s="113"/>
      <c r="AY277" s="113"/>
      <c r="AZ277" s="113"/>
      <c r="BA277" s="113"/>
      <c r="BB277" s="113"/>
      <c r="BC277" s="113"/>
      <c r="BD277" s="113"/>
      <c r="BE277" s="113"/>
      <c r="BF277" s="114"/>
    </row>
    <row r="278" spans="1:58">
      <c r="A278" s="466"/>
      <c r="B278" s="465"/>
      <c r="C278" s="468"/>
      <c r="D278" s="470"/>
      <c r="E278" s="472"/>
      <c r="F278" s="472"/>
      <c r="G278" s="72" t="s">
        <v>167</v>
      </c>
      <c r="H278" s="68">
        <f t="shared" si="299"/>
        <v>0</v>
      </c>
      <c r="I278" s="105"/>
      <c r="J278" s="106"/>
      <c r="K278" s="106"/>
      <c r="L278" s="106"/>
      <c r="M278" s="106"/>
      <c r="N278" s="106"/>
      <c r="O278" s="106"/>
      <c r="P278" s="106"/>
      <c r="Q278" s="106"/>
      <c r="R278" s="106"/>
      <c r="S278" s="106"/>
      <c r="T278" s="106"/>
      <c r="U278" s="106"/>
      <c r="V278" s="106"/>
      <c r="W278" s="106"/>
      <c r="X278" s="106"/>
      <c r="Y278" s="106"/>
      <c r="Z278" s="106"/>
      <c r="AA278" s="106"/>
      <c r="AB278" s="106"/>
      <c r="AC278" s="106"/>
      <c r="AD278" s="106"/>
      <c r="AE278" s="106"/>
      <c r="AF278" s="106"/>
      <c r="AG278" s="106"/>
      <c r="AH278" s="106"/>
      <c r="AI278" s="106"/>
      <c r="AJ278" s="106"/>
      <c r="AK278" s="106"/>
      <c r="AL278" s="106"/>
      <c r="AM278" s="106"/>
      <c r="AN278" s="106"/>
      <c r="AO278" s="106"/>
      <c r="AP278" s="106"/>
      <c r="AQ278" s="106"/>
      <c r="AR278" s="106"/>
      <c r="AS278" s="106"/>
      <c r="AT278" s="106"/>
      <c r="AU278" s="106"/>
      <c r="AV278" s="106"/>
      <c r="AW278" s="106"/>
      <c r="AX278" s="106"/>
      <c r="AY278" s="106"/>
      <c r="AZ278" s="106"/>
      <c r="BA278" s="106"/>
      <c r="BB278" s="106"/>
      <c r="BC278" s="106"/>
      <c r="BD278" s="106"/>
      <c r="BE278" s="106"/>
      <c r="BF278" s="107"/>
    </row>
    <row r="279" spans="1:58">
      <c r="A279" s="464">
        <f t="shared" si="358"/>
        <v>135</v>
      </c>
      <c r="B279" s="465"/>
      <c r="C279" s="476" t="s">
        <v>596</v>
      </c>
      <c r="D279" s="469">
        <f t="shared" ref="D279" si="368">SUM(I279:BF279)</f>
        <v>0</v>
      </c>
      <c r="E279" s="471" t="str">
        <f t="shared" ref="E279" si="369">IF(D279=0,"",H280/D279)</f>
        <v/>
      </c>
      <c r="F279" s="471" t="str">
        <f t="shared" ref="F279" si="370">IF(H279=0,"",H280/H279)</f>
        <v/>
      </c>
      <c r="G279" s="71" t="s">
        <v>168</v>
      </c>
      <c r="H279" s="67">
        <f t="shared" si="299"/>
        <v>0</v>
      </c>
      <c r="I279" s="112"/>
      <c r="J279" s="113"/>
      <c r="K279" s="113"/>
      <c r="L279" s="113"/>
      <c r="M279" s="113"/>
      <c r="N279" s="113"/>
      <c r="O279" s="113"/>
      <c r="P279" s="113"/>
      <c r="Q279" s="113"/>
      <c r="R279" s="113"/>
      <c r="S279" s="113"/>
      <c r="T279" s="113"/>
      <c r="U279" s="113"/>
      <c r="V279" s="113"/>
      <c r="W279" s="113"/>
      <c r="X279" s="113"/>
      <c r="Y279" s="113"/>
      <c r="Z279" s="113"/>
      <c r="AA279" s="113"/>
      <c r="AB279" s="113"/>
      <c r="AC279" s="113"/>
      <c r="AD279" s="113"/>
      <c r="AE279" s="113"/>
      <c r="AF279" s="113"/>
      <c r="AG279" s="113"/>
      <c r="AH279" s="113"/>
      <c r="AI279" s="113"/>
      <c r="AJ279" s="113"/>
      <c r="AK279" s="113"/>
      <c r="AL279" s="113"/>
      <c r="AM279" s="113"/>
      <c r="AN279" s="113"/>
      <c r="AO279" s="113"/>
      <c r="AP279" s="113"/>
      <c r="AQ279" s="113"/>
      <c r="AR279" s="113"/>
      <c r="AS279" s="113"/>
      <c r="AT279" s="113"/>
      <c r="AU279" s="113"/>
      <c r="AV279" s="113"/>
      <c r="AW279" s="113"/>
      <c r="AX279" s="113"/>
      <c r="AY279" s="113"/>
      <c r="AZ279" s="113"/>
      <c r="BA279" s="113"/>
      <c r="BB279" s="113"/>
      <c r="BC279" s="113"/>
      <c r="BD279" s="113"/>
      <c r="BE279" s="113"/>
      <c r="BF279" s="114"/>
    </row>
    <row r="280" spans="1:58">
      <c r="A280" s="466"/>
      <c r="B280" s="465"/>
      <c r="C280" s="468"/>
      <c r="D280" s="470"/>
      <c r="E280" s="472"/>
      <c r="F280" s="472"/>
      <c r="G280" s="72" t="s">
        <v>167</v>
      </c>
      <c r="H280" s="68">
        <f t="shared" si="299"/>
        <v>0</v>
      </c>
      <c r="I280" s="105"/>
      <c r="J280" s="106"/>
      <c r="K280" s="106"/>
      <c r="L280" s="106"/>
      <c r="M280" s="106"/>
      <c r="N280" s="106"/>
      <c r="O280" s="106"/>
      <c r="P280" s="106"/>
      <c r="Q280" s="106"/>
      <c r="R280" s="106"/>
      <c r="S280" s="106"/>
      <c r="T280" s="106"/>
      <c r="U280" s="106"/>
      <c r="V280" s="106"/>
      <c r="W280" s="106"/>
      <c r="X280" s="106"/>
      <c r="Y280" s="106"/>
      <c r="Z280" s="106"/>
      <c r="AA280" s="106"/>
      <c r="AB280" s="106"/>
      <c r="AC280" s="106"/>
      <c r="AD280" s="106"/>
      <c r="AE280" s="106"/>
      <c r="AF280" s="106"/>
      <c r="AG280" s="106"/>
      <c r="AH280" s="106"/>
      <c r="AI280" s="106"/>
      <c r="AJ280" s="106"/>
      <c r="AK280" s="106"/>
      <c r="AL280" s="106"/>
      <c r="AM280" s="106"/>
      <c r="AN280" s="106"/>
      <c r="AO280" s="106"/>
      <c r="AP280" s="106"/>
      <c r="AQ280" s="106"/>
      <c r="AR280" s="106"/>
      <c r="AS280" s="106"/>
      <c r="AT280" s="106"/>
      <c r="AU280" s="106"/>
      <c r="AV280" s="106"/>
      <c r="AW280" s="106"/>
      <c r="AX280" s="106"/>
      <c r="AY280" s="106"/>
      <c r="AZ280" s="106"/>
      <c r="BA280" s="106"/>
      <c r="BB280" s="106"/>
      <c r="BC280" s="106"/>
      <c r="BD280" s="106"/>
      <c r="BE280" s="106"/>
      <c r="BF280" s="107"/>
    </row>
    <row r="281" spans="1:58">
      <c r="A281" s="464">
        <f t="shared" si="358"/>
        <v>136</v>
      </c>
      <c r="B281" s="465"/>
      <c r="C281" s="476" t="s">
        <v>596</v>
      </c>
      <c r="D281" s="469">
        <f t="shared" ref="D281" si="371">SUM(I281:BF281)</f>
        <v>0</v>
      </c>
      <c r="E281" s="471" t="str">
        <f t="shared" ref="E281" si="372">IF(D281=0,"",H282/D281)</f>
        <v/>
      </c>
      <c r="F281" s="471" t="str">
        <f t="shared" ref="F281" si="373">IF(H281=0,"",H282/H281)</f>
        <v/>
      </c>
      <c r="G281" s="71" t="s">
        <v>168</v>
      </c>
      <c r="H281" s="67">
        <f t="shared" si="299"/>
        <v>0</v>
      </c>
      <c r="I281" s="112"/>
      <c r="J281" s="113"/>
      <c r="K281" s="113"/>
      <c r="L281" s="113"/>
      <c r="M281" s="113"/>
      <c r="N281" s="113"/>
      <c r="O281" s="113"/>
      <c r="P281" s="113"/>
      <c r="Q281" s="113"/>
      <c r="R281" s="113"/>
      <c r="S281" s="113"/>
      <c r="T281" s="113"/>
      <c r="U281" s="113"/>
      <c r="V281" s="113"/>
      <c r="W281" s="113"/>
      <c r="X281" s="113"/>
      <c r="Y281" s="113"/>
      <c r="Z281" s="113"/>
      <c r="AA281" s="113"/>
      <c r="AB281" s="113"/>
      <c r="AC281" s="113"/>
      <c r="AD281" s="113"/>
      <c r="AE281" s="113"/>
      <c r="AF281" s="113"/>
      <c r="AG281" s="113"/>
      <c r="AH281" s="113"/>
      <c r="AI281" s="113"/>
      <c r="AJ281" s="113"/>
      <c r="AK281" s="113"/>
      <c r="AL281" s="113"/>
      <c r="AM281" s="113"/>
      <c r="AN281" s="113"/>
      <c r="AO281" s="113"/>
      <c r="AP281" s="113"/>
      <c r="AQ281" s="113"/>
      <c r="AR281" s="113"/>
      <c r="AS281" s="113"/>
      <c r="AT281" s="113"/>
      <c r="AU281" s="113"/>
      <c r="AV281" s="113"/>
      <c r="AW281" s="113"/>
      <c r="AX281" s="113"/>
      <c r="AY281" s="113"/>
      <c r="AZ281" s="113"/>
      <c r="BA281" s="113"/>
      <c r="BB281" s="113"/>
      <c r="BC281" s="113"/>
      <c r="BD281" s="113"/>
      <c r="BE281" s="113"/>
      <c r="BF281" s="114"/>
    </row>
    <row r="282" spans="1:58">
      <c r="A282" s="466"/>
      <c r="B282" s="465"/>
      <c r="C282" s="468"/>
      <c r="D282" s="470"/>
      <c r="E282" s="472"/>
      <c r="F282" s="472"/>
      <c r="G282" s="72" t="s">
        <v>167</v>
      </c>
      <c r="H282" s="68">
        <f t="shared" si="299"/>
        <v>0</v>
      </c>
      <c r="I282" s="105"/>
      <c r="J282" s="106"/>
      <c r="K282" s="106"/>
      <c r="L282" s="106"/>
      <c r="M282" s="106"/>
      <c r="N282" s="106"/>
      <c r="O282" s="106"/>
      <c r="P282" s="106"/>
      <c r="Q282" s="106"/>
      <c r="R282" s="106"/>
      <c r="S282" s="106"/>
      <c r="T282" s="106"/>
      <c r="U282" s="106"/>
      <c r="V282" s="106"/>
      <c r="W282" s="106"/>
      <c r="X282" s="106"/>
      <c r="Y282" s="106"/>
      <c r="Z282" s="106"/>
      <c r="AA282" s="106"/>
      <c r="AB282" s="106"/>
      <c r="AC282" s="106"/>
      <c r="AD282" s="106"/>
      <c r="AE282" s="106"/>
      <c r="AF282" s="106"/>
      <c r="AG282" s="106"/>
      <c r="AH282" s="106"/>
      <c r="AI282" s="106"/>
      <c r="AJ282" s="106"/>
      <c r="AK282" s="106"/>
      <c r="AL282" s="106"/>
      <c r="AM282" s="106"/>
      <c r="AN282" s="106"/>
      <c r="AO282" s="106"/>
      <c r="AP282" s="106"/>
      <c r="AQ282" s="106"/>
      <c r="AR282" s="106"/>
      <c r="AS282" s="106"/>
      <c r="AT282" s="106"/>
      <c r="AU282" s="106"/>
      <c r="AV282" s="106"/>
      <c r="AW282" s="106"/>
      <c r="AX282" s="106"/>
      <c r="AY282" s="106"/>
      <c r="AZ282" s="106"/>
      <c r="BA282" s="106"/>
      <c r="BB282" s="106"/>
      <c r="BC282" s="106"/>
      <c r="BD282" s="106"/>
      <c r="BE282" s="106"/>
      <c r="BF282" s="107"/>
    </row>
    <row r="283" spans="1:58">
      <c r="A283" s="464">
        <f t="shared" si="358"/>
        <v>137</v>
      </c>
      <c r="B283" s="465"/>
      <c r="C283" s="476" t="s">
        <v>596</v>
      </c>
      <c r="D283" s="469">
        <f t="shared" ref="D283" si="374">SUM(I283:BF283)</f>
        <v>0</v>
      </c>
      <c r="E283" s="471" t="str">
        <f t="shared" ref="E283" si="375">IF(D283=0,"",H284/D283)</f>
        <v/>
      </c>
      <c r="F283" s="471" t="str">
        <f t="shared" ref="F283" si="376">IF(H283=0,"",H284/H283)</f>
        <v/>
      </c>
      <c r="G283" s="71" t="s">
        <v>168</v>
      </c>
      <c r="H283" s="67">
        <f t="shared" si="299"/>
        <v>0</v>
      </c>
      <c r="I283" s="112"/>
      <c r="J283" s="113"/>
      <c r="K283" s="113"/>
      <c r="L283" s="113"/>
      <c r="M283" s="113"/>
      <c r="N283" s="113"/>
      <c r="O283" s="113"/>
      <c r="P283" s="113"/>
      <c r="Q283" s="113"/>
      <c r="R283" s="113"/>
      <c r="S283" s="113"/>
      <c r="T283" s="113"/>
      <c r="U283" s="113"/>
      <c r="V283" s="113"/>
      <c r="W283" s="113"/>
      <c r="X283" s="113"/>
      <c r="Y283" s="113"/>
      <c r="Z283" s="113"/>
      <c r="AA283" s="113"/>
      <c r="AB283" s="113"/>
      <c r="AC283" s="113"/>
      <c r="AD283" s="113"/>
      <c r="AE283" s="113"/>
      <c r="AF283" s="113"/>
      <c r="AG283" s="113"/>
      <c r="AH283" s="113"/>
      <c r="AI283" s="113"/>
      <c r="AJ283" s="113"/>
      <c r="AK283" s="113"/>
      <c r="AL283" s="113"/>
      <c r="AM283" s="113"/>
      <c r="AN283" s="113"/>
      <c r="AO283" s="113"/>
      <c r="AP283" s="113"/>
      <c r="AQ283" s="113"/>
      <c r="AR283" s="113"/>
      <c r="AS283" s="113"/>
      <c r="AT283" s="113"/>
      <c r="AU283" s="113"/>
      <c r="AV283" s="113"/>
      <c r="AW283" s="113"/>
      <c r="AX283" s="113"/>
      <c r="AY283" s="113"/>
      <c r="AZ283" s="113"/>
      <c r="BA283" s="113"/>
      <c r="BB283" s="113"/>
      <c r="BC283" s="113"/>
      <c r="BD283" s="113"/>
      <c r="BE283" s="113"/>
      <c r="BF283" s="114"/>
    </row>
    <row r="284" spans="1:58">
      <c r="A284" s="466"/>
      <c r="B284" s="465"/>
      <c r="C284" s="468"/>
      <c r="D284" s="470"/>
      <c r="E284" s="472"/>
      <c r="F284" s="472"/>
      <c r="G284" s="72" t="s">
        <v>167</v>
      </c>
      <c r="H284" s="68">
        <f t="shared" si="299"/>
        <v>0</v>
      </c>
      <c r="I284" s="105"/>
      <c r="J284" s="106"/>
      <c r="K284" s="106"/>
      <c r="L284" s="106"/>
      <c r="M284" s="106"/>
      <c r="N284" s="106"/>
      <c r="O284" s="106"/>
      <c r="P284" s="106"/>
      <c r="Q284" s="106"/>
      <c r="R284" s="106"/>
      <c r="S284" s="106"/>
      <c r="T284" s="106"/>
      <c r="U284" s="106"/>
      <c r="V284" s="106"/>
      <c r="W284" s="106"/>
      <c r="X284" s="106"/>
      <c r="Y284" s="106"/>
      <c r="Z284" s="106"/>
      <c r="AA284" s="106"/>
      <c r="AB284" s="106"/>
      <c r="AC284" s="106"/>
      <c r="AD284" s="106"/>
      <c r="AE284" s="106"/>
      <c r="AF284" s="106"/>
      <c r="AG284" s="106"/>
      <c r="AH284" s="106"/>
      <c r="AI284" s="106"/>
      <c r="AJ284" s="106"/>
      <c r="AK284" s="106"/>
      <c r="AL284" s="106"/>
      <c r="AM284" s="106"/>
      <c r="AN284" s="106"/>
      <c r="AO284" s="106"/>
      <c r="AP284" s="106"/>
      <c r="AQ284" s="106"/>
      <c r="AR284" s="106"/>
      <c r="AS284" s="106"/>
      <c r="AT284" s="106"/>
      <c r="AU284" s="106"/>
      <c r="AV284" s="106"/>
      <c r="AW284" s="106"/>
      <c r="AX284" s="106"/>
      <c r="AY284" s="106"/>
      <c r="AZ284" s="106"/>
      <c r="BA284" s="106"/>
      <c r="BB284" s="106"/>
      <c r="BC284" s="106"/>
      <c r="BD284" s="106"/>
      <c r="BE284" s="106"/>
      <c r="BF284" s="107"/>
    </row>
    <row r="285" spans="1:58">
      <c r="A285" s="464">
        <f t="shared" si="358"/>
        <v>138</v>
      </c>
      <c r="B285" s="465"/>
      <c r="C285" s="476" t="s">
        <v>596</v>
      </c>
      <c r="D285" s="469">
        <f t="shared" ref="D285" si="377">SUM(I285:BF285)</f>
        <v>0</v>
      </c>
      <c r="E285" s="471" t="str">
        <f t="shared" ref="E285" si="378">IF(D285=0,"",H286/D285)</f>
        <v/>
      </c>
      <c r="F285" s="471" t="str">
        <f t="shared" ref="F285" si="379">IF(H285=0,"",H286/H285)</f>
        <v/>
      </c>
      <c r="G285" s="71" t="s">
        <v>168</v>
      </c>
      <c r="H285" s="67">
        <f t="shared" si="299"/>
        <v>0</v>
      </c>
      <c r="I285" s="112"/>
      <c r="J285" s="113"/>
      <c r="K285" s="113"/>
      <c r="L285" s="113"/>
      <c r="M285" s="113"/>
      <c r="N285" s="113"/>
      <c r="O285" s="113"/>
      <c r="P285" s="113"/>
      <c r="Q285" s="113"/>
      <c r="R285" s="113"/>
      <c r="S285" s="113"/>
      <c r="T285" s="113"/>
      <c r="U285" s="113"/>
      <c r="V285" s="113"/>
      <c r="W285" s="113"/>
      <c r="X285" s="113"/>
      <c r="Y285" s="113"/>
      <c r="Z285" s="113"/>
      <c r="AA285" s="113"/>
      <c r="AB285" s="113"/>
      <c r="AC285" s="113"/>
      <c r="AD285" s="113"/>
      <c r="AE285" s="113"/>
      <c r="AF285" s="113"/>
      <c r="AG285" s="113"/>
      <c r="AH285" s="113"/>
      <c r="AI285" s="113"/>
      <c r="AJ285" s="113"/>
      <c r="AK285" s="113"/>
      <c r="AL285" s="113"/>
      <c r="AM285" s="113"/>
      <c r="AN285" s="113"/>
      <c r="AO285" s="113"/>
      <c r="AP285" s="113"/>
      <c r="AQ285" s="113"/>
      <c r="AR285" s="113"/>
      <c r="AS285" s="113"/>
      <c r="AT285" s="113"/>
      <c r="AU285" s="113"/>
      <c r="AV285" s="113"/>
      <c r="AW285" s="113"/>
      <c r="AX285" s="113"/>
      <c r="AY285" s="113"/>
      <c r="AZ285" s="113"/>
      <c r="BA285" s="113"/>
      <c r="BB285" s="113"/>
      <c r="BC285" s="113"/>
      <c r="BD285" s="113"/>
      <c r="BE285" s="113"/>
      <c r="BF285" s="114"/>
    </row>
    <row r="286" spans="1:58">
      <c r="A286" s="466"/>
      <c r="B286" s="465"/>
      <c r="C286" s="468"/>
      <c r="D286" s="470"/>
      <c r="E286" s="472"/>
      <c r="F286" s="472"/>
      <c r="G286" s="72" t="s">
        <v>167</v>
      </c>
      <c r="H286" s="68">
        <f t="shared" si="299"/>
        <v>0</v>
      </c>
      <c r="I286" s="105"/>
      <c r="J286" s="106"/>
      <c r="K286" s="106"/>
      <c r="L286" s="106"/>
      <c r="M286" s="106"/>
      <c r="N286" s="106"/>
      <c r="O286" s="106"/>
      <c r="P286" s="106"/>
      <c r="Q286" s="106"/>
      <c r="R286" s="106"/>
      <c r="S286" s="106"/>
      <c r="T286" s="106"/>
      <c r="U286" s="106"/>
      <c r="V286" s="106"/>
      <c r="W286" s="106"/>
      <c r="X286" s="106"/>
      <c r="Y286" s="106"/>
      <c r="Z286" s="106"/>
      <c r="AA286" s="106"/>
      <c r="AB286" s="106"/>
      <c r="AC286" s="106"/>
      <c r="AD286" s="106"/>
      <c r="AE286" s="106"/>
      <c r="AF286" s="106"/>
      <c r="AG286" s="106"/>
      <c r="AH286" s="106"/>
      <c r="AI286" s="106"/>
      <c r="AJ286" s="106"/>
      <c r="AK286" s="106"/>
      <c r="AL286" s="106"/>
      <c r="AM286" s="106"/>
      <c r="AN286" s="106"/>
      <c r="AO286" s="106"/>
      <c r="AP286" s="106"/>
      <c r="AQ286" s="106"/>
      <c r="AR286" s="106"/>
      <c r="AS286" s="106"/>
      <c r="AT286" s="106"/>
      <c r="AU286" s="106"/>
      <c r="AV286" s="106"/>
      <c r="AW286" s="106"/>
      <c r="AX286" s="106"/>
      <c r="AY286" s="106"/>
      <c r="AZ286" s="106"/>
      <c r="BA286" s="106"/>
      <c r="BB286" s="106"/>
      <c r="BC286" s="106"/>
      <c r="BD286" s="106"/>
      <c r="BE286" s="106"/>
      <c r="BF286" s="107"/>
    </row>
    <row r="287" spans="1:58">
      <c r="A287" s="480">
        <f t="shared" si="358"/>
        <v>139</v>
      </c>
      <c r="B287" s="481"/>
      <c r="C287" s="476" t="s">
        <v>828</v>
      </c>
      <c r="D287" s="469">
        <f t="shared" ref="D287" si="380">SUM(I287:BF287)</f>
        <v>0</v>
      </c>
      <c r="E287" s="471" t="str">
        <f t="shared" ref="E287" si="381">IF(D287=0,"",H288/D287)</f>
        <v/>
      </c>
      <c r="F287" s="471" t="str">
        <f t="shared" ref="F287" si="382">IF(H287=0,"",H288/H287)</f>
        <v/>
      </c>
      <c r="G287" s="71" t="s">
        <v>168</v>
      </c>
      <c r="H287" s="67">
        <f t="shared" si="299"/>
        <v>0</v>
      </c>
      <c r="I287" s="312"/>
      <c r="J287" s="113"/>
      <c r="K287" s="113"/>
      <c r="L287" s="113"/>
      <c r="M287" s="113"/>
      <c r="N287" s="113"/>
      <c r="O287" s="113"/>
      <c r="P287" s="113"/>
      <c r="Q287" s="113"/>
      <c r="R287" s="113"/>
      <c r="S287" s="113"/>
      <c r="T287" s="113"/>
      <c r="U287" s="113"/>
      <c r="V287" s="113"/>
      <c r="W287" s="113"/>
      <c r="X287" s="113"/>
      <c r="Y287" s="113"/>
      <c r="Z287" s="113"/>
      <c r="AA287" s="113"/>
      <c r="AB287" s="113"/>
      <c r="AC287" s="113"/>
      <c r="AD287" s="113"/>
      <c r="AE287" s="113"/>
      <c r="AF287" s="113"/>
      <c r="AG287" s="113"/>
      <c r="AH287" s="113"/>
      <c r="AI287" s="113"/>
      <c r="AJ287" s="113"/>
      <c r="AK287" s="113"/>
      <c r="AL287" s="113"/>
      <c r="AM287" s="113"/>
      <c r="AN287" s="113"/>
      <c r="AO287" s="113"/>
      <c r="AP287" s="113"/>
      <c r="AQ287" s="113"/>
      <c r="AR287" s="113"/>
      <c r="AS287" s="113"/>
      <c r="AT287" s="113"/>
      <c r="AU287" s="113"/>
      <c r="AV287" s="113"/>
      <c r="AW287" s="113"/>
      <c r="AX287" s="113"/>
      <c r="AY287" s="113"/>
      <c r="AZ287" s="113"/>
      <c r="BA287" s="113"/>
      <c r="BB287" s="113"/>
      <c r="BC287" s="113"/>
      <c r="BD287" s="113"/>
      <c r="BE287" s="113"/>
      <c r="BF287" s="114"/>
    </row>
    <row r="288" spans="1:58">
      <c r="A288" s="482"/>
      <c r="B288" s="481"/>
      <c r="C288" s="468"/>
      <c r="D288" s="470"/>
      <c r="E288" s="472"/>
      <c r="F288" s="472"/>
      <c r="G288" s="72" t="s">
        <v>167</v>
      </c>
      <c r="H288" s="68">
        <f t="shared" si="299"/>
        <v>0</v>
      </c>
      <c r="I288" s="105"/>
      <c r="J288" s="106"/>
      <c r="K288" s="106"/>
      <c r="L288" s="106"/>
      <c r="M288" s="106"/>
      <c r="N288" s="106"/>
      <c r="O288" s="106"/>
      <c r="P288" s="106"/>
      <c r="Q288" s="106"/>
      <c r="R288" s="106"/>
      <c r="S288" s="106"/>
      <c r="T288" s="106"/>
      <c r="U288" s="106"/>
      <c r="V288" s="106"/>
      <c r="W288" s="106"/>
      <c r="X288" s="106"/>
      <c r="Y288" s="106"/>
      <c r="Z288" s="106"/>
      <c r="AA288" s="106"/>
      <c r="AB288" s="106"/>
      <c r="AC288" s="106"/>
      <c r="AD288" s="106"/>
      <c r="AE288" s="106"/>
      <c r="AF288" s="106"/>
      <c r="AG288" s="106"/>
      <c r="AH288" s="106"/>
      <c r="AI288" s="106"/>
      <c r="AJ288" s="106"/>
      <c r="AK288" s="106"/>
      <c r="AL288" s="106"/>
      <c r="AM288" s="106"/>
      <c r="AN288" s="106"/>
      <c r="AO288" s="106"/>
      <c r="AP288" s="106"/>
      <c r="AQ288" s="106"/>
      <c r="AR288" s="106"/>
      <c r="AS288" s="106"/>
      <c r="AT288" s="106"/>
      <c r="AU288" s="106"/>
      <c r="AV288" s="106"/>
      <c r="AW288" s="106"/>
      <c r="AX288" s="106"/>
      <c r="AY288" s="106"/>
      <c r="AZ288" s="106"/>
      <c r="BA288" s="106"/>
      <c r="BB288" s="106"/>
      <c r="BC288" s="106"/>
      <c r="BD288" s="106"/>
      <c r="BE288" s="106"/>
      <c r="BF288" s="107"/>
    </row>
    <row r="289" spans="1:58">
      <c r="A289" s="473">
        <f t="shared" si="358"/>
        <v>140</v>
      </c>
      <c r="B289" s="474"/>
      <c r="C289" s="476" t="s">
        <v>596</v>
      </c>
      <c r="D289" s="469">
        <f t="shared" ref="D289" si="383">SUM(I289:BF289)</f>
        <v>0</v>
      </c>
      <c r="E289" s="471" t="str">
        <f t="shared" ref="E289" si="384">IF(D289=0,"",H290/D289)</f>
        <v/>
      </c>
      <c r="F289" s="471" t="str">
        <f t="shared" ref="F289" si="385">IF(H289=0,"",H290/H289)</f>
        <v/>
      </c>
      <c r="G289" s="71" t="s">
        <v>168</v>
      </c>
      <c r="H289" s="67">
        <f t="shared" si="299"/>
        <v>0</v>
      </c>
      <c r="I289" s="112"/>
      <c r="J289" s="113"/>
      <c r="K289" s="113"/>
      <c r="L289" s="113"/>
      <c r="M289" s="113"/>
      <c r="N289" s="113"/>
      <c r="O289" s="113"/>
      <c r="P289" s="113"/>
      <c r="Q289" s="113"/>
      <c r="R289" s="113"/>
      <c r="S289" s="113"/>
      <c r="T289" s="113"/>
      <c r="U289" s="113"/>
      <c r="V289" s="113"/>
      <c r="W289" s="113"/>
      <c r="X289" s="113"/>
      <c r="Y289" s="113"/>
      <c r="Z289" s="113"/>
      <c r="AA289" s="113"/>
      <c r="AB289" s="113"/>
      <c r="AC289" s="113"/>
      <c r="AD289" s="113"/>
      <c r="AE289" s="113"/>
      <c r="AF289" s="113"/>
      <c r="AG289" s="113"/>
      <c r="AH289" s="113"/>
      <c r="AI289" s="113"/>
      <c r="AJ289" s="113"/>
      <c r="AK289" s="113"/>
      <c r="AL289" s="113"/>
      <c r="AM289" s="113"/>
      <c r="AN289" s="113"/>
      <c r="AO289" s="113"/>
      <c r="AP289" s="113"/>
      <c r="AQ289" s="113"/>
      <c r="AR289" s="113"/>
      <c r="AS289" s="113"/>
      <c r="AT289" s="113"/>
      <c r="AU289" s="113"/>
      <c r="AV289" s="113"/>
      <c r="AW289" s="113"/>
      <c r="AX289" s="113"/>
      <c r="AY289" s="113"/>
      <c r="AZ289" s="113"/>
      <c r="BA289" s="113"/>
      <c r="BB289" s="113"/>
      <c r="BC289" s="113"/>
      <c r="BD289" s="113"/>
      <c r="BE289" s="113"/>
      <c r="BF289" s="114"/>
    </row>
    <row r="290" spans="1:58">
      <c r="A290" s="475"/>
      <c r="B290" s="474"/>
      <c r="C290" s="468"/>
      <c r="D290" s="470"/>
      <c r="E290" s="472"/>
      <c r="F290" s="472"/>
      <c r="G290" s="72" t="s">
        <v>167</v>
      </c>
      <c r="H290" s="68">
        <f t="shared" si="299"/>
        <v>0</v>
      </c>
      <c r="I290" s="105"/>
      <c r="J290" s="106"/>
      <c r="K290" s="106"/>
      <c r="L290" s="106"/>
      <c r="M290" s="106"/>
      <c r="N290" s="106"/>
      <c r="O290" s="106"/>
      <c r="P290" s="106"/>
      <c r="Q290" s="106"/>
      <c r="R290" s="106"/>
      <c r="S290" s="106"/>
      <c r="T290" s="106"/>
      <c r="U290" s="106"/>
      <c r="V290" s="106"/>
      <c r="W290" s="106"/>
      <c r="X290" s="106"/>
      <c r="Y290" s="106"/>
      <c r="Z290" s="106"/>
      <c r="AA290" s="106"/>
      <c r="AB290" s="106"/>
      <c r="AC290" s="106"/>
      <c r="AD290" s="106"/>
      <c r="AE290" s="106"/>
      <c r="AF290" s="106"/>
      <c r="AG290" s="106"/>
      <c r="AH290" s="106"/>
      <c r="AI290" s="106"/>
      <c r="AJ290" s="106"/>
      <c r="AK290" s="106"/>
      <c r="AL290" s="106"/>
      <c r="AM290" s="106"/>
      <c r="AN290" s="106"/>
      <c r="AO290" s="106"/>
      <c r="AP290" s="106"/>
      <c r="AQ290" s="106"/>
      <c r="AR290" s="106"/>
      <c r="AS290" s="106"/>
      <c r="AT290" s="106"/>
      <c r="AU290" s="106"/>
      <c r="AV290" s="106"/>
      <c r="AW290" s="106"/>
      <c r="AX290" s="106"/>
      <c r="AY290" s="106"/>
      <c r="AZ290" s="106"/>
      <c r="BA290" s="106"/>
      <c r="BB290" s="106"/>
      <c r="BC290" s="106"/>
      <c r="BD290" s="106"/>
      <c r="BE290" s="106"/>
      <c r="BF290" s="107"/>
    </row>
    <row r="291" spans="1:58">
      <c r="A291" s="473">
        <f t="shared" si="358"/>
        <v>141</v>
      </c>
      <c r="B291" s="474"/>
      <c r="C291" s="476" t="s">
        <v>596</v>
      </c>
      <c r="D291" s="469">
        <f t="shared" ref="D291" si="386">SUM(I291:BF291)</f>
        <v>0</v>
      </c>
      <c r="E291" s="471" t="str">
        <f t="shared" ref="E291" si="387">IF(D291=0,"",H292/D291)</f>
        <v/>
      </c>
      <c r="F291" s="471" t="str">
        <f t="shared" ref="F291" si="388">IF(H291=0,"",H292/H291)</f>
        <v/>
      </c>
      <c r="G291" s="71" t="s">
        <v>168</v>
      </c>
      <c r="H291" s="67">
        <f t="shared" si="299"/>
        <v>0</v>
      </c>
      <c r="I291" s="112"/>
      <c r="J291" s="113"/>
      <c r="K291" s="113"/>
      <c r="L291" s="113"/>
      <c r="M291" s="113"/>
      <c r="N291" s="113"/>
      <c r="O291" s="113"/>
      <c r="P291" s="113"/>
      <c r="Q291" s="113"/>
      <c r="R291" s="113"/>
      <c r="S291" s="113"/>
      <c r="T291" s="113"/>
      <c r="U291" s="113"/>
      <c r="V291" s="113"/>
      <c r="W291" s="113"/>
      <c r="X291" s="113"/>
      <c r="Y291" s="113"/>
      <c r="Z291" s="113"/>
      <c r="AA291" s="113"/>
      <c r="AB291" s="113"/>
      <c r="AC291" s="113"/>
      <c r="AD291" s="113"/>
      <c r="AE291" s="113"/>
      <c r="AF291" s="113"/>
      <c r="AG291" s="113"/>
      <c r="AH291" s="113"/>
      <c r="AI291" s="113"/>
      <c r="AJ291" s="113"/>
      <c r="AK291" s="113"/>
      <c r="AL291" s="113"/>
      <c r="AM291" s="113"/>
      <c r="AN291" s="113"/>
      <c r="AO291" s="113"/>
      <c r="AP291" s="113"/>
      <c r="AQ291" s="113"/>
      <c r="AR291" s="113"/>
      <c r="AS291" s="113"/>
      <c r="AT291" s="113"/>
      <c r="AU291" s="113"/>
      <c r="AV291" s="113"/>
      <c r="AW291" s="113"/>
      <c r="AX291" s="113"/>
      <c r="AY291" s="113"/>
      <c r="AZ291" s="113"/>
      <c r="BA291" s="113"/>
      <c r="BB291" s="113"/>
      <c r="BC291" s="113"/>
      <c r="BD291" s="113"/>
      <c r="BE291" s="113"/>
      <c r="BF291" s="114"/>
    </row>
    <row r="292" spans="1:58">
      <c r="A292" s="475"/>
      <c r="B292" s="474"/>
      <c r="C292" s="468"/>
      <c r="D292" s="470"/>
      <c r="E292" s="472"/>
      <c r="F292" s="472"/>
      <c r="G292" s="72" t="s">
        <v>167</v>
      </c>
      <c r="H292" s="68">
        <f t="shared" si="299"/>
        <v>0</v>
      </c>
      <c r="I292" s="105"/>
      <c r="J292" s="106"/>
      <c r="K292" s="106"/>
      <c r="L292" s="106"/>
      <c r="M292" s="106"/>
      <c r="N292" s="106"/>
      <c r="O292" s="106"/>
      <c r="P292" s="106"/>
      <c r="Q292" s="106"/>
      <c r="R292" s="106"/>
      <c r="S292" s="106"/>
      <c r="T292" s="106"/>
      <c r="U292" s="106"/>
      <c r="V292" s="106"/>
      <c r="W292" s="106"/>
      <c r="X292" s="106"/>
      <c r="Y292" s="106"/>
      <c r="Z292" s="106"/>
      <c r="AA292" s="106"/>
      <c r="AB292" s="106"/>
      <c r="AC292" s="106"/>
      <c r="AD292" s="106"/>
      <c r="AE292" s="106"/>
      <c r="AF292" s="106"/>
      <c r="AG292" s="106"/>
      <c r="AH292" s="106"/>
      <c r="AI292" s="106"/>
      <c r="AJ292" s="106"/>
      <c r="AK292" s="106"/>
      <c r="AL292" s="106"/>
      <c r="AM292" s="106"/>
      <c r="AN292" s="106"/>
      <c r="AO292" s="106"/>
      <c r="AP292" s="106"/>
      <c r="AQ292" s="106"/>
      <c r="AR292" s="106"/>
      <c r="AS292" s="106"/>
      <c r="AT292" s="106"/>
      <c r="AU292" s="106"/>
      <c r="AV292" s="106"/>
      <c r="AW292" s="106"/>
      <c r="AX292" s="106"/>
      <c r="AY292" s="106"/>
      <c r="AZ292" s="106"/>
      <c r="BA292" s="106"/>
      <c r="BB292" s="106"/>
      <c r="BC292" s="106"/>
      <c r="BD292" s="106"/>
      <c r="BE292" s="106"/>
      <c r="BF292" s="107"/>
    </row>
    <row r="293" spans="1:58">
      <c r="A293" s="473">
        <f t="shared" si="358"/>
        <v>142</v>
      </c>
      <c r="B293" s="474"/>
      <c r="C293" s="476" t="s">
        <v>596</v>
      </c>
      <c r="D293" s="469">
        <f t="shared" ref="D293" si="389">SUM(I293:BF293)</f>
        <v>0</v>
      </c>
      <c r="E293" s="471" t="str">
        <f t="shared" ref="E293" si="390">IF(D293=0,"",H294/D293)</f>
        <v/>
      </c>
      <c r="F293" s="471" t="str">
        <f t="shared" ref="F293" si="391">IF(H293=0,"",H294/H293)</f>
        <v/>
      </c>
      <c r="G293" s="71" t="s">
        <v>168</v>
      </c>
      <c r="H293" s="67">
        <f t="shared" si="299"/>
        <v>0</v>
      </c>
      <c r="I293" s="112"/>
      <c r="J293" s="113"/>
      <c r="K293" s="113"/>
      <c r="L293" s="113"/>
      <c r="M293" s="113"/>
      <c r="N293" s="113"/>
      <c r="O293" s="113"/>
      <c r="P293" s="113"/>
      <c r="Q293" s="113"/>
      <c r="R293" s="113"/>
      <c r="S293" s="113"/>
      <c r="T293" s="113"/>
      <c r="U293" s="113"/>
      <c r="V293" s="113"/>
      <c r="W293" s="113"/>
      <c r="X293" s="113"/>
      <c r="Y293" s="113"/>
      <c r="Z293" s="113"/>
      <c r="AA293" s="113"/>
      <c r="AB293" s="113"/>
      <c r="AC293" s="113"/>
      <c r="AD293" s="113"/>
      <c r="AE293" s="113"/>
      <c r="AF293" s="113"/>
      <c r="AG293" s="113"/>
      <c r="AH293" s="113"/>
      <c r="AI293" s="113"/>
      <c r="AJ293" s="113"/>
      <c r="AK293" s="113"/>
      <c r="AL293" s="113"/>
      <c r="AM293" s="113"/>
      <c r="AN293" s="113"/>
      <c r="AO293" s="113"/>
      <c r="AP293" s="113"/>
      <c r="AQ293" s="113"/>
      <c r="AR293" s="113"/>
      <c r="AS293" s="113"/>
      <c r="AT293" s="113"/>
      <c r="AU293" s="113"/>
      <c r="AV293" s="113"/>
      <c r="AW293" s="113"/>
      <c r="AX293" s="113"/>
      <c r="AY293" s="113"/>
      <c r="AZ293" s="113"/>
      <c r="BA293" s="113"/>
      <c r="BB293" s="113"/>
      <c r="BC293" s="113"/>
      <c r="BD293" s="113"/>
      <c r="BE293" s="113"/>
      <c r="BF293" s="114"/>
    </row>
    <row r="294" spans="1:58">
      <c r="A294" s="475"/>
      <c r="B294" s="474"/>
      <c r="C294" s="468"/>
      <c r="D294" s="470"/>
      <c r="E294" s="472"/>
      <c r="F294" s="472"/>
      <c r="G294" s="72" t="s">
        <v>167</v>
      </c>
      <c r="H294" s="68">
        <f t="shared" si="299"/>
        <v>0</v>
      </c>
      <c r="I294" s="105"/>
      <c r="J294" s="106"/>
      <c r="K294" s="106"/>
      <c r="L294" s="106"/>
      <c r="M294" s="106"/>
      <c r="N294" s="106"/>
      <c r="O294" s="106"/>
      <c r="P294" s="106"/>
      <c r="Q294" s="106"/>
      <c r="R294" s="106"/>
      <c r="S294" s="106"/>
      <c r="T294" s="106"/>
      <c r="U294" s="106"/>
      <c r="V294" s="106"/>
      <c r="W294" s="106"/>
      <c r="X294" s="106"/>
      <c r="Y294" s="106"/>
      <c r="Z294" s="106"/>
      <c r="AA294" s="106"/>
      <c r="AB294" s="106"/>
      <c r="AC294" s="106"/>
      <c r="AD294" s="106"/>
      <c r="AE294" s="106"/>
      <c r="AF294" s="106"/>
      <c r="AG294" s="106"/>
      <c r="AH294" s="106"/>
      <c r="AI294" s="106"/>
      <c r="AJ294" s="106"/>
      <c r="AK294" s="106"/>
      <c r="AL294" s="106"/>
      <c r="AM294" s="106"/>
      <c r="AN294" s="106"/>
      <c r="AO294" s="106"/>
      <c r="AP294" s="106"/>
      <c r="AQ294" s="106"/>
      <c r="AR294" s="106"/>
      <c r="AS294" s="106"/>
      <c r="AT294" s="106"/>
      <c r="AU294" s="106"/>
      <c r="AV294" s="106"/>
      <c r="AW294" s="106"/>
      <c r="AX294" s="106"/>
      <c r="AY294" s="106"/>
      <c r="AZ294" s="106"/>
      <c r="BA294" s="106"/>
      <c r="BB294" s="106"/>
      <c r="BC294" s="106"/>
      <c r="BD294" s="106"/>
      <c r="BE294" s="106"/>
      <c r="BF294" s="107"/>
    </row>
    <row r="295" spans="1:58">
      <c r="A295" s="473">
        <f t="shared" si="358"/>
        <v>143</v>
      </c>
      <c r="B295" s="474"/>
      <c r="C295" s="476" t="s">
        <v>596</v>
      </c>
      <c r="D295" s="469">
        <f t="shared" ref="D295" si="392">SUM(I295:BF295)</f>
        <v>0</v>
      </c>
      <c r="E295" s="471" t="str">
        <f t="shared" ref="E295" si="393">IF(D295=0,"",H296/D295)</f>
        <v/>
      </c>
      <c r="F295" s="471" t="str">
        <f t="shared" ref="F295" si="394">IF(H295=0,"",H296/H295)</f>
        <v/>
      </c>
      <c r="G295" s="71" t="s">
        <v>168</v>
      </c>
      <c r="H295" s="67">
        <f t="shared" si="299"/>
        <v>0</v>
      </c>
      <c r="I295" s="112"/>
      <c r="J295" s="113"/>
      <c r="K295" s="113"/>
      <c r="L295" s="113"/>
      <c r="M295" s="113"/>
      <c r="N295" s="113"/>
      <c r="O295" s="113"/>
      <c r="P295" s="113"/>
      <c r="Q295" s="113"/>
      <c r="R295" s="113"/>
      <c r="S295" s="113"/>
      <c r="T295" s="113"/>
      <c r="U295" s="113"/>
      <c r="V295" s="113"/>
      <c r="W295" s="113"/>
      <c r="X295" s="113"/>
      <c r="Y295" s="113"/>
      <c r="Z295" s="113"/>
      <c r="AA295" s="113"/>
      <c r="AB295" s="113"/>
      <c r="AC295" s="113"/>
      <c r="AD295" s="113"/>
      <c r="AE295" s="113"/>
      <c r="AF295" s="113"/>
      <c r="AG295" s="113"/>
      <c r="AH295" s="113"/>
      <c r="AI295" s="113"/>
      <c r="AJ295" s="113"/>
      <c r="AK295" s="113"/>
      <c r="AL295" s="113"/>
      <c r="AM295" s="113"/>
      <c r="AN295" s="113"/>
      <c r="AO295" s="113"/>
      <c r="AP295" s="113"/>
      <c r="AQ295" s="113"/>
      <c r="AR295" s="113"/>
      <c r="AS295" s="113"/>
      <c r="AT295" s="113"/>
      <c r="AU295" s="113"/>
      <c r="AV295" s="113"/>
      <c r="AW295" s="113"/>
      <c r="AX295" s="113"/>
      <c r="AY295" s="113"/>
      <c r="AZ295" s="113"/>
      <c r="BA295" s="113"/>
      <c r="BB295" s="113"/>
      <c r="BC295" s="113"/>
      <c r="BD295" s="113"/>
      <c r="BE295" s="113"/>
      <c r="BF295" s="114"/>
    </row>
    <row r="296" spans="1:58">
      <c r="A296" s="475"/>
      <c r="B296" s="474"/>
      <c r="C296" s="468"/>
      <c r="D296" s="470"/>
      <c r="E296" s="472"/>
      <c r="F296" s="472"/>
      <c r="G296" s="72" t="s">
        <v>167</v>
      </c>
      <c r="H296" s="68">
        <f t="shared" si="299"/>
        <v>0</v>
      </c>
      <c r="I296" s="105"/>
      <c r="J296" s="106"/>
      <c r="K296" s="106"/>
      <c r="L296" s="106"/>
      <c r="M296" s="106"/>
      <c r="N296" s="106"/>
      <c r="O296" s="106"/>
      <c r="P296" s="106"/>
      <c r="Q296" s="106"/>
      <c r="R296" s="106"/>
      <c r="S296" s="106"/>
      <c r="T296" s="106"/>
      <c r="U296" s="106"/>
      <c r="V296" s="106"/>
      <c r="W296" s="106"/>
      <c r="X296" s="106"/>
      <c r="Y296" s="106"/>
      <c r="Z296" s="106"/>
      <c r="AA296" s="106"/>
      <c r="AB296" s="106"/>
      <c r="AC296" s="106"/>
      <c r="AD296" s="106"/>
      <c r="AE296" s="106"/>
      <c r="AF296" s="106"/>
      <c r="AG296" s="106"/>
      <c r="AH296" s="106"/>
      <c r="AI296" s="106"/>
      <c r="AJ296" s="106"/>
      <c r="AK296" s="106"/>
      <c r="AL296" s="106"/>
      <c r="AM296" s="106"/>
      <c r="AN296" s="106"/>
      <c r="AO296" s="106"/>
      <c r="AP296" s="106"/>
      <c r="AQ296" s="106"/>
      <c r="AR296" s="106"/>
      <c r="AS296" s="106"/>
      <c r="AT296" s="106"/>
      <c r="AU296" s="106"/>
      <c r="AV296" s="106"/>
      <c r="AW296" s="106"/>
      <c r="AX296" s="106"/>
      <c r="AY296" s="106"/>
      <c r="AZ296" s="106"/>
      <c r="BA296" s="106"/>
      <c r="BB296" s="106"/>
      <c r="BC296" s="106"/>
      <c r="BD296" s="106"/>
      <c r="BE296" s="106"/>
      <c r="BF296" s="107"/>
    </row>
    <row r="297" spans="1:58">
      <c r="A297" s="473">
        <f t="shared" si="358"/>
        <v>144</v>
      </c>
      <c r="B297" s="474"/>
      <c r="C297" s="476" t="s">
        <v>596</v>
      </c>
      <c r="D297" s="469">
        <f t="shared" ref="D297" si="395">SUM(I297:BF297)</f>
        <v>0</v>
      </c>
      <c r="E297" s="471" t="str">
        <f t="shared" ref="E297" si="396">IF(D297=0,"",H298/D297)</f>
        <v/>
      </c>
      <c r="F297" s="471" t="str">
        <f t="shared" ref="F297" si="397">IF(H297=0,"",H298/H297)</f>
        <v/>
      </c>
      <c r="G297" s="71" t="s">
        <v>168</v>
      </c>
      <c r="H297" s="67">
        <f t="shared" si="299"/>
        <v>0</v>
      </c>
      <c r="I297" s="112"/>
      <c r="J297" s="113"/>
      <c r="K297" s="113"/>
      <c r="L297" s="113"/>
      <c r="M297" s="113"/>
      <c r="N297" s="113"/>
      <c r="O297" s="113"/>
      <c r="P297" s="113"/>
      <c r="Q297" s="113"/>
      <c r="R297" s="113"/>
      <c r="S297" s="113"/>
      <c r="T297" s="113"/>
      <c r="U297" s="113"/>
      <c r="V297" s="113"/>
      <c r="W297" s="113"/>
      <c r="X297" s="113"/>
      <c r="Y297" s="113"/>
      <c r="Z297" s="113"/>
      <c r="AA297" s="113"/>
      <c r="AB297" s="113"/>
      <c r="AC297" s="113"/>
      <c r="AD297" s="113"/>
      <c r="AE297" s="113"/>
      <c r="AF297" s="113"/>
      <c r="AG297" s="113"/>
      <c r="AH297" s="113"/>
      <c r="AI297" s="113"/>
      <c r="AJ297" s="113"/>
      <c r="AK297" s="113"/>
      <c r="AL297" s="113"/>
      <c r="AM297" s="113"/>
      <c r="AN297" s="113"/>
      <c r="AO297" s="113"/>
      <c r="AP297" s="113"/>
      <c r="AQ297" s="113"/>
      <c r="AR297" s="113"/>
      <c r="AS297" s="113"/>
      <c r="AT297" s="113"/>
      <c r="AU297" s="113"/>
      <c r="AV297" s="113"/>
      <c r="AW297" s="113"/>
      <c r="AX297" s="113"/>
      <c r="AY297" s="113"/>
      <c r="AZ297" s="113"/>
      <c r="BA297" s="113"/>
      <c r="BB297" s="113"/>
      <c r="BC297" s="113"/>
      <c r="BD297" s="113"/>
      <c r="BE297" s="113"/>
      <c r="BF297" s="114"/>
    </row>
    <row r="298" spans="1:58">
      <c r="A298" s="475"/>
      <c r="B298" s="474"/>
      <c r="C298" s="468"/>
      <c r="D298" s="470"/>
      <c r="E298" s="472"/>
      <c r="F298" s="472"/>
      <c r="G298" s="72" t="s">
        <v>167</v>
      </c>
      <c r="H298" s="68">
        <f t="shared" si="299"/>
        <v>0</v>
      </c>
      <c r="I298" s="105"/>
      <c r="J298" s="106"/>
      <c r="K298" s="106"/>
      <c r="L298" s="106"/>
      <c r="M298" s="106"/>
      <c r="N298" s="106"/>
      <c r="O298" s="106"/>
      <c r="P298" s="106"/>
      <c r="Q298" s="106"/>
      <c r="R298" s="106"/>
      <c r="S298" s="106"/>
      <c r="T298" s="106"/>
      <c r="U298" s="106"/>
      <c r="V298" s="106"/>
      <c r="W298" s="106"/>
      <c r="X298" s="106"/>
      <c r="Y298" s="106"/>
      <c r="Z298" s="106"/>
      <c r="AA298" s="106"/>
      <c r="AB298" s="106"/>
      <c r="AC298" s="106"/>
      <c r="AD298" s="106"/>
      <c r="AE298" s="106"/>
      <c r="AF298" s="106"/>
      <c r="AG298" s="106"/>
      <c r="AH298" s="106"/>
      <c r="AI298" s="106"/>
      <c r="AJ298" s="106"/>
      <c r="AK298" s="106"/>
      <c r="AL298" s="106"/>
      <c r="AM298" s="106"/>
      <c r="AN298" s="106"/>
      <c r="AO298" s="106"/>
      <c r="AP298" s="106"/>
      <c r="AQ298" s="106"/>
      <c r="AR298" s="106"/>
      <c r="AS298" s="106"/>
      <c r="AT298" s="106"/>
      <c r="AU298" s="106"/>
      <c r="AV298" s="106"/>
      <c r="AW298" s="106"/>
      <c r="AX298" s="106"/>
      <c r="AY298" s="106"/>
      <c r="AZ298" s="106"/>
      <c r="BA298" s="106"/>
      <c r="BB298" s="106"/>
      <c r="BC298" s="106"/>
      <c r="BD298" s="106"/>
      <c r="BE298" s="106"/>
      <c r="BF298" s="107"/>
    </row>
    <row r="299" spans="1:58">
      <c r="A299" s="473">
        <f t="shared" si="358"/>
        <v>145</v>
      </c>
      <c r="B299" s="474"/>
      <c r="C299" s="476" t="s">
        <v>596</v>
      </c>
      <c r="D299" s="469">
        <f t="shared" ref="D299" si="398">SUM(I299:BF299)</f>
        <v>0</v>
      </c>
      <c r="E299" s="471" t="str">
        <f t="shared" ref="E299" si="399">IF(D299=0,"",H300/D299)</f>
        <v/>
      </c>
      <c r="F299" s="471" t="str">
        <f t="shared" ref="F299" si="400">IF(H299=0,"",H300/H299)</f>
        <v/>
      </c>
      <c r="G299" s="71" t="s">
        <v>168</v>
      </c>
      <c r="H299" s="67">
        <f t="shared" si="299"/>
        <v>0</v>
      </c>
      <c r="I299" s="112"/>
      <c r="J299" s="113"/>
      <c r="K299" s="113"/>
      <c r="L299" s="113"/>
      <c r="M299" s="113"/>
      <c r="N299" s="113"/>
      <c r="O299" s="113"/>
      <c r="P299" s="113"/>
      <c r="Q299" s="113"/>
      <c r="R299" s="113"/>
      <c r="S299" s="113"/>
      <c r="T299" s="113"/>
      <c r="U299" s="113"/>
      <c r="V299" s="113"/>
      <c r="W299" s="113"/>
      <c r="X299" s="113"/>
      <c r="Y299" s="113"/>
      <c r="Z299" s="113"/>
      <c r="AA299" s="113"/>
      <c r="AB299" s="113"/>
      <c r="AC299" s="113"/>
      <c r="AD299" s="113"/>
      <c r="AE299" s="113"/>
      <c r="AF299" s="113"/>
      <c r="AG299" s="113"/>
      <c r="AH299" s="113"/>
      <c r="AI299" s="113"/>
      <c r="AJ299" s="113"/>
      <c r="AK299" s="113"/>
      <c r="AL299" s="113"/>
      <c r="AM299" s="113"/>
      <c r="AN299" s="113"/>
      <c r="AO299" s="113"/>
      <c r="AP299" s="113"/>
      <c r="AQ299" s="113"/>
      <c r="AR299" s="113"/>
      <c r="AS299" s="113"/>
      <c r="AT299" s="113"/>
      <c r="AU299" s="113"/>
      <c r="AV299" s="113"/>
      <c r="AW299" s="113"/>
      <c r="AX299" s="113"/>
      <c r="AY299" s="113"/>
      <c r="AZ299" s="113"/>
      <c r="BA299" s="113"/>
      <c r="BB299" s="113"/>
      <c r="BC299" s="113"/>
      <c r="BD299" s="113"/>
      <c r="BE299" s="113"/>
      <c r="BF299" s="114"/>
    </row>
    <row r="300" spans="1:58">
      <c r="A300" s="475"/>
      <c r="B300" s="474"/>
      <c r="C300" s="468"/>
      <c r="D300" s="470"/>
      <c r="E300" s="472"/>
      <c r="F300" s="472"/>
      <c r="G300" s="72" t="s">
        <v>167</v>
      </c>
      <c r="H300" s="68">
        <f t="shared" si="299"/>
        <v>0</v>
      </c>
      <c r="I300" s="105"/>
      <c r="J300" s="106"/>
      <c r="K300" s="106"/>
      <c r="L300" s="106"/>
      <c r="M300" s="106"/>
      <c r="N300" s="106"/>
      <c r="O300" s="106"/>
      <c r="P300" s="106"/>
      <c r="Q300" s="106"/>
      <c r="R300" s="106"/>
      <c r="S300" s="106"/>
      <c r="T300" s="106"/>
      <c r="U300" s="106"/>
      <c r="V300" s="106"/>
      <c r="W300" s="106"/>
      <c r="X300" s="106"/>
      <c r="Y300" s="106"/>
      <c r="Z300" s="106"/>
      <c r="AA300" s="106"/>
      <c r="AB300" s="106"/>
      <c r="AC300" s="106"/>
      <c r="AD300" s="106"/>
      <c r="AE300" s="106"/>
      <c r="AF300" s="106"/>
      <c r="AG300" s="106"/>
      <c r="AH300" s="106"/>
      <c r="AI300" s="106"/>
      <c r="AJ300" s="106"/>
      <c r="AK300" s="106"/>
      <c r="AL300" s="106"/>
      <c r="AM300" s="106"/>
      <c r="AN300" s="106"/>
      <c r="AO300" s="106"/>
      <c r="AP300" s="106"/>
      <c r="AQ300" s="106"/>
      <c r="AR300" s="106"/>
      <c r="AS300" s="106"/>
      <c r="AT300" s="106"/>
      <c r="AU300" s="106"/>
      <c r="AV300" s="106"/>
      <c r="AW300" s="106"/>
      <c r="AX300" s="106"/>
      <c r="AY300" s="106"/>
      <c r="AZ300" s="106"/>
      <c r="BA300" s="106"/>
      <c r="BB300" s="106"/>
      <c r="BC300" s="106"/>
      <c r="BD300" s="106"/>
      <c r="BE300" s="106"/>
      <c r="BF300" s="107"/>
    </row>
    <row r="301" spans="1:58">
      <c r="A301" s="473">
        <f t="shared" si="358"/>
        <v>146</v>
      </c>
      <c r="B301" s="474"/>
      <c r="C301" s="476" t="s">
        <v>596</v>
      </c>
      <c r="D301" s="469">
        <f t="shared" ref="D301" si="401">SUM(I301:BF301)</f>
        <v>0</v>
      </c>
      <c r="E301" s="471" t="str">
        <f t="shared" ref="E301" si="402">IF(D301=0,"",H302/D301)</f>
        <v/>
      </c>
      <c r="F301" s="471" t="str">
        <f t="shared" ref="F301" si="403">IF(H301=0,"",H302/H301)</f>
        <v/>
      </c>
      <c r="G301" s="71" t="s">
        <v>168</v>
      </c>
      <c r="H301" s="67">
        <f t="shared" si="299"/>
        <v>0</v>
      </c>
      <c r="I301" s="112"/>
      <c r="J301" s="113"/>
      <c r="K301" s="113"/>
      <c r="L301" s="113"/>
      <c r="M301" s="113"/>
      <c r="N301" s="113"/>
      <c r="O301" s="113"/>
      <c r="P301" s="113"/>
      <c r="Q301" s="113"/>
      <c r="R301" s="113"/>
      <c r="S301" s="113"/>
      <c r="T301" s="113"/>
      <c r="U301" s="113"/>
      <c r="V301" s="113"/>
      <c r="W301" s="113"/>
      <c r="X301" s="113"/>
      <c r="Y301" s="113"/>
      <c r="Z301" s="113"/>
      <c r="AA301" s="113"/>
      <c r="AB301" s="113"/>
      <c r="AC301" s="113"/>
      <c r="AD301" s="113"/>
      <c r="AE301" s="113"/>
      <c r="AF301" s="113"/>
      <c r="AG301" s="113"/>
      <c r="AH301" s="113"/>
      <c r="AI301" s="113"/>
      <c r="AJ301" s="113"/>
      <c r="AK301" s="113"/>
      <c r="AL301" s="113"/>
      <c r="AM301" s="113"/>
      <c r="AN301" s="113"/>
      <c r="AO301" s="113"/>
      <c r="AP301" s="113"/>
      <c r="AQ301" s="113"/>
      <c r="AR301" s="113"/>
      <c r="AS301" s="113"/>
      <c r="AT301" s="113"/>
      <c r="AU301" s="113"/>
      <c r="AV301" s="113"/>
      <c r="AW301" s="113"/>
      <c r="AX301" s="113"/>
      <c r="AY301" s="113"/>
      <c r="AZ301" s="113"/>
      <c r="BA301" s="113"/>
      <c r="BB301" s="113"/>
      <c r="BC301" s="113"/>
      <c r="BD301" s="113"/>
      <c r="BE301" s="113"/>
      <c r="BF301" s="114"/>
    </row>
    <row r="302" spans="1:58">
      <c r="A302" s="475"/>
      <c r="B302" s="474"/>
      <c r="C302" s="468"/>
      <c r="D302" s="470"/>
      <c r="E302" s="472"/>
      <c r="F302" s="472"/>
      <c r="G302" s="72" t="s">
        <v>167</v>
      </c>
      <c r="H302" s="68">
        <f t="shared" si="299"/>
        <v>0</v>
      </c>
      <c r="I302" s="105"/>
      <c r="J302" s="106"/>
      <c r="K302" s="106"/>
      <c r="L302" s="106"/>
      <c r="M302" s="106"/>
      <c r="N302" s="106"/>
      <c r="O302" s="106"/>
      <c r="P302" s="106"/>
      <c r="Q302" s="106"/>
      <c r="R302" s="106"/>
      <c r="S302" s="106"/>
      <c r="T302" s="106"/>
      <c r="U302" s="106"/>
      <c r="V302" s="106"/>
      <c r="W302" s="106"/>
      <c r="X302" s="106"/>
      <c r="Y302" s="106"/>
      <c r="Z302" s="106"/>
      <c r="AA302" s="106"/>
      <c r="AB302" s="106"/>
      <c r="AC302" s="106"/>
      <c r="AD302" s="106"/>
      <c r="AE302" s="106"/>
      <c r="AF302" s="106"/>
      <c r="AG302" s="106"/>
      <c r="AH302" s="106"/>
      <c r="AI302" s="106"/>
      <c r="AJ302" s="106"/>
      <c r="AK302" s="106"/>
      <c r="AL302" s="106"/>
      <c r="AM302" s="106"/>
      <c r="AN302" s="106"/>
      <c r="AO302" s="106"/>
      <c r="AP302" s="106"/>
      <c r="AQ302" s="106"/>
      <c r="AR302" s="106"/>
      <c r="AS302" s="106"/>
      <c r="AT302" s="106"/>
      <c r="AU302" s="106"/>
      <c r="AV302" s="106"/>
      <c r="AW302" s="106"/>
      <c r="AX302" s="106"/>
      <c r="AY302" s="106"/>
      <c r="AZ302" s="106"/>
      <c r="BA302" s="106"/>
      <c r="BB302" s="106"/>
      <c r="BC302" s="106"/>
      <c r="BD302" s="106"/>
      <c r="BE302" s="106"/>
      <c r="BF302" s="107"/>
    </row>
    <row r="303" spans="1:58">
      <c r="A303" s="473">
        <f t="shared" si="358"/>
        <v>147</v>
      </c>
      <c r="B303" s="474"/>
      <c r="C303" s="476" t="s">
        <v>596</v>
      </c>
      <c r="D303" s="469">
        <f t="shared" ref="D303" si="404">SUM(I303:BF303)</f>
        <v>0</v>
      </c>
      <c r="E303" s="471" t="str">
        <f t="shared" ref="E303" si="405">IF(D303=0,"",H304/D303)</f>
        <v/>
      </c>
      <c r="F303" s="471" t="str">
        <f t="shared" ref="F303" si="406">IF(H303=0,"",H304/H303)</f>
        <v/>
      </c>
      <c r="G303" s="71" t="s">
        <v>168</v>
      </c>
      <c r="H303" s="67">
        <f t="shared" si="299"/>
        <v>0</v>
      </c>
      <c r="I303" s="112"/>
      <c r="J303" s="113"/>
      <c r="K303" s="113"/>
      <c r="L303" s="113"/>
      <c r="M303" s="113"/>
      <c r="N303" s="113"/>
      <c r="O303" s="113"/>
      <c r="P303" s="113"/>
      <c r="Q303" s="113"/>
      <c r="R303" s="113"/>
      <c r="S303" s="113"/>
      <c r="T303" s="113"/>
      <c r="U303" s="113"/>
      <c r="V303" s="113"/>
      <c r="W303" s="113"/>
      <c r="X303" s="113"/>
      <c r="Y303" s="113"/>
      <c r="Z303" s="113"/>
      <c r="AA303" s="113"/>
      <c r="AB303" s="113"/>
      <c r="AC303" s="113"/>
      <c r="AD303" s="113"/>
      <c r="AE303" s="113"/>
      <c r="AF303" s="113"/>
      <c r="AG303" s="113"/>
      <c r="AH303" s="113"/>
      <c r="AI303" s="113"/>
      <c r="AJ303" s="113"/>
      <c r="AK303" s="113"/>
      <c r="AL303" s="113"/>
      <c r="AM303" s="113"/>
      <c r="AN303" s="113"/>
      <c r="AO303" s="113"/>
      <c r="AP303" s="113"/>
      <c r="AQ303" s="113"/>
      <c r="AR303" s="113"/>
      <c r="AS303" s="113"/>
      <c r="AT303" s="113"/>
      <c r="AU303" s="113"/>
      <c r="AV303" s="113"/>
      <c r="AW303" s="113"/>
      <c r="AX303" s="113"/>
      <c r="AY303" s="113"/>
      <c r="AZ303" s="113"/>
      <c r="BA303" s="113"/>
      <c r="BB303" s="113"/>
      <c r="BC303" s="113"/>
      <c r="BD303" s="113"/>
      <c r="BE303" s="113"/>
      <c r="BF303" s="114"/>
    </row>
    <row r="304" spans="1:58">
      <c r="A304" s="475"/>
      <c r="B304" s="474"/>
      <c r="C304" s="468"/>
      <c r="D304" s="470"/>
      <c r="E304" s="472"/>
      <c r="F304" s="472"/>
      <c r="G304" s="72" t="s">
        <v>167</v>
      </c>
      <c r="H304" s="68">
        <f t="shared" si="299"/>
        <v>0</v>
      </c>
      <c r="I304" s="105"/>
      <c r="J304" s="106"/>
      <c r="K304" s="106"/>
      <c r="L304" s="106"/>
      <c r="M304" s="106"/>
      <c r="N304" s="106"/>
      <c r="O304" s="106"/>
      <c r="P304" s="106"/>
      <c r="Q304" s="106"/>
      <c r="R304" s="106"/>
      <c r="S304" s="106"/>
      <c r="T304" s="106"/>
      <c r="U304" s="106"/>
      <c r="V304" s="106"/>
      <c r="W304" s="106"/>
      <c r="X304" s="106"/>
      <c r="Y304" s="106"/>
      <c r="Z304" s="106"/>
      <c r="AA304" s="106"/>
      <c r="AB304" s="106"/>
      <c r="AC304" s="106"/>
      <c r="AD304" s="106"/>
      <c r="AE304" s="106"/>
      <c r="AF304" s="106"/>
      <c r="AG304" s="106"/>
      <c r="AH304" s="106"/>
      <c r="AI304" s="106"/>
      <c r="AJ304" s="106"/>
      <c r="AK304" s="106"/>
      <c r="AL304" s="106"/>
      <c r="AM304" s="106"/>
      <c r="AN304" s="106"/>
      <c r="AO304" s="106"/>
      <c r="AP304" s="106"/>
      <c r="AQ304" s="106"/>
      <c r="AR304" s="106"/>
      <c r="AS304" s="106"/>
      <c r="AT304" s="106"/>
      <c r="AU304" s="106"/>
      <c r="AV304" s="106"/>
      <c r="AW304" s="106"/>
      <c r="AX304" s="106"/>
      <c r="AY304" s="106"/>
      <c r="AZ304" s="106"/>
      <c r="BA304" s="106"/>
      <c r="BB304" s="106"/>
      <c r="BC304" s="106"/>
      <c r="BD304" s="106"/>
      <c r="BE304" s="106"/>
      <c r="BF304" s="107"/>
    </row>
    <row r="305" spans="1:58">
      <c r="A305" s="473">
        <f t="shared" si="358"/>
        <v>148</v>
      </c>
      <c r="B305" s="474"/>
      <c r="C305" s="476" t="s">
        <v>596</v>
      </c>
      <c r="D305" s="469">
        <f t="shared" ref="D305" si="407">SUM(I305:BF305)</f>
        <v>0</v>
      </c>
      <c r="E305" s="471" t="str">
        <f t="shared" ref="E305" si="408">IF(D305=0,"",H306/D305)</f>
        <v/>
      </c>
      <c r="F305" s="471" t="str">
        <f t="shared" ref="F305" si="409">IF(H305=0,"",H306/H305)</f>
        <v/>
      </c>
      <c r="G305" s="71" t="s">
        <v>168</v>
      </c>
      <c r="H305" s="67">
        <f t="shared" si="299"/>
        <v>0</v>
      </c>
      <c r="I305" s="112"/>
      <c r="J305" s="113"/>
      <c r="K305" s="113"/>
      <c r="L305" s="113"/>
      <c r="M305" s="113"/>
      <c r="N305" s="113"/>
      <c r="O305" s="113"/>
      <c r="P305" s="113"/>
      <c r="Q305" s="113"/>
      <c r="R305" s="113"/>
      <c r="S305" s="113"/>
      <c r="T305" s="113"/>
      <c r="U305" s="113"/>
      <c r="V305" s="113"/>
      <c r="W305" s="113"/>
      <c r="X305" s="113"/>
      <c r="Y305" s="113"/>
      <c r="Z305" s="113"/>
      <c r="AA305" s="113"/>
      <c r="AB305" s="113"/>
      <c r="AC305" s="113"/>
      <c r="AD305" s="113"/>
      <c r="AE305" s="113"/>
      <c r="AF305" s="113"/>
      <c r="AG305" s="113"/>
      <c r="AH305" s="113"/>
      <c r="AI305" s="113"/>
      <c r="AJ305" s="113"/>
      <c r="AK305" s="113"/>
      <c r="AL305" s="113"/>
      <c r="AM305" s="113"/>
      <c r="AN305" s="113"/>
      <c r="AO305" s="113"/>
      <c r="AP305" s="113"/>
      <c r="AQ305" s="113"/>
      <c r="AR305" s="113"/>
      <c r="AS305" s="113"/>
      <c r="AT305" s="113"/>
      <c r="AU305" s="113"/>
      <c r="AV305" s="113"/>
      <c r="AW305" s="113"/>
      <c r="AX305" s="113"/>
      <c r="AY305" s="113"/>
      <c r="AZ305" s="113"/>
      <c r="BA305" s="113"/>
      <c r="BB305" s="113"/>
      <c r="BC305" s="113"/>
      <c r="BD305" s="113"/>
      <c r="BE305" s="113"/>
      <c r="BF305" s="114"/>
    </row>
    <row r="306" spans="1:58">
      <c r="A306" s="475"/>
      <c r="B306" s="474"/>
      <c r="C306" s="468"/>
      <c r="D306" s="470"/>
      <c r="E306" s="472"/>
      <c r="F306" s="472"/>
      <c r="G306" s="72" t="s">
        <v>167</v>
      </c>
      <c r="H306" s="68">
        <f t="shared" si="299"/>
        <v>0</v>
      </c>
      <c r="I306" s="105"/>
      <c r="J306" s="106"/>
      <c r="K306" s="106"/>
      <c r="L306" s="106"/>
      <c r="M306" s="106"/>
      <c r="N306" s="106"/>
      <c r="O306" s="106"/>
      <c r="P306" s="106"/>
      <c r="Q306" s="106"/>
      <c r="R306" s="106"/>
      <c r="S306" s="106"/>
      <c r="T306" s="106"/>
      <c r="U306" s="106"/>
      <c r="V306" s="106"/>
      <c r="W306" s="106"/>
      <c r="X306" s="106"/>
      <c r="Y306" s="106"/>
      <c r="Z306" s="106"/>
      <c r="AA306" s="106"/>
      <c r="AB306" s="106"/>
      <c r="AC306" s="106"/>
      <c r="AD306" s="106"/>
      <c r="AE306" s="106"/>
      <c r="AF306" s="106"/>
      <c r="AG306" s="106"/>
      <c r="AH306" s="106"/>
      <c r="AI306" s="106"/>
      <c r="AJ306" s="106"/>
      <c r="AK306" s="106"/>
      <c r="AL306" s="106"/>
      <c r="AM306" s="106"/>
      <c r="AN306" s="106"/>
      <c r="AO306" s="106"/>
      <c r="AP306" s="106"/>
      <c r="AQ306" s="106"/>
      <c r="AR306" s="106"/>
      <c r="AS306" s="106"/>
      <c r="AT306" s="106"/>
      <c r="AU306" s="106"/>
      <c r="AV306" s="106"/>
      <c r="AW306" s="106"/>
      <c r="AX306" s="106"/>
      <c r="AY306" s="106"/>
      <c r="AZ306" s="106"/>
      <c r="BA306" s="106"/>
      <c r="BB306" s="106"/>
      <c r="BC306" s="106"/>
      <c r="BD306" s="106"/>
      <c r="BE306" s="106"/>
      <c r="BF306" s="107"/>
    </row>
    <row r="307" spans="1:58">
      <c r="A307" s="473">
        <f t="shared" si="358"/>
        <v>149</v>
      </c>
      <c r="B307" s="474"/>
      <c r="C307" s="476" t="s">
        <v>596</v>
      </c>
      <c r="D307" s="469">
        <f t="shared" ref="D307" si="410">SUM(I307:BF307)</f>
        <v>0</v>
      </c>
      <c r="E307" s="471" t="str">
        <f t="shared" ref="E307" si="411">IF(D307=0,"",H308/D307)</f>
        <v/>
      </c>
      <c r="F307" s="471" t="str">
        <f t="shared" ref="F307" si="412">IF(H307=0,"",H308/H307)</f>
        <v/>
      </c>
      <c r="G307" s="71" t="s">
        <v>168</v>
      </c>
      <c r="H307" s="67">
        <f t="shared" si="299"/>
        <v>0</v>
      </c>
      <c r="I307" s="112"/>
      <c r="J307" s="113"/>
      <c r="K307" s="113"/>
      <c r="L307" s="113"/>
      <c r="M307" s="113"/>
      <c r="N307" s="113"/>
      <c r="O307" s="113"/>
      <c r="P307" s="113"/>
      <c r="Q307" s="113"/>
      <c r="R307" s="113"/>
      <c r="S307" s="113"/>
      <c r="T307" s="113"/>
      <c r="U307" s="113"/>
      <c r="V307" s="113"/>
      <c r="W307" s="113"/>
      <c r="X307" s="113"/>
      <c r="Y307" s="113"/>
      <c r="Z307" s="113"/>
      <c r="AA307" s="113"/>
      <c r="AB307" s="113"/>
      <c r="AC307" s="113"/>
      <c r="AD307" s="113"/>
      <c r="AE307" s="113"/>
      <c r="AF307" s="113"/>
      <c r="AG307" s="113"/>
      <c r="AH307" s="113"/>
      <c r="AI307" s="113"/>
      <c r="AJ307" s="113"/>
      <c r="AK307" s="113"/>
      <c r="AL307" s="113"/>
      <c r="AM307" s="113"/>
      <c r="AN307" s="113"/>
      <c r="AO307" s="113"/>
      <c r="AP307" s="113"/>
      <c r="AQ307" s="113"/>
      <c r="AR307" s="113"/>
      <c r="AS307" s="113"/>
      <c r="AT307" s="113"/>
      <c r="AU307" s="113"/>
      <c r="AV307" s="113"/>
      <c r="AW307" s="113"/>
      <c r="AX307" s="113"/>
      <c r="AY307" s="113"/>
      <c r="AZ307" s="113"/>
      <c r="BA307" s="113"/>
      <c r="BB307" s="113"/>
      <c r="BC307" s="113"/>
      <c r="BD307" s="113"/>
      <c r="BE307" s="113"/>
      <c r="BF307" s="114"/>
    </row>
    <row r="308" spans="1:58">
      <c r="A308" s="475"/>
      <c r="B308" s="474"/>
      <c r="C308" s="468"/>
      <c r="D308" s="470"/>
      <c r="E308" s="472"/>
      <c r="F308" s="472"/>
      <c r="G308" s="72" t="s">
        <v>167</v>
      </c>
      <c r="H308" s="68">
        <f t="shared" si="299"/>
        <v>0</v>
      </c>
      <c r="I308" s="105"/>
      <c r="J308" s="106"/>
      <c r="K308" s="106"/>
      <c r="L308" s="106"/>
      <c r="M308" s="106"/>
      <c r="N308" s="106"/>
      <c r="O308" s="106"/>
      <c r="P308" s="106"/>
      <c r="Q308" s="106"/>
      <c r="R308" s="106"/>
      <c r="S308" s="106"/>
      <c r="T308" s="106"/>
      <c r="U308" s="106"/>
      <c r="V308" s="106"/>
      <c r="W308" s="106"/>
      <c r="X308" s="106"/>
      <c r="Y308" s="106"/>
      <c r="Z308" s="106"/>
      <c r="AA308" s="106"/>
      <c r="AB308" s="106"/>
      <c r="AC308" s="106"/>
      <c r="AD308" s="106"/>
      <c r="AE308" s="106"/>
      <c r="AF308" s="106"/>
      <c r="AG308" s="106"/>
      <c r="AH308" s="106"/>
      <c r="AI308" s="106"/>
      <c r="AJ308" s="106"/>
      <c r="AK308" s="106"/>
      <c r="AL308" s="106"/>
      <c r="AM308" s="106"/>
      <c r="AN308" s="106"/>
      <c r="AO308" s="106"/>
      <c r="AP308" s="106"/>
      <c r="AQ308" s="106"/>
      <c r="AR308" s="106"/>
      <c r="AS308" s="106"/>
      <c r="AT308" s="106"/>
      <c r="AU308" s="106"/>
      <c r="AV308" s="106"/>
      <c r="AW308" s="106"/>
      <c r="AX308" s="106"/>
      <c r="AY308" s="106"/>
      <c r="AZ308" s="106"/>
      <c r="BA308" s="106"/>
      <c r="BB308" s="106"/>
      <c r="BC308" s="106"/>
      <c r="BD308" s="106"/>
      <c r="BE308" s="106"/>
      <c r="BF308" s="107"/>
    </row>
    <row r="309" spans="1:58">
      <c r="A309" s="473">
        <f t="shared" si="358"/>
        <v>150</v>
      </c>
      <c r="B309" s="474"/>
      <c r="C309" s="476" t="s">
        <v>596</v>
      </c>
      <c r="D309" s="469">
        <f t="shared" ref="D309" si="413">SUM(I309:BF309)</f>
        <v>0</v>
      </c>
      <c r="E309" s="471" t="str">
        <f t="shared" ref="E309" si="414">IF(D309=0,"",H310/D309)</f>
        <v/>
      </c>
      <c r="F309" s="471" t="str">
        <f t="shared" ref="F309" si="415">IF(H309=0,"",H310/H309)</f>
        <v/>
      </c>
      <c r="G309" s="71" t="s">
        <v>168</v>
      </c>
      <c r="H309" s="67">
        <f t="shared" si="299"/>
        <v>0</v>
      </c>
      <c r="I309" s="112"/>
      <c r="J309" s="113"/>
      <c r="K309" s="113"/>
      <c r="L309" s="113"/>
      <c r="M309" s="113"/>
      <c r="N309" s="113"/>
      <c r="O309" s="113"/>
      <c r="P309" s="113"/>
      <c r="Q309" s="113"/>
      <c r="R309" s="113"/>
      <c r="S309" s="113"/>
      <c r="T309" s="113"/>
      <c r="U309" s="113"/>
      <c r="V309" s="113"/>
      <c r="W309" s="113"/>
      <c r="X309" s="113"/>
      <c r="Y309" s="113"/>
      <c r="Z309" s="113"/>
      <c r="AA309" s="113"/>
      <c r="AB309" s="113"/>
      <c r="AC309" s="113"/>
      <c r="AD309" s="113"/>
      <c r="AE309" s="113"/>
      <c r="AF309" s="113"/>
      <c r="AG309" s="113"/>
      <c r="AH309" s="113"/>
      <c r="AI309" s="113"/>
      <c r="AJ309" s="113"/>
      <c r="AK309" s="113"/>
      <c r="AL309" s="113"/>
      <c r="AM309" s="113"/>
      <c r="AN309" s="113"/>
      <c r="AO309" s="113"/>
      <c r="AP309" s="113"/>
      <c r="AQ309" s="113"/>
      <c r="AR309" s="113"/>
      <c r="AS309" s="113"/>
      <c r="AT309" s="113"/>
      <c r="AU309" s="113"/>
      <c r="AV309" s="113"/>
      <c r="AW309" s="113"/>
      <c r="AX309" s="113"/>
      <c r="AY309" s="113"/>
      <c r="AZ309" s="113"/>
      <c r="BA309" s="113"/>
      <c r="BB309" s="113"/>
      <c r="BC309" s="113"/>
      <c r="BD309" s="113"/>
      <c r="BE309" s="113"/>
      <c r="BF309" s="114"/>
    </row>
    <row r="310" spans="1:58">
      <c r="A310" s="475"/>
      <c r="B310" s="474"/>
      <c r="C310" s="468"/>
      <c r="D310" s="470"/>
      <c r="E310" s="472"/>
      <c r="F310" s="472"/>
      <c r="G310" s="72" t="s">
        <v>167</v>
      </c>
      <c r="H310" s="68">
        <f t="shared" si="299"/>
        <v>0</v>
      </c>
      <c r="I310" s="105"/>
      <c r="J310" s="106"/>
      <c r="K310" s="106"/>
      <c r="L310" s="106"/>
      <c r="M310" s="106"/>
      <c r="N310" s="106"/>
      <c r="O310" s="106"/>
      <c r="P310" s="106"/>
      <c r="Q310" s="106"/>
      <c r="R310" s="106"/>
      <c r="S310" s="106"/>
      <c r="T310" s="106"/>
      <c r="U310" s="106"/>
      <c r="V310" s="106"/>
      <c r="W310" s="106"/>
      <c r="X310" s="106"/>
      <c r="Y310" s="106"/>
      <c r="Z310" s="106"/>
      <c r="AA310" s="106"/>
      <c r="AB310" s="106"/>
      <c r="AC310" s="106"/>
      <c r="AD310" s="106"/>
      <c r="AE310" s="106"/>
      <c r="AF310" s="106"/>
      <c r="AG310" s="106"/>
      <c r="AH310" s="106"/>
      <c r="AI310" s="106"/>
      <c r="AJ310" s="106"/>
      <c r="AK310" s="106"/>
      <c r="AL310" s="106"/>
      <c r="AM310" s="106"/>
      <c r="AN310" s="106"/>
      <c r="AO310" s="106"/>
      <c r="AP310" s="106"/>
      <c r="AQ310" s="106"/>
      <c r="AR310" s="106"/>
      <c r="AS310" s="106"/>
      <c r="AT310" s="106"/>
      <c r="AU310" s="106"/>
      <c r="AV310" s="106"/>
      <c r="AW310" s="106"/>
      <c r="AX310" s="106"/>
      <c r="AY310" s="106"/>
      <c r="AZ310" s="106"/>
      <c r="BA310" s="106"/>
      <c r="BB310" s="106"/>
      <c r="BC310" s="106"/>
      <c r="BD310" s="106"/>
      <c r="BE310" s="106"/>
      <c r="BF310" s="107"/>
    </row>
    <row r="311" spans="1:58">
      <c r="A311" s="473">
        <f t="shared" si="358"/>
        <v>151</v>
      </c>
      <c r="B311" s="474"/>
      <c r="C311" s="476" t="s">
        <v>596</v>
      </c>
      <c r="D311" s="469">
        <f t="shared" ref="D311" si="416">SUM(I311:BF311)</f>
        <v>0</v>
      </c>
      <c r="E311" s="471" t="str">
        <f t="shared" ref="E311" si="417">IF(D311=0,"",H312/D311)</f>
        <v/>
      </c>
      <c r="F311" s="471" t="str">
        <f t="shared" ref="F311" si="418">IF(H311=0,"",H312/H311)</f>
        <v/>
      </c>
      <c r="G311" s="71" t="s">
        <v>168</v>
      </c>
      <c r="H311" s="67">
        <f t="shared" si="299"/>
        <v>0</v>
      </c>
      <c r="I311" s="112"/>
      <c r="J311" s="113"/>
      <c r="K311" s="113"/>
      <c r="L311" s="113"/>
      <c r="M311" s="113"/>
      <c r="N311" s="113"/>
      <c r="O311" s="113"/>
      <c r="P311" s="113"/>
      <c r="Q311" s="113"/>
      <c r="R311" s="113"/>
      <c r="S311" s="113"/>
      <c r="T311" s="113"/>
      <c r="U311" s="113"/>
      <c r="V311" s="113"/>
      <c r="W311" s="113"/>
      <c r="X311" s="113"/>
      <c r="Y311" s="113"/>
      <c r="Z311" s="113"/>
      <c r="AA311" s="113"/>
      <c r="AB311" s="113"/>
      <c r="AC311" s="113"/>
      <c r="AD311" s="113"/>
      <c r="AE311" s="113"/>
      <c r="AF311" s="113"/>
      <c r="AG311" s="113"/>
      <c r="AH311" s="113"/>
      <c r="AI311" s="113"/>
      <c r="AJ311" s="113"/>
      <c r="AK311" s="113"/>
      <c r="AL311" s="113"/>
      <c r="AM311" s="113"/>
      <c r="AN311" s="113"/>
      <c r="AO311" s="113"/>
      <c r="AP311" s="113"/>
      <c r="AQ311" s="113"/>
      <c r="AR311" s="113"/>
      <c r="AS311" s="113"/>
      <c r="AT311" s="113"/>
      <c r="AU311" s="113"/>
      <c r="AV311" s="113"/>
      <c r="AW311" s="113"/>
      <c r="AX311" s="113"/>
      <c r="AY311" s="113"/>
      <c r="AZ311" s="113"/>
      <c r="BA311" s="113"/>
      <c r="BB311" s="113"/>
      <c r="BC311" s="113"/>
      <c r="BD311" s="113"/>
      <c r="BE311" s="113"/>
      <c r="BF311" s="114"/>
    </row>
    <row r="312" spans="1:58">
      <c r="A312" s="475"/>
      <c r="B312" s="474"/>
      <c r="C312" s="468"/>
      <c r="D312" s="470"/>
      <c r="E312" s="472"/>
      <c r="F312" s="472"/>
      <c r="G312" s="72" t="s">
        <v>167</v>
      </c>
      <c r="H312" s="68">
        <f t="shared" si="299"/>
        <v>0</v>
      </c>
      <c r="I312" s="105"/>
      <c r="J312" s="106"/>
      <c r="K312" s="106"/>
      <c r="L312" s="106"/>
      <c r="M312" s="106"/>
      <c r="N312" s="106"/>
      <c r="O312" s="106"/>
      <c r="P312" s="106"/>
      <c r="Q312" s="106"/>
      <c r="R312" s="106"/>
      <c r="S312" s="106"/>
      <c r="T312" s="106"/>
      <c r="U312" s="106"/>
      <c r="V312" s="106"/>
      <c r="W312" s="106"/>
      <c r="X312" s="106"/>
      <c r="Y312" s="106"/>
      <c r="Z312" s="106"/>
      <c r="AA312" s="106"/>
      <c r="AB312" s="106"/>
      <c r="AC312" s="106"/>
      <c r="AD312" s="106"/>
      <c r="AE312" s="106"/>
      <c r="AF312" s="106"/>
      <c r="AG312" s="106"/>
      <c r="AH312" s="106"/>
      <c r="AI312" s="106"/>
      <c r="AJ312" s="106"/>
      <c r="AK312" s="106"/>
      <c r="AL312" s="106"/>
      <c r="AM312" s="106"/>
      <c r="AN312" s="106"/>
      <c r="AO312" s="106"/>
      <c r="AP312" s="106"/>
      <c r="AQ312" s="106"/>
      <c r="AR312" s="106"/>
      <c r="AS312" s="106"/>
      <c r="AT312" s="106"/>
      <c r="AU312" s="106"/>
      <c r="AV312" s="106"/>
      <c r="AW312" s="106"/>
      <c r="AX312" s="106"/>
      <c r="AY312" s="106"/>
      <c r="AZ312" s="106"/>
      <c r="BA312" s="106"/>
      <c r="BB312" s="106"/>
      <c r="BC312" s="106"/>
      <c r="BD312" s="106"/>
      <c r="BE312" s="106"/>
      <c r="BF312" s="107"/>
    </row>
    <row r="313" spans="1:58">
      <c r="A313" s="473">
        <f t="shared" si="358"/>
        <v>152</v>
      </c>
      <c r="B313" s="474"/>
      <c r="C313" s="476" t="s">
        <v>596</v>
      </c>
      <c r="D313" s="469">
        <f t="shared" ref="D313" si="419">SUM(I313:BF313)</f>
        <v>0</v>
      </c>
      <c r="E313" s="471" t="str">
        <f t="shared" ref="E313" si="420">IF(D313=0,"",H314/D313)</f>
        <v/>
      </c>
      <c r="F313" s="471" t="str">
        <f t="shared" ref="F313" si="421">IF(H313=0,"",H314/H313)</f>
        <v/>
      </c>
      <c r="G313" s="71" t="s">
        <v>168</v>
      </c>
      <c r="H313" s="67">
        <f t="shared" si="299"/>
        <v>0</v>
      </c>
      <c r="I313" s="112"/>
      <c r="J313" s="113"/>
      <c r="K313" s="113"/>
      <c r="L313" s="113"/>
      <c r="M313" s="113"/>
      <c r="N313" s="113"/>
      <c r="O313" s="113"/>
      <c r="P313" s="113"/>
      <c r="Q313" s="113"/>
      <c r="R313" s="113"/>
      <c r="S313" s="113"/>
      <c r="T313" s="113"/>
      <c r="U313" s="113"/>
      <c r="V313" s="113"/>
      <c r="W313" s="113"/>
      <c r="X313" s="113"/>
      <c r="Y313" s="113"/>
      <c r="Z313" s="113"/>
      <c r="AA313" s="113"/>
      <c r="AB313" s="113"/>
      <c r="AC313" s="113"/>
      <c r="AD313" s="113"/>
      <c r="AE313" s="113"/>
      <c r="AF313" s="113"/>
      <c r="AG313" s="113"/>
      <c r="AH313" s="113"/>
      <c r="AI313" s="113"/>
      <c r="AJ313" s="113"/>
      <c r="AK313" s="113"/>
      <c r="AL313" s="113"/>
      <c r="AM313" s="113"/>
      <c r="AN313" s="113"/>
      <c r="AO313" s="113"/>
      <c r="AP313" s="113"/>
      <c r="AQ313" s="113"/>
      <c r="AR313" s="113"/>
      <c r="AS313" s="113"/>
      <c r="AT313" s="113"/>
      <c r="AU313" s="113"/>
      <c r="AV313" s="113"/>
      <c r="AW313" s="113"/>
      <c r="AX313" s="113"/>
      <c r="AY313" s="113"/>
      <c r="AZ313" s="113"/>
      <c r="BA313" s="113"/>
      <c r="BB313" s="113"/>
      <c r="BC313" s="113"/>
      <c r="BD313" s="113"/>
      <c r="BE313" s="113"/>
      <c r="BF313" s="114"/>
    </row>
    <row r="314" spans="1:58">
      <c r="A314" s="475"/>
      <c r="B314" s="474"/>
      <c r="C314" s="468"/>
      <c r="D314" s="470"/>
      <c r="E314" s="472"/>
      <c r="F314" s="472"/>
      <c r="G314" s="72" t="s">
        <v>167</v>
      </c>
      <c r="H314" s="68">
        <f t="shared" si="299"/>
        <v>0</v>
      </c>
      <c r="I314" s="105"/>
      <c r="J314" s="106"/>
      <c r="K314" s="106"/>
      <c r="L314" s="106"/>
      <c r="M314" s="106"/>
      <c r="N314" s="106"/>
      <c r="O314" s="106"/>
      <c r="P314" s="106"/>
      <c r="Q314" s="106"/>
      <c r="R314" s="106"/>
      <c r="S314" s="106"/>
      <c r="T314" s="106"/>
      <c r="U314" s="106"/>
      <c r="V314" s="106"/>
      <c r="W314" s="106"/>
      <c r="X314" s="106"/>
      <c r="Y314" s="106"/>
      <c r="Z314" s="106"/>
      <c r="AA314" s="106"/>
      <c r="AB314" s="106"/>
      <c r="AC314" s="106"/>
      <c r="AD314" s="106"/>
      <c r="AE314" s="106"/>
      <c r="AF314" s="106"/>
      <c r="AG314" s="106"/>
      <c r="AH314" s="106"/>
      <c r="AI314" s="106"/>
      <c r="AJ314" s="106"/>
      <c r="AK314" s="106"/>
      <c r="AL314" s="106"/>
      <c r="AM314" s="106"/>
      <c r="AN314" s="106"/>
      <c r="AO314" s="106"/>
      <c r="AP314" s="106"/>
      <c r="AQ314" s="106"/>
      <c r="AR314" s="106"/>
      <c r="AS314" s="106"/>
      <c r="AT314" s="106"/>
      <c r="AU314" s="106"/>
      <c r="AV314" s="106"/>
      <c r="AW314" s="106"/>
      <c r="AX314" s="106"/>
      <c r="AY314" s="106"/>
      <c r="AZ314" s="106"/>
      <c r="BA314" s="106"/>
      <c r="BB314" s="106"/>
      <c r="BC314" s="106"/>
      <c r="BD314" s="106"/>
      <c r="BE314" s="106"/>
      <c r="BF314" s="107"/>
    </row>
    <row r="315" spans="1:58">
      <c r="A315" s="473">
        <f t="shared" si="358"/>
        <v>153</v>
      </c>
      <c r="B315" s="474"/>
      <c r="C315" s="476" t="s">
        <v>596</v>
      </c>
      <c r="D315" s="469">
        <f t="shared" ref="D315" si="422">SUM(I315:BF315)</f>
        <v>0</v>
      </c>
      <c r="E315" s="471" t="str">
        <f t="shared" ref="E315" si="423">IF(D315=0,"",H316/D315)</f>
        <v/>
      </c>
      <c r="F315" s="471" t="str">
        <f t="shared" ref="F315" si="424">IF(H315=0,"",H316/H315)</f>
        <v/>
      </c>
      <c r="G315" s="71" t="s">
        <v>168</v>
      </c>
      <c r="H315" s="67">
        <f t="shared" si="299"/>
        <v>0</v>
      </c>
      <c r="I315" s="112"/>
      <c r="J315" s="113"/>
      <c r="K315" s="113"/>
      <c r="L315" s="113"/>
      <c r="M315" s="113"/>
      <c r="N315" s="113"/>
      <c r="O315" s="113"/>
      <c r="P315" s="113"/>
      <c r="Q315" s="113"/>
      <c r="R315" s="113"/>
      <c r="S315" s="113"/>
      <c r="T315" s="113"/>
      <c r="U315" s="113"/>
      <c r="V315" s="113"/>
      <c r="W315" s="113"/>
      <c r="X315" s="113"/>
      <c r="Y315" s="113"/>
      <c r="Z315" s="113"/>
      <c r="AA315" s="113"/>
      <c r="AB315" s="113"/>
      <c r="AC315" s="113"/>
      <c r="AD315" s="113"/>
      <c r="AE315" s="113"/>
      <c r="AF315" s="113"/>
      <c r="AG315" s="113"/>
      <c r="AH315" s="113"/>
      <c r="AI315" s="113"/>
      <c r="AJ315" s="113"/>
      <c r="AK315" s="113"/>
      <c r="AL315" s="113"/>
      <c r="AM315" s="113"/>
      <c r="AN315" s="113"/>
      <c r="AO315" s="113"/>
      <c r="AP315" s="113"/>
      <c r="AQ315" s="113"/>
      <c r="AR315" s="113"/>
      <c r="AS315" s="113"/>
      <c r="AT315" s="113"/>
      <c r="AU315" s="113"/>
      <c r="AV315" s="113"/>
      <c r="AW315" s="113"/>
      <c r="AX315" s="113"/>
      <c r="AY315" s="113"/>
      <c r="AZ315" s="113"/>
      <c r="BA315" s="113"/>
      <c r="BB315" s="113"/>
      <c r="BC315" s="113"/>
      <c r="BD315" s="113"/>
      <c r="BE315" s="113"/>
      <c r="BF315" s="114"/>
    </row>
    <row r="316" spans="1:58">
      <c r="A316" s="475"/>
      <c r="B316" s="474"/>
      <c r="C316" s="468"/>
      <c r="D316" s="470"/>
      <c r="E316" s="472"/>
      <c r="F316" s="472"/>
      <c r="G316" s="72" t="s">
        <v>167</v>
      </c>
      <c r="H316" s="68">
        <f t="shared" si="299"/>
        <v>0</v>
      </c>
      <c r="I316" s="105"/>
      <c r="J316" s="106"/>
      <c r="K316" s="106"/>
      <c r="L316" s="106"/>
      <c r="M316" s="106"/>
      <c r="N316" s="106"/>
      <c r="O316" s="106"/>
      <c r="P316" s="106"/>
      <c r="Q316" s="106"/>
      <c r="R316" s="106"/>
      <c r="S316" s="106"/>
      <c r="T316" s="106"/>
      <c r="U316" s="106"/>
      <c r="V316" s="106"/>
      <c r="W316" s="106"/>
      <c r="X316" s="106"/>
      <c r="Y316" s="106"/>
      <c r="Z316" s="106"/>
      <c r="AA316" s="106"/>
      <c r="AB316" s="106"/>
      <c r="AC316" s="106"/>
      <c r="AD316" s="106"/>
      <c r="AE316" s="106"/>
      <c r="AF316" s="106"/>
      <c r="AG316" s="106"/>
      <c r="AH316" s="106"/>
      <c r="AI316" s="106"/>
      <c r="AJ316" s="106"/>
      <c r="AK316" s="106"/>
      <c r="AL316" s="106"/>
      <c r="AM316" s="106"/>
      <c r="AN316" s="106"/>
      <c r="AO316" s="106"/>
      <c r="AP316" s="106"/>
      <c r="AQ316" s="106"/>
      <c r="AR316" s="106"/>
      <c r="AS316" s="106"/>
      <c r="AT316" s="106"/>
      <c r="AU316" s="106"/>
      <c r="AV316" s="106"/>
      <c r="AW316" s="106"/>
      <c r="AX316" s="106"/>
      <c r="AY316" s="106"/>
      <c r="AZ316" s="106"/>
      <c r="BA316" s="106"/>
      <c r="BB316" s="106"/>
      <c r="BC316" s="106"/>
      <c r="BD316" s="106"/>
      <c r="BE316" s="106"/>
      <c r="BF316" s="107"/>
    </row>
    <row r="317" spans="1:58">
      <c r="A317" s="473">
        <f t="shared" si="358"/>
        <v>154</v>
      </c>
      <c r="B317" s="474"/>
      <c r="C317" s="476" t="s">
        <v>596</v>
      </c>
      <c r="D317" s="469">
        <f t="shared" ref="D317" si="425">SUM(I317:BF317)</f>
        <v>0</v>
      </c>
      <c r="E317" s="471" t="str">
        <f t="shared" ref="E317" si="426">IF(D317=0,"",H318/D317)</f>
        <v/>
      </c>
      <c r="F317" s="471" t="str">
        <f t="shared" ref="F317" si="427">IF(H317=0,"",H318/H317)</f>
        <v/>
      </c>
      <c r="G317" s="71" t="s">
        <v>168</v>
      </c>
      <c r="H317" s="67">
        <f t="shared" si="299"/>
        <v>0</v>
      </c>
      <c r="I317" s="112"/>
      <c r="J317" s="113"/>
      <c r="K317" s="113"/>
      <c r="L317" s="113"/>
      <c r="M317" s="113"/>
      <c r="N317" s="113"/>
      <c r="O317" s="113"/>
      <c r="P317" s="113"/>
      <c r="Q317" s="113"/>
      <c r="R317" s="113"/>
      <c r="S317" s="113"/>
      <c r="T317" s="113"/>
      <c r="U317" s="113"/>
      <c r="V317" s="113"/>
      <c r="W317" s="113"/>
      <c r="X317" s="113"/>
      <c r="Y317" s="113"/>
      <c r="Z317" s="113"/>
      <c r="AA317" s="113"/>
      <c r="AB317" s="113"/>
      <c r="AC317" s="113"/>
      <c r="AD317" s="113"/>
      <c r="AE317" s="113"/>
      <c r="AF317" s="113"/>
      <c r="AG317" s="113"/>
      <c r="AH317" s="113"/>
      <c r="AI317" s="113"/>
      <c r="AJ317" s="113"/>
      <c r="AK317" s="113"/>
      <c r="AL317" s="113"/>
      <c r="AM317" s="113"/>
      <c r="AN317" s="113"/>
      <c r="AO317" s="113"/>
      <c r="AP317" s="113"/>
      <c r="AQ317" s="113"/>
      <c r="AR317" s="113"/>
      <c r="AS317" s="113"/>
      <c r="AT317" s="113"/>
      <c r="AU317" s="113"/>
      <c r="AV317" s="113"/>
      <c r="AW317" s="113"/>
      <c r="AX317" s="113"/>
      <c r="AY317" s="113"/>
      <c r="AZ317" s="113"/>
      <c r="BA317" s="113"/>
      <c r="BB317" s="113"/>
      <c r="BC317" s="113"/>
      <c r="BD317" s="113"/>
      <c r="BE317" s="113"/>
      <c r="BF317" s="114"/>
    </row>
    <row r="318" spans="1:58">
      <c r="A318" s="475"/>
      <c r="B318" s="474"/>
      <c r="C318" s="468"/>
      <c r="D318" s="470"/>
      <c r="E318" s="472"/>
      <c r="F318" s="472"/>
      <c r="G318" s="72" t="s">
        <v>167</v>
      </c>
      <c r="H318" s="68">
        <f t="shared" si="299"/>
        <v>0</v>
      </c>
      <c r="I318" s="105"/>
      <c r="J318" s="106"/>
      <c r="K318" s="106"/>
      <c r="L318" s="106"/>
      <c r="M318" s="106"/>
      <c r="N318" s="106"/>
      <c r="O318" s="106"/>
      <c r="P318" s="106"/>
      <c r="Q318" s="106"/>
      <c r="R318" s="106"/>
      <c r="S318" s="106"/>
      <c r="T318" s="106"/>
      <c r="U318" s="106"/>
      <c r="V318" s="106"/>
      <c r="W318" s="106"/>
      <c r="X318" s="106"/>
      <c r="Y318" s="106"/>
      <c r="Z318" s="106"/>
      <c r="AA318" s="106"/>
      <c r="AB318" s="106"/>
      <c r="AC318" s="106"/>
      <c r="AD318" s="106"/>
      <c r="AE318" s="106"/>
      <c r="AF318" s="106"/>
      <c r="AG318" s="106"/>
      <c r="AH318" s="106"/>
      <c r="AI318" s="106"/>
      <c r="AJ318" s="106"/>
      <c r="AK318" s="106"/>
      <c r="AL318" s="106"/>
      <c r="AM318" s="106"/>
      <c r="AN318" s="106"/>
      <c r="AO318" s="106"/>
      <c r="AP318" s="106"/>
      <c r="AQ318" s="106"/>
      <c r="AR318" s="106"/>
      <c r="AS318" s="106"/>
      <c r="AT318" s="106"/>
      <c r="AU318" s="106"/>
      <c r="AV318" s="106"/>
      <c r="AW318" s="106"/>
      <c r="AX318" s="106"/>
      <c r="AY318" s="106"/>
      <c r="AZ318" s="106"/>
      <c r="BA318" s="106"/>
      <c r="BB318" s="106"/>
      <c r="BC318" s="106"/>
      <c r="BD318" s="106"/>
      <c r="BE318" s="106"/>
      <c r="BF318" s="107"/>
    </row>
    <row r="319" spans="1:58">
      <c r="A319" s="473">
        <f t="shared" si="358"/>
        <v>155</v>
      </c>
      <c r="B319" s="474"/>
      <c r="C319" s="476" t="s">
        <v>596</v>
      </c>
      <c r="D319" s="469">
        <f t="shared" ref="D319" si="428">SUM(I319:BF319)</f>
        <v>0</v>
      </c>
      <c r="E319" s="471" t="str">
        <f t="shared" ref="E319" si="429">IF(D319=0,"",H320/D319)</f>
        <v/>
      </c>
      <c r="F319" s="471" t="str">
        <f t="shared" ref="F319" si="430">IF(H319=0,"",H320/H319)</f>
        <v/>
      </c>
      <c r="G319" s="71" t="s">
        <v>168</v>
      </c>
      <c r="H319" s="67">
        <f t="shared" si="299"/>
        <v>0</v>
      </c>
      <c r="I319" s="112"/>
      <c r="J319" s="113"/>
      <c r="K319" s="113"/>
      <c r="L319" s="113"/>
      <c r="M319" s="113"/>
      <c r="N319" s="113"/>
      <c r="O319" s="113"/>
      <c r="P319" s="113"/>
      <c r="Q319" s="113"/>
      <c r="R319" s="113"/>
      <c r="S319" s="113"/>
      <c r="T319" s="113"/>
      <c r="U319" s="113"/>
      <c r="V319" s="113"/>
      <c r="W319" s="113"/>
      <c r="X319" s="113"/>
      <c r="Y319" s="113"/>
      <c r="Z319" s="113"/>
      <c r="AA319" s="113"/>
      <c r="AB319" s="113"/>
      <c r="AC319" s="113"/>
      <c r="AD319" s="113"/>
      <c r="AE319" s="113"/>
      <c r="AF319" s="113"/>
      <c r="AG319" s="113"/>
      <c r="AH319" s="113"/>
      <c r="AI319" s="113"/>
      <c r="AJ319" s="113"/>
      <c r="AK319" s="113"/>
      <c r="AL319" s="113"/>
      <c r="AM319" s="113"/>
      <c r="AN319" s="113"/>
      <c r="AO319" s="113"/>
      <c r="AP319" s="113"/>
      <c r="AQ319" s="113"/>
      <c r="AR319" s="113"/>
      <c r="AS319" s="113"/>
      <c r="AT319" s="113"/>
      <c r="AU319" s="113"/>
      <c r="AV319" s="113"/>
      <c r="AW319" s="113"/>
      <c r="AX319" s="113"/>
      <c r="AY319" s="113"/>
      <c r="AZ319" s="113"/>
      <c r="BA319" s="113"/>
      <c r="BB319" s="113"/>
      <c r="BC319" s="113"/>
      <c r="BD319" s="113"/>
      <c r="BE319" s="113"/>
      <c r="BF319" s="114"/>
    </row>
    <row r="320" spans="1:58">
      <c r="A320" s="475"/>
      <c r="B320" s="474"/>
      <c r="C320" s="468"/>
      <c r="D320" s="470"/>
      <c r="E320" s="472"/>
      <c r="F320" s="472"/>
      <c r="G320" s="72" t="s">
        <v>167</v>
      </c>
      <c r="H320" s="68">
        <f t="shared" si="299"/>
        <v>0</v>
      </c>
      <c r="I320" s="105"/>
      <c r="J320" s="106"/>
      <c r="K320" s="106"/>
      <c r="L320" s="106"/>
      <c r="M320" s="106"/>
      <c r="N320" s="106"/>
      <c r="O320" s="106"/>
      <c r="P320" s="106"/>
      <c r="Q320" s="106"/>
      <c r="R320" s="106"/>
      <c r="S320" s="106"/>
      <c r="T320" s="106"/>
      <c r="U320" s="106"/>
      <c r="V320" s="106"/>
      <c r="W320" s="106"/>
      <c r="X320" s="106"/>
      <c r="Y320" s="106"/>
      <c r="Z320" s="106"/>
      <c r="AA320" s="106"/>
      <c r="AB320" s="106"/>
      <c r="AC320" s="106"/>
      <c r="AD320" s="106"/>
      <c r="AE320" s="106"/>
      <c r="AF320" s="106"/>
      <c r="AG320" s="106"/>
      <c r="AH320" s="106"/>
      <c r="AI320" s="106"/>
      <c r="AJ320" s="106"/>
      <c r="AK320" s="106"/>
      <c r="AL320" s="106"/>
      <c r="AM320" s="106"/>
      <c r="AN320" s="106"/>
      <c r="AO320" s="106"/>
      <c r="AP320" s="106"/>
      <c r="AQ320" s="106"/>
      <c r="AR320" s="106"/>
      <c r="AS320" s="106"/>
      <c r="AT320" s="106"/>
      <c r="AU320" s="106"/>
      <c r="AV320" s="106"/>
      <c r="AW320" s="106"/>
      <c r="AX320" s="106"/>
      <c r="AY320" s="106"/>
      <c r="AZ320" s="106"/>
      <c r="BA320" s="106"/>
      <c r="BB320" s="106"/>
      <c r="BC320" s="106"/>
      <c r="BD320" s="106"/>
      <c r="BE320" s="106"/>
      <c r="BF320" s="107"/>
    </row>
    <row r="321" spans="1:58">
      <c r="A321" s="473">
        <f t="shared" si="358"/>
        <v>156</v>
      </c>
      <c r="B321" s="474"/>
      <c r="C321" s="476" t="s">
        <v>596</v>
      </c>
      <c r="D321" s="469">
        <f t="shared" ref="D321" si="431">SUM(I321:BF321)</f>
        <v>0</v>
      </c>
      <c r="E321" s="471" t="str">
        <f t="shared" ref="E321" si="432">IF(D321=0,"",H322/D321)</f>
        <v/>
      </c>
      <c r="F321" s="471" t="str">
        <f t="shared" ref="F321" si="433">IF(H321=0,"",H322/H321)</f>
        <v/>
      </c>
      <c r="G321" s="71" t="s">
        <v>168</v>
      </c>
      <c r="H321" s="67">
        <f t="shared" si="299"/>
        <v>0</v>
      </c>
      <c r="I321" s="112"/>
      <c r="J321" s="113"/>
      <c r="K321" s="113"/>
      <c r="L321" s="113"/>
      <c r="M321" s="113"/>
      <c r="N321" s="113"/>
      <c r="O321" s="113"/>
      <c r="P321" s="113"/>
      <c r="Q321" s="113"/>
      <c r="R321" s="113"/>
      <c r="S321" s="113"/>
      <c r="T321" s="113"/>
      <c r="U321" s="113"/>
      <c r="V321" s="113"/>
      <c r="W321" s="113"/>
      <c r="X321" s="113"/>
      <c r="Y321" s="113"/>
      <c r="Z321" s="113"/>
      <c r="AA321" s="113"/>
      <c r="AB321" s="113"/>
      <c r="AC321" s="113"/>
      <c r="AD321" s="113"/>
      <c r="AE321" s="113"/>
      <c r="AF321" s="113"/>
      <c r="AG321" s="113"/>
      <c r="AH321" s="113"/>
      <c r="AI321" s="113"/>
      <c r="AJ321" s="113"/>
      <c r="AK321" s="113"/>
      <c r="AL321" s="113"/>
      <c r="AM321" s="113"/>
      <c r="AN321" s="113"/>
      <c r="AO321" s="113"/>
      <c r="AP321" s="113"/>
      <c r="AQ321" s="113"/>
      <c r="AR321" s="113"/>
      <c r="AS321" s="113"/>
      <c r="AT321" s="113"/>
      <c r="AU321" s="113"/>
      <c r="AV321" s="113"/>
      <c r="AW321" s="113"/>
      <c r="AX321" s="113"/>
      <c r="AY321" s="113"/>
      <c r="AZ321" s="113"/>
      <c r="BA321" s="113"/>
      <c r="BB321" s="113"/>
      <c r="BC321" s="113"/>
      <c r="BD321" s="113"/>
      <c r="BE321" s="113"/>
      <c r="BF321" s="114"/>
    </row>
    <row r="322" spans="1:58">
      <c r="A322" s="475"/>
      <c r="B322" s="474"/>
      <c r="C322" s="468"/>
      <c r="D322" s="470"/>
      <c r="E322" s="472"/>
      <c r="F322" s="472"/>
      <c r="G322" s="72" t="s">
        <v>167</v>
      </c>
      <c r="H322" s="68">
        <f t="shared" si="299"/>
        <v>0</v>
      </c>
      <c r="I322" s="105"/>
      <c r="J322" s="106"/>
      <c r="K322" s="106"/>
      <c r="L322" s="106"/>
      <c r="M322" s="106"/>
      <c r="N322" s="106"/>
      <c r="O322" s="106"/>
      <c r="P322" s="106"/>
      <c r="Q322" s="106"/>
      <c r="R322" s="106"/>
      <c r="S322" s="106"/>
      <c r="T322" s="106"/>
      <c r="U322" s="106"/>
      <c r="V322" s="106"/>
      <c r="W322" s="106"/>
      <c r="X322" s="106"/>
      <c r="Y322" s="106"/>
      <c r="Z322" s="106"/>
      <c r="AA322" s="106"/>
      <c r="AB322" s="106"/>
      <c r="AC322" s="106"/>
      <c r="AD322" s="106"/>
      <c r="AE322" s="106"/>
      <c r="AF322" s="106"/>
      <c r="AG322" s="106"/>
      <c r="AH322" s="106"/>
      <c r="AI322" s="106"/>
      <c r="AJ322" s="106"/>
      <c r="AK322" s="106"/>
      <c r="AL322" s="106"/>
      <c r="AM322" s="106"/>
      <c r="AN322" s="106"/>
      <c r="AO322" s="106"/>
      <c r="AP322" s="106"/>
      <c r="AQ322" s="106"/>
      <c r="AR322" s="106"/>
      <c r="AS322" s="106"/>
      <c r="AT322" s="106"/>
      <c r="AU322" s="106"/>
      <c r="AV322" s="106"/>
      <c r="AW322" s="106"/>
      <c r="AX322" s="106"/>
      <c r="AY322" s="106"/>
      <c r="AZ322" s="106"/>
      <c r="BA322" s="106"/>
      <c r="BB322" s="106"/>
      <c r="BC322" s="106"/>
      <c r="BD322" s="106"/>
      <c r="BE322" s="106"/>
      <c r="BF322" s="107"/>
    </row>
    <row r="323" spans="1:58">
      <c r="A323" s="473">
        <f t="shared" si="358"/>
        <v>157</v>
      </c>
      <c r="B323" s="474"/>
      <c r="C323" s="476" t="s">
        <v>596</v>
      </c>
      <c r="D323" s="469">
        <f t="shared" ref="D323" si="434">SUM(I323:BF323)</f>
        <v>0</v>
      </c>
      <c r="E323" s="471" t="str">
        <f t="shared" ref="E323" si="435">IF(D323=0,"",H324/D323)</f>
        <v/>
      </c>
      <c r="F323" s="471" t="str">
        <f t="shared" ref="F323" si="436">IF(H323=0,"",H324/H323)</f>
        <v/>
      </c>
      <c r="G323" s="71" t="s">
        <v>168</v>
      </c>
      <c r="H323" s="67">
        <f t="shared" si="299"/>
        <v>0</v>
      </c>
      <c r="I323" s="112"/>
      <c r="J323" s="113"/>
      <c r="K323" s="113"/>
      <c r="L323" s="113"/>
      <c r="M323" s="113"/>
      <c r="N323" s="113"/>
      <c r="O323" s="113"/>
      <c r="P323" s="113"/>
      <c r="Q323" s="113"/>
      <c r="R323" s="113"/>
      <c r="S323" s="113"/>
      <c r="T323" s="113"/>
      <c r="U323" s="113"/>
      <c r="V323" s="113"/>
      <c r="W323" s="113"/>
      <c r="X323" s="113"/>
      <c r="Y323" s="113"/>
      <c r="Z323" s="113"/>
      <c r="AA323" s="113"/>
      <c r="AB323" s="113"/>
      <c r="AC323" s="113"/>
      <c r="AD323" s="113"/>
      <c r="AE323" s="113"/>
      <c r="AF323" s="113"/>
      <c r="AG323" s="113"/>
      <c r="AH323" s="113"/>
      <c r="AI323" s="113"/>
      <c r="AJ323" s="113"/>
      <c r="AK323" s="113"/>
      <c r="AL323" s="113"/>
      <c r="AM323" s="113"/>
      <c r="AN323" s="113"/>
      <c r="AO323" s="113"/>
      <c r="AP323" s="113"/>
      <c r="AQ323" s="113"/>
      <c r="AR323" s="113"/>
      <c r="AS323" s="113"/>
      <c r="AT323" s="113"/>
      <c r="AU323" s="113"/>
      <c r="AV323" s="113"/>
      <c r="AW323" s="113"/>
      <c r="AX323" s="113"/>
      <c r="AY323" s="113"/>
      <c r="AZ323" s="113"/>
      <c r="BA323" s="113"/>
      <c r="BB323" s="113"/>
      <c r="BC323" s="113"/>
      <c r="BD323" s="113"/>
      <c r="BE323" s="113"/>
      <c r="BF323" s="114"/>
    </row>
    <row r="324" spans="1:58">
      <c r="A324" s="475"/>
      <c r="B324" s="474"/>
      <c r="C324" s="468"/>
      <c r="D324" s="470"/>
      <c r="E324" s="472"/>
      <c r="F324" s="472"/>
      <c r="G324" s="72" t="s">
        <v>167</v>
      </c>
      <c r="H324" s="68">
        <f t="shared" si="299"/>
        <v>0</v>
      </c>
      <c r="I324" s="105"/>
      <c r="J324" s="106"/>
      <c r="K324" s="106"/>
      <c r="L324" s="106"/>
      <c r="M324" s="106"/>
      <c r="N324" s="106"/>
      <c r="O324" s="106"/>
      <c r="P324" s="106"/>
      <c r="Q324" s="106"/>
      <c r="R324" s="106"/>
      <c r="S324" s="106"/>
      <c r="T324" s="106"/>
      <c r="U324" s="106"/>
      <c r="V324" s="106"/>
      <c r="W324" s="106"/>
      <c r="X324" s="106"/>
      <c r="Y324" s="106"/>
      <c r="Z324" s="106"/>
      <c r="AA324" s="106"/>
      <c r="AB324" s="106"/>
      <c r="AC324" s="106"/>
      <c r="AD324" s="106"/>
      <c r="AE324" s="106"/>
      <c r="AF324" s="106"/>
      <c r="AG324" s="106"/>
      <c r="AH324" s="106"/>
      <c r="AI324" s="106"/>
      <c r="AJ324" s="106"/>
      <c r="AK324" s="106"/>
      <c r="AL324" s="106"/>
      <c r="AM324" s="106"/>
      <c r="AN324" s="106"/>
      <c r="AO324" s="106"/>
      <c r="AP324" s="106"/>
      <c r="AQ324" s="106"/>
      <c r="AR324" s="106"/>
      <c r="AS324" s="106"/>
      <c r="AT324" s="106"/>
      <c r="AU324" s="106"/>
      <c r="AV324" s="106"/>
      <c r="AW324" s="106"/>
      <c r="AX324" s="106"/>
      <c r="AY324" s="106"/>
      <c r="AZ324" s="106"/>
      <c r="BA324" s="106"/>
      <c r="BB324" s="106"/>
      <c r="BC324" s="106"/>
      <c r="BD324" s="106"/>
      <c r="BE324" s="106"/>
      <c r="BF324" s="107"/>
    </row>
    <row r="325" spans="1:58">
      <c r="A325" s="473">
        <f t="shared" si="358"/>
        <v>158</v>
      </c>
      <c r="B325" s="474"/>
      <c r="C325" s="476" t="s">
        <v>596</v>
      </c>
      <c r="D325" s="469">
        <f t="shared" ref="D325" si="437">SUM(I325:BF325)</f>
        <v>0</v>
      </c>
      <c r="E325" s="471" t="str">
        <f t="shared" ref="E325" si="438">IF(D325=0,"",H326/D325)</f>
        <v/>
      </c>
      <c r="F325" s="471" t="str">
        <f t="shared" ref="F325" si="439">IF(H325=0,"",H326/H325)</f>
        <v/>
      </c>
      <c r="G325" s="71" t="s">
        <v>168</v>
      </c>
      <c r="H325" s="67">
        <f t="shared" si="299"/>
        <v>0</v>
      </c>
      <c r="I325" s="112"/>
      <c r="J325" s="113"/>
      <c r="K325" s="113"/>
      <c r="L325" s="113"/>
      <c r="M325" s="113"/>
      <c r="N325" s="113"/>
      <c r="O325" s="113"/>
      <c r="P325" s="113"/>
      <c r="Q325" s="113"/>
      <c r="R325" s="113"/>
      <c r="S325" s="113"/>
      <c r="T325" s="113"/>
      <c r="U325" s="113"/>
      <c r="V325" s="113"/>
      <c r="W325" s="113"/>
      <c r="X325" s="113"/>
      <c r="Y325" s="113"/>
      <c r="Z325" s="113"/>
      <c r="AA325" s="113"/>
      <c r="AB325" s="113"/>
      <c r="AC325" s="113"/>
      <c r="AD325" s="113"/>
      <c r="AE325" s="113"/>
      <c r="AF325" s="113"/>
      <c r="AG325" s="113"/>
      <c r="AH325" s="113"/>
      <c r="AI325" s="113"/>
      <c r="AJ325" s="113"/>
      <c r="AK325" s="113"/>
      <c r="AL325" s="113"/>
      <c r="AM325" s="113"/>
      <c r="AN325" s="113"/>
      <c r="AO325" s="113"/>
      <c r="AP325" s="113"/>
      <c r="AQ325" s="113"/>
      <c r="AR325" s="113"/>
      <c r="AS325" s="113"/>
      <c r="AT325" s="113"/>
      <c r="AU325" s="113"/>
      <c r="AV325" s="113"/>
      <c r="AW325" s="113"/>
      <c r="AX325" s="113"/>
      <c r="AY325" s="113"/>
      <c r="AZ325" s="113"/>
      <c r="BA325" s="113"/>
      <c r="BB325" s="113"/>
      <c r="BC325" s="113"/>
      <c r="BD325" s="113"/>
      <c r="BE325" s="113"/>
      <c r="BF325" s="114"/>
    </row>
    <row r="326" spans="1:58">
      <c r="A326" s="475"/>
      <c r="B326" s="474"/>
      <c r="C326" s="468"/>
      <c r="D326" s="470"/>
      <c r="E326" s="472"/>
      <c r="F326" s="472"/>
      <c r="G326" s="72" t="s">
        <v>167</v>
      </c>
      <c r="H326" s="68">
        <f t="shared" si="299"/>
        <v>0</v>
      </c>
      <c r="I326" s="105"/>
      <c r="J326" s="106"/>
      <c r="K326" s="106"/>
      <c r="L326" s="106"/>
      <c r="M326" s="106"/>
      <c r="N326" s="106"/>
      <c r="O326" s="106"/>
      <c r="P326" s="106"/>
      <c r="Q326" s="106"/>
      <c r="R326" s="106"/>
      <c r="S326" s="106"/>
      <c r="T326" s="106"/>
      <c r="U326" s="106"/>
      <c r="V326" s="106"/>
      <c r="W326" s="106"/>
      <c r="X326" s="106"/>
      <c r="Y326" s="106"/>
      <c r="Z326" s="106"/>
      <c r="AA326" s="106"/>
      <c r="AB326" s="106"/>
      <c r="AC326" s="106"/>
      <c r="AD326" s="106"/>
      <c r="AE326" s="106"/>
      <c r="AF326" s="106"/>
      <c r="AG326" s="106"/>
      <c r="AH326" s="106"/>
      <c r="AI326" s="106"/>
      <c r="AJ326" s="106"/>
      <c r="AK326" s="106"/>
      <c r="AL326" s="106"/>
      <c r="AM326" s="106"/>
      <c r="AN326" s="106"/>
      <c r="AO326" s="106"/>
      <c r="AP326" s="106"/>
      <c r="AQ326" s="106"/>
      <c r="AR326" s="106"/>
      <c r="AS326" s="106"/>
      <c r="AT326" s="106"/>
      <c r="AU326" s="106"/>
      <c r="AV326" s="106"/>
      <c r="AW326" s="106"/>
      <c r="AX326" s="106"/>
      <c r="AY326" s="106"/>
      <c r="AZ326" s="106"/>
      <c r="BA326" s="106"/>
      <c r="BB326" s="106"/>
      <c r="BC326" s="106"/>
      <c r="BD326" s="106"/>
      <c r="BE326" s="106"/>
      <c r="BF326" s="107"/>
    </row>
    <row r="327" spans="1:58">
      <c r="A327" s="473">
        <f t="shared" si="358"/>
        <v>159</v>
      </c>
      <c r="B327" s="474"/>
      <c r="C327" s="476" t="s">
        <v>596</v>
      </c>
      <c r="D327" s="469">
        <f t="shared" ref="D327" si="440">SUM(I327:BF327)</f>
        <v>0</v>
      </c>
      <c r="E327" s="471" t="str">
        <f t="shared" ref="E327" si="441">IF(D327=0,"",H328/D327)</f>
        <v/>
      </c>
      <c r="F327" s="471" t="str">
        <f t="shared" ref="F327" si="442">IF(H327=0,"",H328/H327)</f>
        <v/>
      </c>
      <c r="G327" s="71" t="s">
        <v>168</v>
      </c>
      <c r="H327" s="67">
        <f t="shared" si="299"/>
        <v>0</v>
      </c>
      <c r="I327" s="112"/>
      <c r="J327" s="113"/>
      <c r="K327" s="113"/>
      <c r="L327" s="113"/>
      <c r="M327" s="113"/>
      <c r="N327" s="113"/>
      <c r="O327" s="113"/>
      <c r="P327" s="113"/>
      <c r="Q327" s="113"/>
      <c r="R327" s="113"/>
      <c r="S327" s="113"/>
      <c r="T327" s="113"/>
      <c r="U327" s="113"/>
      <c r="V327" s="113"/>
      <c r="W327" s="113"/>
      <c r="X327" s="113"/>
      <c r="Y327" s="113"/>
      <c r="Z327" s="113"/>
      <c r="AA327" s="113"/>
      <c r="AB327" s="113"/>
      <c r="AC327" s="113"/>
      <c r="AD327" s="113"/>
      <c r="AE327" s="113"/>
      <c r="AF327" s="113"/>
      <c r="AG327" s="113"/>
      <c r="AH327" s="113"/>
      <c r="AI327" s="113"/>
      <c r="AJ327" s="113"/>
      <c r="AK327" s="113"/>
      <c r="AL327" s="113"/>
      <c r="AM327" s="113"/>
      <c r="AN327" s="113"/>
      <c r="AO327" s="113"/>
      <c r="AP327" s="113"/>
      <c r="AQ327" s="113"/>
      <c r="AR327" s="113"/>
      <c r="AS327" s="113"/>
      <c r="AT327" s="113"/>
      <c r="AU327" s="113"/>
      <c r="AV327" s="113"/>
      <c r="AW327" s="113"/>
      <c r="AX327" s="113"/>
      <c r="AY327" s="113"/>
      <c r="AZ327" s="113"/>
      <c r="BA327" s="113"/>
      <c r="BB327" s="113"/>
      <c r="BC327" s="113"/>
      <c r="BD327" s="113"/>
      <c r="BE327" s="113"/>
      <c r="BF327" s="114"/>
    </row>
    <row r="328" spans="1:58">
      <c r="A328" s="475"/>
      <c r="B328" s="474"/>
      <c r="C328" s="468"/>
      <c r="D328" s="470"/>
      <c r="E328" s="472"/>
      <c r="F328" s="472"/>
      <c r="G328" s="72" t="s">
        <v>167</v>
      </c>
      <c r="H328" s="68">
        <f t="shared" si="299"/>
        <v>0</v>
      </c>
      <c r="I328" s="105"/>
      <c r="J328" s="106"/>
      <c r="K328" s="106"/>
      <c r="L328" s="106"/>
      <c r="M328" s="106"/>
      <c r="N328" s="106"/>
      <c r="O328" s="106"/>
      <c r="P328" s="106"/>
      <c r="Q328" s="106"/>
      <c r="R328" s="106"/>
      <c r="S328" s="106"/>
      <c r="T328" s="106"/>
      <c r="U328" s="106"/>
      <c r="V328" s="106"/>
      <c r="W328" s="106"/>
      <c r="X328" s="106"/>
      <c r="Y328" s="106"/>
      <c r="Z328" s="106"/>
      <c r="AA328" s="106"/>
      <c r="AB328" s="106"/>
      <c r="AC328" s="106"/>
      <c r="AD328" s="106"/>
      <c r="AE328" s="106"/>
      <c r="AF328" s="106"/>
      <c r="AG328" s="106"/>
      <c r="AH328" s="106"/>
      <c r="AI328" s="106"/>
      <c r="AJ328" s="106"/>
      <c r="AK328" s="106"/>
      <c r="AL328" s="106"/>
      <c r="AM328" s="106"/>
      <c r="AN328" s="106"/>
      <c r="AO328" s="106"/>
      <c r="AP328" s="106"/>
      <c r="AQ328" s="106"/>
      <c r="AR328" s="106"/>
      <c r="AS328" s="106"/>
      <c r="AT328" s="106"/>
      <c r="AU328" s="106"/>
      <c r="AV328" s="106"/>
      <c r="AW328" s="106"/>
      <c r="AX328" s="106"/>
      <c r="AY328" s="106"/>
      <c r="AZ328" s="106"/>
      <c r="BA328" s="106"/>
      <c r="BB328" s="106"/>
      <c r="BC328" s="106"/>
      <c r="BD328" s="106"/>
      <c r="BE328" s="106"/>
      <c r="BF328" s="107"/>
    </row>
    <row r="329" spans="1:58">
      <c r="A329" s="473">
        <f t="shared" si="358"/>
        <v>160</v>
      </c>
      <c r="B329" s="474"/>
      <c r="C329" s="476" t="s">
        <v>596</v>
      </c>
      <c r="D329" s="469">
        <f t="shared" ref="D329" si="443">SUM(I329:BF329)</f>
        <v>0</v>
      </c>
      <c r="E329" s="471" t="str">
        <f t="shared" ref="E329" si="444">IF(D329=0,"",H330/D329)</f>
        <v/>
      </c>
      <c r="F329" s="471" t="str">
        <f t="shared" ref="F329" si="445">IF(H329=0,"",H330/H329)</f>
        <v/>
      </c>
      <c r="G329" s="71" t="s">
        <v>168</v>
      </c>
      <c r="H329" s="67">
        <f t="shared" si="299"/>
        <v>0</v>
      </c>
      <c r="I329" s="112"/>
      <c r="J329" s="113"/>
      <c r="K329" s="113"/>
      <c r="L329" s="113"/>
      <c r="M329" s="113"/>
      <c r="N329" s="113"/>
      <c r="O329" s="113"/>
      <c r="P329" s="113"/>
      <c r="Q329" s="113"/>
      <c r="R329" s="113"/>
      <c r="S329" s="113"/>
      <c r="T329" s="113"/>
      <c r="U329" s="113"/>
      <c r="V329" s="113"/>
      <c r="W329" s="113"/>
      <c r="X329" s="113"/>
      <c r="Y329" s="113"/>
      <c r="Z329" s="113"/>
      <c r="AA329" s="113"/>
      <c r="AB329" s="113"/>
      <c r="AC329" s="113"/>
      <c r="AD329" s="113"/>
      <c r="AE329" s="113"/>
      <c r="AF329" s="113"/>
      <c r="AG329" s="113"/>
      <c r="AH329" s="113"/>
      <c r="AI329" s="113"/>
      <c r="AJ329" s="113"/>
      <c r="AK329" s="113"/>
      <c r="AL329" s="113"/>
      <c r="AM329" s="113"/>
      <c r="AN329" s="113"/>
      <c r="AO329" s="113"/>
      <c r="AP329" s="113"/>
      <c r="AQ329" s="113"/>
      <c r="AR329" s="113"/>
      <c r="AS329" s="113"/>
      <c r="AT329" s="113"/>
      <c r="AU329" s="113"/>
      <c r="AV329" s="113"/>
      <c r="AW329" s="113"/>
      <c r="AX329" s="113"/>
      <c r="AY329" s="113"/>
      <c r="AZ329" s="113"/>
      <c r="BA329" s="113"/>
      <c r="BB329" s="113"/>
      <c r="BC329" s="113"/>
      <c r="BD329" s="113"/>
      <c r="BE329" s="113"/>
      <c r="BF329" s="114"/>
    </row>
    <row r="330" spans="1:58">
      <c r="A330" s="475"/>
      <c r="B330" s="474"/>
      <c r="C330" s="468"/>
      <c r="D330" s="470"/>
      <c r="E330" s="472"/>
      <c r="F330" s="472"/>
      <c r="G330" s="72" t="s">
        <v>167</v>
      </c>
      <c r="H330" s="68">
        <f t="shared" si="299"/>
        <v>0</v>
      </c>
      <c r="I330" s="105"/>
      <c r="J330" s="106"/>
      <c r="K330" s="106"/>
      <c r="L330" s="106"/>
      <c r="M330" s="106"/>
      <c r="N330" s="106"/>
      <c r="O330" s="106"/>
      <c r="P330" s="106"/>
      <c r="Q330" s="106"/>
      <c r="R330" s="106"/>
      <c r="S330" s="106"/>
      <c r="T330" s="106"/>
      <c r="U330" s="106"/>
      <c r="V330" s="106"/>
      <c r="W330" s="106"/>
      <c r="X330" s="106"/>
      <c r="Y330" s="106"/>
      <c r="Z330" s="106"/>
      <c r="AA330" s="106"/>
      <c r="AB330" s="106"/>
      <c r="AC330" s="106"/>
      <c r="AD330" s="106"/>
      <c r="AE330" s="106"/>
      <c r="AF330" s="106"/>
      <c r="AG330" s="106"/>
      <c r="AH330" s="106"/>
      <c r="AI330" s="106"/>
      <c r="AJ330" s="106"/>
      <c r="AK330" s="106"/>
      <c r="AL330" s="106"/>
      <c r="AM330" s="106"/>
      <c r="AN330" s="106"/>
      <c r="AO330" s="106"/>
      <c r="AP330" s="106"/>
      <c r="AQ330" s="106"/>
      <c r="AR330" s="106"/>
      <c r="AS330" s="106"/>
      <c r="AT330" s="106"/>
      <c r="AU330" s="106"/>
      <c r="AV330" s="106"/>
      <c r="AW330" s="106"/>
      <c r="AX330" s="106"/>
      <c r="AY330" s="106"/>
      <c r="AZ330" s="106"/>
      <c r="BA330" s="106"/>
      <c r="BB330" s="106"/>
      <c r="BC330" s="106"/>
      <c r="BD330" s="106"/>
      <c r="BE330" s="106"/>
      <c r="BF330" s="107"/>
    </row>
    <row r="331" spans="1:58">
      <c r="A331" s="473">
        <f t="shared" si="358"/>
        <v>161</v>
      </c>
      <c r="B331" s="474"/>
      <c r="C331" s="476" t="s">
        <v>596</v>
      </c>
      <c r="D331" s="469">
        <f t="shared" ref="D331" si="446">SUM(I331:BF331)</f>
        <v>0</v>
      </c>
      <c r="E331" s="471" t="str">
        <f t="shared" ref="E331" si="447">IF(D331=0,"",H332/D331)</f>
        <v/>
      </c>
      <c r="F331" s="471" t="str">
        <f t="shared" ref="F331" si="448">IF(H331=0,"",H332/H331)</f>
        <v/>
      </c>
      <c r="G331" s="71" t="s">
        <v>168</v>
      </c>
      <c r="H331" s="67">
        <f t="shared" si="299"/>
        <v>0</v>
      </c>
      <c r="I331" s="112"/>
      <c r="J331" s="113"/>
      <c r="K331" s="113"/>
      <c r="L331" s="113"/>
      <c r="M331" s="113"/>
      <c r="N331" s="113"/>
      <c r="O331" s="113"/>
      <c r="P331" s="113"/>
      <c r="Q331" s="113"/>
      <c r="R331" s="113"/>
      <c r="S331" s="113"/>
      <c r="T331" s="113"/>
      <c r="U331" s="113"/>
      <c r="V331" s="113"/>
      <c r="W331" s="113"/>
      <c r="X331" s="113"/>
      <c r="Y331" s="113"/>
      <c r="Z331" s="113"/>
      <c r="AA331" s="113"/>
      <c r="AB331" s="113"/>
      <c r="AC331" s="113"/>
      <c r="AD331" s="113"/>
      <c r="AE331" s="113"/>
      <c r="AF331" s="113"/>
      <c r="AG331" s="113"/>
      <c r="AH331" s="113"/>
      <c r="AI331" s="113"/>
      <c r="AJ331" s="113"/>
      <c r="AK331" s="113"/>
      <c r="AL331" s="113"/>
      <c r="AM331" s="113"/>
      <c r="AN331" s="113"/>
      <c r="AO331" s="113"/>
      <c r="AP331" s="113"/>
      <c r="AQ331" s="113"/>
      <c r="AR331" s="113"/>
      <c r="AS331" s="113"/>
      <c r="AT331" s="113"/>
      <c r="AU331" s="113"/>
      <c r="AV331" s="113"/>
      <c r="AW331" s="113"/>
      <c r="AX331" s="113"/>
      <c r="AY331" s="113"/>
      <c r="AZ331" s="113"/>
      <c r="BA331" s="113"/>
      <c r="BB331" s="113"/>
      <c r="BC331" s="113"/>
      <c r="BD331" s="113"/>
      <c r="BE331" s="113"/>
      <c r="BF331" s="114"/>
    </row>
    <row r="332" spans="1:58">
      <c r="A332" s="475"/>
      <c r="B332" s="474"/>
      <c r="C332" s="468"/>
      <c r="D332" s="470"/>
      <c r="E332" s="472"/>
      <c r="F332" s="472"/>
      <c r="G332" s="72" t="s">
        <v>167</v>
      </c>
      <c r="H332" s="68">
        <f t="shared" si="299"/>
        <v>0</v>
      </c>
      <c r="I332" s="105"/>
      <c r="J332" s="106"/>
      <c r="K332" s="106"/>
      <c r="L332" s="106"/>
      <c r="M332" s="106"/>
      <c r="N332" s="106"/>
      <c r="O332" s="106"/>
      <c r="P332" s="106"/>
      <c r="Q332" s="106"/>
      <c r="R332" s="106"/>
      <c r="S332" s="106"/>
      <c r="T332" s="106"/>
      <c r="U332" s="106"/>
      <c r="V332" s="106"/>
      <c r="W332" s="106"/>
      <c r="X332" s="106"/>
      <c r="Y332" s="106"/>
      <c r="Z332" s="106"/>
      <c r="AA332" s="106"/>
      <c r="AB332" s="106"/>
      <c r="AC332" s="106"/>
      <c r="AD332" s="106"/>
      <c r="AE332" s="106"/>
      <c r="AF332" s="106"/>
      <c r="AG332" s="106"/>
      <c r="AH332" s="106"/>
      <c r="AI332" s="106"/>
      <c r="AJ332" s="106"/>
      <c r="AK332" s="106"/>
      <c r="AL332" s="106"/>
      <c r="AM332" s="106"/>
      <c r="AN332" s="106"/>
      <c r="AO332" s="106"/>
      <c r="AP332" s="106"/>
      <c r="AQ332" s="106"/>
      <c r="AR332" s="106"/>
      <c r="AS332" s="106"/>
      <c r="AT332" s="106"/>
      <c r="AU332" s="106"/>
      <c r="AV332" s="106"/>
      <c r="AW332" s="106"/>
      <c r="AX332" s="106"/>
      <c r="AY332" s="106"/>
      <c r="AZ332" s="106"/>
      <c r="BA332" s="106"/>
      <c r="BB332" s="106"/>
      <c r="BC332" s="106"/>
      <c r="BD332" s="106"/>
      <c r="BE332" s="106"/>
      <c r="BF332" s="107"/>
    </row>
    <row r="333" spans="1:58">
      <c r="A333" s="477">
        <f t="shared" si="358"/>
        <v>162</v>
      </c>
      <c r="B333" s="478"/>
      <c r="C333" s="467" t="s">
        <v>829</v>
      </c>
      <c r="D333" s="469">
        <f t="shared" ref="D333" si="449">SUM(I333:BF333)</f>
        <v>0</v>
      </c>
      <c r="E333" s="471" t="str">
        <f t="shared" ref="E333" si="450">IF(D333=0,"",H334/D333)</f>
        <v/>
      </c>
      <c r="F333" s="471" t="str">
        <f t="shared" ref="F333" si="451">IF(H333=0,"",H334/H333)</f>
        <v/>
      </c>
      <c r="G333" s="71" t="s">
        <v>168</v>
      </c>
      <c r="H333" s="87">
        <f t="shared" si="299"/>
        <v>0</v>
      </c>
      <c r="I333" s="312"/>
      <c r="J333" s="113"/>
      <c r="K333" s="113"/>
      <c r="L333" s="113"/>
      <c r="M333" s="113"/>
      <c r="N333" s="113"/>
      <c r="O333" s="113"/>
      <c r="P333" s="113"/>
      <c r="Q333" s="113"/>
      <c r="R333" s="113"/>
      <c r="S333" s="113"/>
      <c r="T333" s="113"/>
      <c r="U333" s="113"/>
      <c r="V333" s="113"/>
      <c r="W333" s="113"/>
      <c r="X333" s="113"/>
      <c r="Y333" s="113"/>
      <c r="Z333" s="113"/>
      <c r="AA333" s="113"/>
      <c r="AB333" s="113"/>
      <c r="AC333" s="113"/>
      <c r="AD333" s="113"/>
      <c r="AE333" s="113"/>
      <c r="AF333" s="113"/>
      <c r="AG333" s="113"/>
      <c r="AH333" s="113"/>
      <c r="AI333" s="113"/>
      <c r="AJ333" s="113"/>
      <c r="AK333" s="113"/>
      <c r="AL333" s="113"/>
      <c r="AM333" s="113"/>
      <c r="AN333" s="113"/>
      <c r="AO333" s="113"/>
      <c r="AP333" s="113"/>
      <c r="AQ333" s="113"/>
      <c r="AR333" s="113"/>
      <c r="AS333" s="113"/>
      <c r="AT333" s="113"/>
      <c r="AU333" s="113"/>
      <c r="AV333" s="113"/>
      <c r="AW333" s="113"/>
      <c r="AX333" s="113"/>
      <c r="AY333" s="113"/>
      <c r="AZ333" s="113"/>
      <c r="BA333" s="113"/>
      <c r="BB333" s="113"/>
      <c r="BC333" s="113"/>
      <c r="BD333" s="113"/>
      <c r="BE333" s="113"/>
      <c r="BF333" s="114"/>
    </row>
    <row r="334" spans="1:58">
      <c r="A334" s="479"/>
      <c r="B334" s="478"/>
      <c r="C334" s="468"/>
      <c r="D334" s="470"/>
      <c r="E334" s="472"/>
      <c r="F334" s="472"/>
      <c r="G334" s="72" t="s">
        <v>167</v>
      </c>
      <c r="H334" s="95">
        <f t="shared" si="299"/>
        <v>0</v>
      </c>
      <c r="I334" s="378"/>
      <c r="J334" s="106"/>
      <c r="K334" s="106"/>
      <c r="L334" s="106"/>
      <c r="M334" s="106"/>
      <c r="N334" s="106"/>
      <c r="O334" s="106"/>
      <c r="P334" s="106"/>
      <c r="Q334" s="106"/>
      <c r="R334" s="106"/>
      <c r="S334" s="106"/>
      <c r="T334" s="106"/>
      <c r="U334" s="106"/>
      <c r="V334" s="106"/>
      <c r="W334" s="106"/>
      <c r="X334" s="106"/>
      <c r="Y334" s="106"/>
      <c r="Z334" s="106"/>
      <c r="AA334" s="106"/>
      <c r="AB334" s="106"/>
      <c r="AC334" s="106"/>
      <c r="AD334" s="106"/>
      <c r="AE334" s="106"/>
      <c r="AF334" s="106"/>
      <c r="AG334" s="106"/>
      <c r="AH334" s="106"/>
      <c r="AI334" s="106"/>
      <c r="AJ334" s="106"/>
      <c r="AK334" s="106"/>
      <c r="AL334" s="106"/>
      <c r="AM334" s="106"/>
      <c r="AN334" s="106"/>
      <c r="AO334" s="106"/>
      <c r="AP334" s="106"/>
      <c r="AQ334" s="106"/>
      <c r="AR334" s="106"/>
      <c r="AS334" s="106"/>
      <c r="AT334" s="106"/>
      <c r="AU334" s="106"/>
      <c r="AV334" s="106"/>
      <c r="AW334" s="106"/>
      <c r="AX334" s="106"/>
      <c r="AY334" s="106"/>
      <c r="AZ334" s="106"/>
      <c r="BA334" s="106"/>
      <c r="BB334" s="106"/>
      <c r="BC334" s="106"/>
      <c r="BD334" s="106"/>
      <c r="BE334" s="106"/>
      <c r="BF334" s="107"/>
    </row>
    <row r="335" spans="1:58">
      <c r="A335" s="464">
        <f t="shared" si="358"/>
        <v>163</v>
      </c>
      <c r="B335" s="465"/>
      <c r="C335" s="467" t="s">
        <v>596</v>
      </c>
      <c r="D335" s="469">
        <f t="shared" ref="D335" si="452">SUM(I335:BF335)</f>
        <v>0</v>
      </c>
      <c r="E335" s="471" t="str">
        <f t="shared" ref="E335" si="453">IF(D335=0,"",H336/D335)</f>
        <v/>
      </c>
      <c r="F335" s="471" t="str">
        <f t="shared" ref="F335" si="454">IF(H335=0,"",H336/H335)</f>
        <v/>
      </c>
      <c r="G335" s="71" t="s">
        <v>168</v>
      </c>
      <c r="H335" s="67">
        <f t="shared" si="299"/>
        <v>0</v>
      </c>
      <c r="I335" s="112"/>
      <c r="J335" s="113"/>
      <c r="K335" s="113"/>
      <c r="L335" s="113"/>
      <c r="M335" s="113"/>
      <c r="N335" s="113"/>
      <c r="O335" s="113"/>
      <c r="P335" s="113"/>
      <c r="Q335" s="113"/>
      <c r="R335" s="113"/>
      <c r="S335" s="113"/>
      <c r="T335" s="113"/>
      <c r="U335" s="113"/>
      <c r="V335" s="113"/>
      <c r="W335" s="113"/>
      <c r="X335" s="113"/>
      <c r="Y335" s="113"/>
      <c r="Z335" s="113"/>
      <c r="AA335" s="113"/>
      <c r="AB335" s="113"/>
      <c r="AC335" s="113"/>
      <c r="AD335" s="113"/>
      <c r="AE335" s="113"/>
      <c r="AF335" s="113"/>
      <c r="AG335" s="113"/>
      <c r="AH335" s="113"/>
      <c r="AI335" s="113"/>
      <c r="AJ335" s="113"/>
      <c r="AK335" s="113"/>
      <c r="AL335" s="113"/>
      <c r="AM335" s="113"/>
      <c r="AN335" s="113"/>
      <c r="AO335" s="113"/>
      <c r="AP335" s="113"/>
      <c r="AQ335" s="113"/>
      <c r="AR335" s="113"/>
      <c r="AS335" s="113"/>
      <c r="AT335" s="113"/>
      <c r="AU335" s="113"/>
      <c r="AV335" s="113"/>
      <c r="AW335" s="113"/>
      <c r="AX335" s="113"/>
      <c r="AY335" s="113"/>
      <c r="AZ335" s="113"/>
      <c r="BA335" s="113"/>
      <c r="BB335" s="113"/>
      <c r="BC335" s="113"/>
      <c r="BD335" s="113"/>
      <c r="BE335" s="113"/>
      <c r="BF335" s="114"/>
    </row>
    <row r="336" spans="1:58">
      <c r="A336" s="466"/>
      <c r="B336" s="465"/>
      <c r="C336" s="468"/>
      <c r="D336" s="470"/>
      <c r="E336" s="472"/>
      <c r="F336" s="472"/>
      <c r="G336" s="72" t="s">
        <v>167</v>
      </c>
      <c r="H336" s="68">
        <f t="shared" si="299"/>
        <v>0</v>
      </c>
      <c r="I336" s="105"/>
      <c r="J336" s="106"/>
      <c r="K336" s="106"/>
      <c r="L336" s="106"/>
      <c r="M336" s="106"/>
      <c r="N336" s="106"/>
      <c r="O336" s="106"/>
      <c r="P336" s="106"/>
      <c r="Q336" s="106"/>
      <c r="R336" s="106"/>
      <c r="S336" s="106"/>
      <c r="T336" s="106"/>
      <c r="U336" s="106"/>
      <c r="V336" s="106"/>
      <c r="W336" s="106"/>
      <c r="X336" s="106"/>
      <c r="Y336" s="106"/>
      <c r="Z336" s="106"/>
      <c r="AA336" s="106"/>
      <c r="AB336" s="106"/>
      <c r="AC336" s="106"/>
      <c r="AD336" s="106"/>
      <c r="AE336" s="106"/>
      <c r="AF336" s="106"/>
      <c r="AG336" s="106"/>
      <c r="AH336" s="106"/>
      <c r="AI336" s="106"/>
      <c r="AJ336" s="106"/>
      <c r="AK336" s="106"/>
      <c r="AL336" s="106"/>
      <c r="AM336" s="106"/>
      <c r="AN336" s="106"/>
      <c r="AO336" s="106"/>
      <c r="AP336" s="106"/>
      <c r="AQ336" s="106"/>
      <c r="AR336" s="106"/>
      <c r="AS336" s="106"/>
      <c r="AT336" s="106"/>
      <c r="AU336" s="106"/>
      <c r="AV336" s="106"/>
      <c r="AW336" s="106"/>
      <c r="AX336" s="106"/>
      <c r="AY336" s="106"/>
      <c r="AZ336" s="106"/>
      <c r="BA336" s="106"/>
      <c r="BB336" s="106"/>
      <c r="BC336" s="106"/>
      <c r="BD336" s="106"/>
      <c r="BE336" s="106"/>
      <c r="BF336" s="107"/>
    </row>
    <row r="337" spans="1:58">
      <c r="A337" s="464">
        <f t="shared" ref="A337:A377" si="455">A335+1</f>
        <v>164</v>
      </c>
      <c r="B337" s="465"/>
      <c r="C337" s="467" t="s">
        <v>596</v>
      </c>
      <c r="D337" s="469">
        <f t="shared" ref="D337" si="456">SUM(I337:BF337)</f>
        <v>0</v>
      </c>
      <c r="E337" s="471" t="str">
        <f t="shared" ref="E337" si="457">IF(D337=0,"",H338/D337)</f>
        <v/>
      </c>
      <c r="F337" s="471" t="str">
        <f t="shared" ref="F337" si="458">IF(H337=0,"",H338/H337)</f>
        <v/>
      </c>
      <c r="G337" s="71" t="s">
        <v>168</v>
      </c>
      <c r="H337" s="67">
        <f t="shared" si="299"/>
        <v>0</v>
      </c>
      <c r="I337" s="112"/>
      <c r="J337" s="113"/>
      <c r="K337" s="113"/>
      <c r="L337" s="113"/>
      <c r="M337" s="113"/>
      <c r="N337" s="113"/>
      <c r="O337" s="113"/>
      <c r="P337" s="113"/>
      <c r="Q337" s="113"/>
      <c r="R337" s="113"/>
      <c r="S337" s="113"/>
      <c r="T337" s="113"/>
      <c r="U337" s="113"/>
      <c r="V337" s="113"/>
      <c r="W337" s="113"/>
      <c r="X337" s="113"/>
      <c r="Y337" s="113"/>
      <c r="Z337" s="113"/>
      <c r="AA337" s="113"/>
      <c r="AB337" s="113"/>
      <c r="AC337" s="113"/>
      <c r="AD337" s="113"/>
      <c r="AE337" s="113"/>
      <c r="AF337" s="113"/>
      <c r="AG337" s="113"/>
      <c r="AH337" s="113"/>
      <c r="AI337" s="113"/>
      <c r="AJ337" s="113"/>
      <c r="AK337" s="113"/>
      <c r="AL337" s="113"/>
      <c r="AM337" s="113"/>
      <c r="AN337" s="113"/>
      <c r="AO337" s="113"/>
      <c r="AP337" s="113"/>
      <c r="AQ337" s="113"/>
      <c r="AR337" s="113"/>
      <c r="AS337" s="113"/>
      <c r="AT337" s="113"/>
      <c r="AU337" s="113"/>
      <c r="AV337" s="113"/>
      <c r="AW337" s="113"/>
      <c r="AX337" s="113"/>
      <c r="AY337" s="113"/>
      <c r="AZ337" s="113"/>
      <c r="BA337" s="113"/>
      <c r="BB337" s="113"/>
      <c r="BC337" s="113"/>
      <c r="BD337" s="113"/>
      <c r="BE337" s="113"/>
      <c r="BF337" s="114"/>
    </row>
    <row r="338" spans="1:58">
      <c r="A338" s="466"/>
      <c r="B338" s="465"/>
      <c r="C338" s="468"/>
      <c r="D338" s="470"/>
      <c r="E338" s="472"/>
      <c r="F338" s="472"/>
      <c r="G338" s="72" t="s">
        <v>167</v>
      </c>
      <c r="H338" s="68">
        <f t="shared" si="299"/>
        <v>0</v>
      </c>
      <c r="I338" s="105"/>
      <c r="J338" s="106"/>
      <c r="K338" s="106"/>
      <c r="L338" s="106"/>
      <c r="M338" s="106"/>
      <c r="N338" s="106"/>
      <c r="O338" s="106"/>
      <c r="P338" s="106"/>
      <c r="Q338" s="106"/>
      <c r="R338" s="106"/>
      <c r="S338" s="106"/>
      <c r="T338" s="106"/>
      <c r="U338" s="106"/>
      <c r="V338" s="106"/>
      <c r="W338" s="106"/>
      <c r="X338" s="106"/>
      <c r="Y338" s="106"/>
      <c r="Z338" s="106"/>
      <c r="AA338" s="106"/>
      <c r="AB338" s="106"/>
      <c r="AC338" s="106"/>
      <c r="AD338" s="106"/>
      <c r="AE338" s="106"/>
      <c r="AF338" s="106"/>
      <c r="AG338" s="106"/>
      <c r="AH338" s="106"/>
      <c r="AI338" s="106"/>
      <c r="AJ338" s="106"/>
      <c r="AK338" s="106"/>
      <c r="AL338" s="106"/>
      <c r="AM338" s="106"/>
      <c r="AN338" s="106"/>
      <c r="AO338" s="106"/>
      <c r="AP338" s="106"/>
      <c r="AQ338" s="106"/>
      <c r="AR338" s="106"/>
      <c r="AS338" s="106"/>
      <c r="AT338" s="106"/>
      <c r="AU338" s="106"/>
      <c r="AV338" s="106"/>
      <c r="AW338" s="106"/>
      <c r="AX338" s="106"/>
      <c r="AY338" s="106"/>
      <c r="AZ338" s="106"/>
      <c r="BA338" s="106"/>
      <c r="BB338" s="106"/>
      <c r="BC338" s="106"/>
      <c r="BD338" s="106"/>
      <c r="BE338" s="106"/>
      <c r="BF338" s="107"/>
    </row>
    <row r="339" spans="1:58">
      <c r="A339" s="464">
        <f t="shared" si="455"/>
        <v>165</v>
      </c>
      <c r="B339" s="465"/>
      <c r="C339" s="467" t="s">
        <v>596</v>
      </c>
      <c r="D339" s="469">
        <f t="shared" ref="D339" si="459">SUM(I339:BF339)</f>
        <v>0</v>
      </c>
      <c r="E339" s="471" t="str">
        <f t="shared" ref="E339" si="460">IF(D339=0,"",H340/D339)</f>
        <v/>
      </c>
      <c r="F339" s="471" t="str">
        <f t="shared" ref="F339" si="461">IF(H339=0,"",H340/H339)</f>
        <v/>
      </c>
      <c r="G339" s="71" t="s">
        <v>168</v>
      </c>
      <c r="H339" s="67">
        <f t="shared" si="299"/>
        <v>0</v>
      </c>
      <c r="I339" s="112"/>
      <c r="J339" s="113"/>
      <c r="K339" s="113"/>
      <c r="L339" s="113"/>
      <c r="M339" s="113"/>
      <c r="N339" s="113"/>
      <c r="O339" s="113"/>
      <c r="P339" s="113"/>
      <c r="Q339" s="113"/>
      <c r="R339" s="113"/>
      <c r="S339" s="113"/>
      <c r="T339" s="113"/>
      <c r="U339" s="113"/>
      <c r="V339" s="113"/>
      <c r="W339" s="113"/>
      <c r="X339" s="113"/>
      <c r="Y339" s="113"/>
      <c r="Z339" s="113"/>
      <c r="AA339" s="113"/>
      <c r="AB339" s="113"/>
      <c r="AC339" s="113"/>
      <c r="AD339" s="113"/>
      <c r="AE339" s="113"/>
      <c r="AF339" s="113"/>
      <c r="AG339" s="113"/>
      <c r="AH339" s="113"/>
      <c r="AI339" s="113"/>
      <c r="AJ339" s="113"/>
      <c r="AK339" s="113"/>
      <c r="AL339" s="113"/>
      <c r="AM339" s="113"/>
      <c r="AN339" s="113"/>
      <c r="AO339" s="113"/>
      <c r="AP339" s="113"/>
      <c r="AQ339" s="113"/>
      <c r="AR339" s="113"/>
      <c r="AS339" s="113"/>
      <c r="AT339" s="113"/>
      <c r="AU339" s="113"/>
      <c r="AV339" s="113"/>
      <c r="AW339" s="113"/>
      <c r="AX339" s="113"/>
      <c r="AY339" s="113"/>
      <c r="AZ339" s="113"/>
      <c r="BA339" s="113"/>
      <c r="BB339" s="113"/>
      <c r="BC339" s="113"/>
      <c r="BD339" s="113"/>
      <c r="BE339" s="113"/>
      <c r="BF339" s="114"/>
    </row>
    <row r="340" spans="1:58">
      <c r="A340" s="466"/>
      <c r="B340" s="465"/>
      <c r="C340" s="468"/>
      <c r="D340" s="470"/>
      <c r="E340" s="472"/>
      <c r="F340" s="472"/>
      <c r="G340" s="72" t="s">
        <v>167</v>
      </c>
      <c r="H340" s="68">
        <f t="shared" si="299"/>
        <v>0</v>
      </c>
      <c r="I340" s="105"/>
      <c r="J340" s="106"/>
      <c r="K340" s="106"/>
      <c r="L340" s="106"/>
      <c r="M340" s="106"/>
      <c r="N340" s="106"/>
      <c r="O340" s="106"/>
      <c r="P340" s="106"/>
      <c r="Q340" s="106"/>
      <c r="R340" s="106"/>
      <c r="S340" s="106"/>
      <c r="T340" s="106"/>
      <c r="U340" s="106"/>
      <c r="V340" s="106"/>
      <c r="W340" s="106"/>
      <c r="X340" s="106"/>
      <c r="Y340" s="106"/>
      <c r="Z340" s="106"/>
      <c r="AA340" s="106"/>
      <c r="AB340" s="106"/>
      <c r="AC340" s="106"/>
      <c r="AD340" s="106"/>
      <c r="AE340" s="106"/>
      <c r="AF340" s="106"/>
      <c r="AG340" s="106"/>
      <c r="AH340" s="106"/>
      <c r="AI340" s="106"/>
      <c r="AJ340" s="106"/>
      <c r="AK340" s="106"/>
      <c r="AL340" s="106"/>
      <c r="AM340" s="106"/>
      <c r="AN340" s="106"/>
      <c r="AO340" s="106"/>
      <c r="AP340" s="106"/>
      <c r="AQ340" s="106"/>
      <c r="AR340" s="106"/>
      <c r="AS340" s="106"/>
      <c r="AT340" s="106"/>
      <c r="AU340" s="106"/>
      <c r="AV340" s="106"/>
      <c r="AW340" s="106"/>
      <c r="AX340" s="106"/>
      <c r="AY340" s="106"/>
      <c r="AZ340" s="106"/>
      <c r="BA340" s="106"/>
      <c r="BB340" s="106"/>
      <c r="BC340" s="106"/>
      <c r="BD340" s="106"/>
      <c r="BE340" s="106"/>
      <c r="BF340" s="107"/>
    </row>
    <row r="341" spans="1:58">
      <c r="A341" s="464">
        <f t="shared" si="455"/>
        <v>166</v>
      </c>
      <c r="B341" s="465"/>
      <c r="C341" s="467" t="s">
        <v>596</v>
      </c>
      <c r="D341" s="469">
        <f t="shared" ref="D341" si="462">SUM(I341:BF341)</f>
        <v>0</v>
      </c>
      <c r="E341" s="471" t="str">
        <f t="shared" ref="E341" si="463">IF(D341=0,"",H342/D341)</f>
        <v/>
      </c>
      <c r="F341" s="471" t="str">
        <f t="shared" ref="F341" si="464">IF(H341=0,"",H342/H341)</f>
        <v/>
      </c>
      <c r="G341" s="71" t="s">
        <v>168</v>
      </c>
      <c r="H341" s="67">
        <f t="shared" si="299"/>
        <v>0</v>
      </c>
      <c r="I341" s="112"/>
      <c r="J341" s="113"/>
      <c r="K341" s="113"/>
      <c r="L341" s="113"/>
      <c r="M341" s="113"/>
      <c r="N341" s="113"/>
      <c r="O341" s="113"/>
      <c r="P341" s="113"/>
      <c r="Q341" s="113"/>
      <c r="R341" s="113"/>
      <c r="S341" s="113"/>
      <c r="T341" s="113"/>
      <c r="U341" s="113"/>
      <c r="V341" s="113"/>
      <c r="W341" s="113"/>
      <c r="X341" s="113"/>
      <c r="Y341" s="113"/>
      <c r="Z341" s="113"/>
      <c r="AA341" s="113"/>
      <c r="AB341" s="113"/>
      <c r="AC341" s="113"/>
      <c r="AD341" s="113"/>
      <c r="AE341" s="113"/>
      <c r="AF341" s="113"/>
      <c r="AG341" s="113"/>
      <c r="AH341" s="113"/>
      <c r="AI341" s="113"/>
      <c r="AJ341" s="113"/>
      <c r="AK341" s="113"/>
      <c r="AL341" s="113"/>
      <c r="AM341" s="113"/>
      <c r="AN341" s="113"/>
      <c r="AO341" s="113"/>
      <c r="AP341" s="113"/>
      <c r="AQ341" s="113"/>
      <c r="AR341" s="113"/>
      <c r="AS341" s="113"/>
      <c r="AT341" s="113"/>
      <c r="AU341" s="113"/>
      <c r="AV341" s="113"/>
      <c r="AW341" s="113"/>
      <c r="AX341" s="113"/>
      <c r="AY341" s="113"/>
      <c r="AZ341" s="113"/>
      <c r="BA341" s="113"/>
      <c r="BB341" s="113"/>
      <c r="BC341" s="113"/>
      <c r="BD341" s="113"/>
      <c r="BE341" s="113"/>
      <c r="BF341" s="114"/>
    </row>
    <row r="342" spans="1:58">
      <c r="A342" s="466"/>
      <c r="B342" s="465"/>
      <c r="C342" s="468"/>
      <c r="D342" s="470"/>
      <c r="E342" s="472"/>
      <c r="F342" s="472"/>
      <c r="G342" s="72" t="s">
        <v>167</v>
      </c>
      <c r="H342" s="68">
        <f t="shared" si="299"/>
        <v>0</v>
      </c>
      <c r="I342" s="105"/>
      <c r="J342" s="106"/>
      <c r="K342" s="106"/>
      <c r="L342" s="106"/>
      <c r="M342" s="106"/>
      <c r="N342" s="106"/>
      <c r="O342" s="106"/>
      <c r="P342" s="106"/>
      <c r="Q342" s="106"/>
      <c r="R342" s="106"/>
      <c r="S342" s="106"/>
      <c r="T342" s="106"/>
      <c r="U342" s="106"/>
      <c r="V342" s="106"/>
      <c r="W342" s="106"/>
      <c r="X342" s="106"/>
      <c r="Y342" s="106"/>
      <c r="Z342" s="106"/>
      <c r="AA342" s="106"/>
      <c r="AB342" s="106"/>
      <c r="AC342" s="106"/>
      <c r="AD342" s="106"/>
      <c r="AE342" s="106"/>
      <c r="AF342" s="106"/>
      <c r="AG342" s="106"/>
      <c r="AH342" s="106"/>
      <c r="AI342" s="106"/>
      <c r="AJ342" s="106"/>
      <c r="AK342" s="106"/>
      <c r="AL342" s="106"/>
      <c r="AM342" s="106"/>
      <c r="AN342" s="106"/>
      <c r="AO342" s="106"/>
      <c r="AP342" s="106"/>
      <c r="AQ342" s="106"/>
      <c r="AR342" s="106"/>
      <c r="AS342" s="106"/>
      <c r="AT342" s="106"/>
      <c r="AU342" s="106"/>
      <c r="AV342" s="106"/>
      <c r="AW342" s="106"/>
      <c r="AX342" s="106"/>
      <c r="AY342" s="106"/>
      <c r="AZ342" s="106"/>
      <c r="BA342" s="106"/>
      <c r="BB342" s="106"/>
      <c r="BC342" s="106"/>
      <c r="BD342" s="106"/>
      <c r="BE342" s="106"/>
      <c r="BF342" s="107"/>
    </row>
    <row r="343" spans="1:58">
      <c r="A343" s="464">
        <f t="shared" si="455"/>
        <v>167</v>
      </c>
      <c r="B343" s="465"/>
      <c r="C343" s="467" t="s">
        <v>596</v>
      </c>
      <c r="D343" s="469">
        <f t="shared" ref="D343" si="465">SUM(I343:BF343)</f>
        <v>0</v>
      </c>
      <c r="E343" s="471" t="str">
        <f t="shared" ref="E343" si="466">IF(D343=0,"",H344/D343)</f>
        <v/>
      </c>
      <c r="F343" s="471" t="str">
        <f t="shared" ref="F343" si="467">IF(H343=0,"",H344/H343)</f>
        <v/>
      </c>
      <c r="G343" s="71" t="s">
        <v>168</v>
      </c>
      <c r="H343" s="67">
        <f t="shared" si="299"/>
        <v>0</v>
      </c>
      <c r="I343" s="112"/>
      <c r="J343" s="113"/>
      <c r="K343" s="113"/>
      <c r="L343" s="113"/>
      <c r="M343" s="113"/>
      <c r="N343" s="113"/>
      <c r="O343" s="113"/>
      <c r="P343" s="113"/>
      <c r="Q343" s="113"/>
      <c r="R343" s="113"/>
      <c r="S343" s="113"/>
      <c r="T343" s="113"/>
      <c r="U343" s="113"/>
      <c r="V343" s="113"/>
      <c r="W343" s="113"/>
      <c r="X343" s="113"/>
      <c r="Y343" s="113"/>
      <c r="Z343" s="113"/>
      <c r="AA343" s="113"/>
      <c r="AB343" s="113"/>
      <c r="AC343" s="113"/>
      <c r="AD343" s="113"/>
      <c r="AE343" s="113"/>
      <c r="AF343" s="113"/>
      <c r="AG343" s="113"/>
      <c r="AH343" s="113"/>
      <c r="AI343" s="113"/>
      <c r="AJ343" s="113"/>
      <c r="AK343" s="113"/>
      <c r="AL343" s="113"/>
      <c r="AM343" s="113"/>
      <c r="AN343" s="113"/>
      <c r="AO343" s="113"/>
      <c r="AP343" s="113"/>
      <c r="AQ343" s="113"/>
      <c r="AR343" s="113"/>
      <c r="AS343" s="113"/>
      <c r="AT343" s="113"/>
      <c r="AU343" s="113"/>
      <c r="AV343" s="113"/>
      <c r="AW343" s="113"/>
      <c r="AX343" s="113"/>
      <c r="AY343" s="113"/>
      <c r="AZ343" s="113"/>
      <c r="BA343" s="113"/>
      <c r="BB343" s="113"/>
      <c r="BC343" s="113"/>
      <c r="BD343" s="113"/>
      <c r="BE343" s="113"/>
      <c r="BF343" s="114"/>
    </row>
    <row r="344" spans="1:58">
      <c r="A344" s="466"/>
      <c r="B344" s="465"/>
      <c r="C344" s="468"/>
      <c r="D344" s="470"/>
      <c r="E344" s="472"/>
      <c r="F344" s="472"/>
      <c r="G344" s="72" t="s">
        <v>167</v>
      </c>
      <c r="H344" s="68">
        <f t="shared" si="299"/>
        <v>0</v>
      </c>
      <c r="I344" s="105"/>
      <c r="J344" s="106"/>
      <c r="K344" s="106"/>
      <c r="L344" s="106"/>
      <c r="M344" s="106"/>
      <c r="N344" s="106"/>
      <c r="O344" s="106"/>
      <c r="P344" s="106"/>
      <c r="Q344" s="106"/>
      <c r="R344" s="106"/>
      <c r="S344" s="106"/>
      <c r="T344" s="106"/>
      <c r="U344" s="106"/>
      <c r="V344" s="106"/>
      <c r="W344" s="106"/>
      <c r="X344" s="106"/>
      <c r="Y344" s="106"/>
      <c r="Z344" s="106"/>
      <c r="AA344" s="106"/>
      <c r="AB344" s="106"/>
      <c r="AC344" s="106"/>
      <c r="AD344" s="106"/>
      <c r="AE344" s="106"/>
      <c r="AF344" s="106"/>
      <c r="AG344" s="106"/>
      <c r="AH344" s="106"/>
      <c r="AI344" s="106"/>
      <c r="AJ344" s="106"/>
      <c r="AK344" s="106"/>
      <c r="AL344" s="106"/>
      <c r="AM344" s="106"/>
      <c r="AN344" s="106"/>
      <c r="AO344" s="106"/>
      <c r="AP344" s="106"/>
      <c r="AQ344" s="106"/>
      <c r="AR344" s="106"/>
      <c r="AS344" s="106"/>
      <c r="AT344" s="106"/>
      <c r="AU344" s="106"/>
      <c r="AV344" s="106"/>
      <c r="AW344" s="106"/>
      <c r="AX344" s="106"/>
      <c r="AY344" s="106"/>
      <c r="AZ344" s="106"/>
      <c r="BA344" s="106"/>
      <c r="BB344" s="106"/>
      <c r="BC344" s="106"/>
      <c r="BD344" s="106"/>
      <c r="BE344" s="106"/>
      <c r="BF344" s="107"/>
    </row>
    <row r="345" spans="1:58">
      <c r="A345" s="464">
        <f t="shared" si="455"/>
        <v>168</v>
      </c>
      <c r="B345" s="465"/>
      <c r="C345" s="467" t="s">
        <v>596</v>
      </c>
      <c r="D345" s="469">
        <f t="shared" ref="D345" si="468">SUM(I345:BF345)</f>
        <v>0</v>
      </c>
      <c r="E345" s="471" t="str">
        <f t="shared" ref="E345" si="469">IF(D345=0,"",H346/D345)</f>
        <v/>
      </c>
      <c r="F345" s="471" t="str">
        <f t="shared" ref="F345" si="470">IF(H345=0,"",H346/H345)</f>
        <v/>
      </c>
      <c r="G345" s="71" t="s">
        <v>168</v>
      </c>
      <c r="H345" s="67">
        <f t="shared" si="299"/>
        <v>0</v>
      </c>
      <c r="I345" s="112"/>
      <c r="J345" s="113"/>
      <c r="K345" s="113"/>
      <c r="L345" s="113"/>
      <c r="M345" s="113"/>
      <c r="N345" s="113"/>
      <c r="O345" s="113"/>
      <c r="P345" s="113"/>
      <c r="Q345" s="113"/>
      <c r="R345" s="113"/>
      <c r="S345" s="113"/>
      <c r="T345" s="113"/>
      <c r="U345" s="113"/>
      <c r="V345" s="113"/>
      <c r="W345" s="113"/>
      <c r="X345" s="113"/>
      <c r="Y345" s="113"/>
      <c r="Z345" s="113"/>
      <c r="AA345" s="113"/>
      <c r="AB345" s="113"/>
      <c r="AC345" s="113"/>
      <c r="AD345" s="113"/>
      <c r="AE345" s="113"/>
      <c r="AF345" s="113"/>
      <c r="AG345" s="113"/>
      <c r="AH345" s="113"/>
      <c r="AI345" s="113"/>
      <c r="AJ345" s="113"/>
      <c r="AK345" s="113"/>
      <c r="AL345" s="113"/>
      <c r="AM345" s="113"/>
      <c r="AN345" s="113"/>
      <c r="AO345" s="113"/>
      <c r="AP345" s="113"/>
      <c r="AQ345" s="113"/>
      <c r="AR345" s="113"/>
      <c r="AS345" s="113"/>
      <c r="AT345" s="113"/>
      <c r="AU345" s="113"/>
      <c r="AV345" s="113"/>
      <c r="AW345" s="113"/>
      <c r="AX345" s="113"/>
      <c r="AY345" s="113"/>
      <c r="AZ345" s="113"/>
      <c r="BA345" s="113"/>
      <c r="BB345" s="113"/>
      <c r="BC345" s="113"/>
      <c r="BD345" s="113"/>
      <c r="BE345" s="113"/>
      <c r="BF345" s="114"/>
    </row>
    <row r="346" spans="1:58">
      <c r="A346" s="466"/>
      <c r="B346" s="465"/>
      <c r="C346" s="468"/>
      <c r="D346" s="470"/>
      <c r="E346" s="472"/>
      <c r="F346" s="472"/>
      <c r="G346" s="72" t="s">
        <v>167</v>
      </c>
      <c r="H346" s="68">
        <f t="shared" si="299"/>
        <v>0</v>
      </c>
      <c r="I346" s="105"/>
      <c r="J346" s="106"/>
      <c r="K346" s="106"/>
      <c r="L346" s="106"/>
      <c r="M346" s="106"/>
      <c r="N346" s="106"/>
      <c r="O346" s="106"/>
      <c r="P346" s="106"/>
      <c r="Q346" s="106"/>
      <c r="R346" s="106"/>
      <c r="S346" s="106"/>
      <c r="T346" s="106"/>
      <c r="U346" s="106"/>
      <c r="V346" s="106"/>
      <c r="W346" s="106"/>
      <c r="X346" s="106"/>
      <c r="Y346" s="106"/>
      <c r="Z346" s="106"/>
      <c r="AA346" s="106"/>
      <c r="AB346" s="106"/>
      <c r="AC346" s="106"/>
      <c r="AD346" s="106"/>
      <c r="AE346" s="106"/>
      <c r="AF346" s="106"/>
      <c r="AG346" s="106"/>
      <c r="AH346" s="106"/>
      <c r="AI346" s="106"/>
      <c r="AJ346" s="106"/>
      <c r="AK346" s="106"/>
      <c r="AL346" s="106"/>
      <c r="AM346" s="106"/>
      <c r="AN346" s="106"/>
      <c r="AO346" s="106"/>
      <c r="AP346" s="106"/>
      <c r="AQ346" s="106"/>
      <c r="AR346" s="106"/>
      <c r="AS346" s="106"/>
      <c r="AT346" s="106"/>
      <c r="AU346" s="106"/>
      <c r="AV346" s="106"/>
      <c r="AW346" s="106"/>
      <c r="AX346" s="106"/>
      <c r="AY346" s="106"/>
      <c r="AZ346" s="106"/>
      <c r="BA346" s="106"/>
      <c r="BB346" s="106"/>
      <c r="BC346" s="106"/>
      <c r="BD346" s="106"/>
      <c r="BE346" s="106"/>
      <c r="BF346" s="107"/>
    </row>
    <row r="347" spans="1:58">
      <c r="A347" s="464">
        <f t="shared" si="455"/>
        <v>169</v>
      </c>
      <c r="B347" s="465"/>
      <c r="C347" s="467" t="s">
        <v>596</v>
      </c>
      <c r="D347" s="469">
        <f t="shared" ref="D347" si="471">SUM(I347:BF347)</f>
        <v>0</v>
      </c>
      <c r="E347" s="471" t="str">
        <f t="shared" ref="E347" si="472">IF(D347=0,"",H348/D347)</f>
        <v/>
      </c>
      <c r="F347" s="471" t="str">
        <f t="shared" ref="F347" si="473">IF(H347=0,"",H348/H347)</f>
        <v/>
      </c>
      <c r="G347" s="71" t="s">
        <v>168</v>
      </c>
      <c r="H347" s="67">
        <f t="shared" si="299"/>
        <v>0</v>
      </c>
      <c r="I347" s="112"/>
      <c r="J347" s="113"/>
      <c r="K347" s="113"/>
      <c r="L347" s="113"/>
      <c r="M347" s="113"/>
      <c r="N347" s="113"/>
      <c r="O347" s="113"/>
      <c r="P347" s="113"/>
      <c r="Q347" s="113"/>
      <c r="R347" s="113"/>
      <c r="S347" s="113"/>
      <c r="T347" s="113"/>
      <c r="U347" s="113"/>
      <c r="V347" s="113"/>
      <c r="W347" s="113"/>
      <c r="X347" s="113"/>
      <c r="Y347" s="113"/>
      <c r="Z347" s="113"/>
      <c r="AA347" s="113"/>
      <c r="AB347" s="113"/>
      <c r="AC347" s="113"/>
      <c r="AD347" s="113"/>
      <c r="AE347" s="113"/>
      <c r="AF347" s="113"/>
      <c r="AG347" s="113"/>
      <c r="AH347" s="113"/>
      <c r="AI347" s="113"/>
      <c r="AJ347" s="113"/>
      <c r="AK347" s="113"/>
      <c r="AL347" s="113"/>
      <c r="AM347" s="113"/>
      <c r="AN347" s="113"/>
      <c r="AO347" s="113"/>
      <c r="AP347" s="113"/>
      <c r="AQ347" s="113"/>
      <c r="AR347" s="113"/>
      <c r="AS347" s="113"/>
      <c r="AT347" s="113"/>
      <c r="AU347" s="113"/>
      <c r="AV347" s="113"/>
      <c r="AW347" s="113"/>
      <c r="AX347" s="113"/>
      <c r="AY347" s="113"/>
      <c r="AZ347" s="113"/>
      <c r="BA347" s="113"/>
      <c r="BB347" s="113"/>
      <c r="BC347" s="113"/>
      <c r="BD347" s="113"/>
      <c r="BE347" s="113"/>
      <c r="BF347" s="114"/>
    </row>
    <row r="348" spans="1:58">
      <c r="A348" s="466"/>
      <c r="B348" s="465"/>
      <c r="C348" s="468"/>
      <c r="D348" s="470"/>
      <c r="E348" s="472"/>
      <c r="F348" s="472"/>
      <c r="G348" s="72" t="s">
        <v>167</v>
      </c>
      <c r="H348" s="68">
        <f t="shared" si="299"/>
        <v>0</v>
      </c>
      <c r="I348" s="105"/>
      <c r="J348" s="106"/>
      <c r="K348" s="106"/>
      <c r="L348" s="106"/>
      <c r="M348" s="106"/>
      <c r="N348" s="106"/>
      <c r="O348" s="106"/>
      <c r="P348" s="106"/>
      <c r="Q348" s="106"/>
      <c r="R348" s="106"/>
      <c r="S348" s="106"/>
      <c r="T348" s="106"/>
      <c r="U348" s="106"/>
      <c r="V348" s="106"/>
      <c r="W348" s="106"/>
      <c r="X348" s="106"/>
      <c r="Y348" s="106"/>
      <c r="Z348" s="106"/>
      <c r="AA348" s="106"/>
      <c r="AB348" s="106"/>
      <c r="AC348" s="106"/>
      <c r="AD348" s="106"/>
      <c r="AE348" s="106"/>
      <c r="AF348" s="106"/>
      <c r="AG348" s="106"/>
      <c r="AH348" s="106"/>
      <c r="AI348" s="106"/>
      <c r="AJ348" s="106"/>
      <c r="AK348" s="106"/>
      <c r="AL348" s="106"/>
      <c r="AM348" s="106"/>
      <c r="AN348" s="106"/>
      <c r="AO348" s="106"/>
      <c r="AP348" s="106"/>
      <c r="AQ348" s="106"/>
      <c r="AR348" s="106"/>
      <c r="AS348" s="106"/>
      <c r="AT348" s="106"/>
      <c r="AU348" s="106"/>
      <c r="AV348" s="106"/>
      <c r="AW348" s="106"/>
      <c r="AX348" s="106"/>
      <c r="AY348" s="106"/>
      <c r="AZ348" s="106"/>
      <c r="BA348" s="106"/>
      <c r="BB348" s="106"/>
      <c r="BC348" s="106"/>
      <c r="BD348" s="106"/>
      <c r="BE348" s="106"/>
      <c r="BF348" s="107"/>
    </row>
    <row r="349" spans="1:58">
      <c r="A349" s="464">
        <f t="shared" si="455"/>
        <v>170</v>
      </c>
      <c r="B349" s="465"/>
      <c r="C349" s="467" t="s">
        <v>596</v>
      </c>
      <c r="D349" s="469">
        <f t="shared" ref="D349" si="474">SUM(I349:BF349)</f>
        <v>0</v>
      </c>
      <c r="E349" s="471" t="str">
        <f t="shared" ref="E349" si="475">IF(D349=0,"",H350/D349)</f>
        <v/>
      </c>
      <c r="F349" s="471" t="str">
        <f t="shared" ref="F349" si="476">IF(H349=0,"",H350/H349)</f>
        <v/>
      </c>
      <c r="G349" s="71" t="s">
        <v>168</v>
      </c>
      <c r="H349" s="67">
        <f t="shared" si="299"/>
        <v>0</v>
      </c>
      <c r="I349" s="112"/>
      <c r="J349" s="113"/>
      <c r="K349" s="113"/>
      <c r="L349" s="113"/>
      <c r="M349" s="113"/>
      <c r="N349" s="113"/>
      <c r="O349" s="113"/>
      <c r="P349" s="113"/>
      <c r="Q349" s="113"/>
      <c r="R349" s="113"/>
      <c r="S349" s="113"/>
      <c r="T349" s="113"/>
      <c r="U349" s="113"/>
      <c r="V349" s="113"/>
      <c r="W349" s="113"/>
      <c r="X349" s="113"/>
      <c r="Y349" s="113"/>
      <c r="Z349" s="113"/>
      <c r="AA349" s="113"/>
      <c r="AB349" s="113"/>
      <c r="AC349" s="113"/>
      <c r="AD349" s="113"/>
      <c r="AE349" s="113"/>
      <c r="AF349" s="113"/>
      <c r="AG349" s="113"/>
      <c r="AH349" s="113"/>
      <c r="AI349" s="113"/>
      <c r="AJ349" s="113"/>
      <c r="AK349" s="113"/>
      <c r="AL349" s="113"/>
      <c r="AM349" s="113"/>
      <c r="AN349" s="113"/>
      <c r="AO349" s="113"/>
      <c r="AP349" s="113"/>
      <c r="AQ349" s="113"/>
      <c r="AR349" s="113"/>
      <c r="AS349" s="113"/>
      <c r="AT349" s="113"/>
      <c r="AU349" s="113"/>
      <c r="AV349" s="113"/>
      <c r="AW349" s="113"/>
      <c r="AX349" s="113"/>
      <c r="AY349" s="113"/>
      <c r="AZ349" s="113"/>
      <c r="BA349" s="113"/>
      <c r="BB349" s="113"/>
      <c r="BC349" s="113"/>
      <c r="BD349" s="113"/>
      <c r="BE349" s="113"/>
      <c r="BF349" s="114"/>
    </row>
    <row r="350" spans="1:58">
      <c r="A350" s="466"/>
      <c r="B350" s="465"/>
      <c r="C350" s="468"/>
      <c r="D350" s="470"/>
      <c r="E350" s="472"/>
      <c r="F350" s="472"/>
      <c r="G350" s="72" t="s">
        <v>167</v>
      </c>
      <c r="H350" s="68">
        <f t="shared" si="299"/>
        <v>0</v>
      </c>
      <c r="I350" s="105"/>
      <c r="J350" s="106"/>
      <c r="K350" s="106"/>
      <c r="L350" s="106"/>
      <c r="M350" s="106"/>
      <c r="N350" s="106"/>
      <c r="O350" s="106"/>
      <c r="P350" s="106"/>
      <c r="Q350" s="106"/>
      <c r="R350" s="106"/>
      <c r="S350" s="106"/>
      <c r="T350" s="106"/>
      <c r="U350" s="106"/>
      <c r="V350" s="106"/>
      <c r="W350" s="106"/>
      <c r="X350" s="106"/>
      <c r="Y350" s="106"/>
      <c r="Z350" s="106"/>
      <c r="AA350" s="106"/>
      <c r="AB350" s="106"/>
      <c r="AC350" s="106"/>
      <c r="AD350" s="106"/>
      <c r="AE350" s="106"/>
      <c r="AF350" s="106"/>
      <c r="AG350" s="106"/>
      <c r="AH350" s="106"/>
      <c r="AI350" s="106"/>
      <c r="AJ350" s="106"/>
      <c r="AK350" s="106"/>
      <c r="AL350" s="106"/>
      <c r="AM350" s="106"/>
      <c r="AN350" s="106"/>
      <c r="AO350" s="106"/>
      <c r="AP350" s="106"/>
      <c r="AQ350" s="106"/>
      <c r="AR350" s="106"/>
      <c r="AS350" s="106"/>
      <c r="AT350" s="106"/>
      <c r="AU350" s="106"/>
      <c r="AV350" s="106"/>
      <c r="AW350" s="106"/>
      <c r="AX350" s="106"/>
      <c r="AY350" s="106"/>
      <c r="AZ350" s="106"/>
      <c r="BA350" s="106"/>
      <c r="BB350" s="106"/>
      <c r="BC350" s="106"/>
      <c r="BD350" s="106"/>
      <c r="BE350" s="106"/>
      <c r="BF350" s="107"/>
    </row>
    <row r="351" spans="1:58">
      <c r="A351" s="464">
        <f t="shared" si="455"/>
        <v>171</v>
      </c>
      <c r="B351" s="465"/>
      <c r="C351" s="467" t="s">
        <v>596</v>
      </c>
      <c r="D351" s="469">
        <f t="shared" ref="D351" si="477">SUM(I351:BF351)</f>
        <v>0</v>
      </c>
      <c r="E351" s="471" t="str">
        <f t="shared" ref="E351" si="478">IF(D351=0,"",H352/D351)</f>
        <v/>
      </c>
      <c r="F351" s="471" t="str">
        <f t="shared" ref="F351" si="479">IF(H351=0,"",H352/H351)</f>
        <v/>
      </c>
      <c r="G351" s="71" t="s">
        <v>168</v>
      </c>
      <c r="H351" s="67">
        <f t="shared" si="299"/>
        <v>0</v>
      </c>
      <c r="I351" s="112"/>
      <c r="J351" s="113"/>
      <c r="K351" s="113"/>
      <c r="L351" s="113"/>
      <c r="M351" s="113"/>
      <c r="N351" s="113"/>
      <c r="O351" s="113"/>
      <c r="P351" s="113"/>
      <c r="Q351" s="113"/>
      <c r="R351" s="113"/>
      <c r="S351" s="113"/>
      <c r="T351" s="113"/>
      <c r="U351" s="113"/>
      <c r="V351" s="113"/>
      <c r="W351" s="113"/>
      <c r="X351" s="113"/>
      <c r="Y351" s="113"/>
      <c r="Z351" s="113"/>
      <c r="AA351" s="113"/>
      <c r="AB351" s="113"/>
      <c r="AC351" s="113"/>
      <c r="AD351" s="113"/>
      <c r="AE351" s="113"/>
      <c r="AF351" s="113"/>
      <c r="AG351" s="113"/>
      <c r="AH351" s="113"/>
      <c r="AI351" s="113"/>
      <c r="AJ351" s="113"/>
      <c r="AK351" s="113"/>
      <c r="AL351" s="113"/>
      <c r="AM351" s="113"/>
      <c r="AN351" s="113"/>
      <c r="AO351" s="113"/>
      <c r="AP351" s="113"/>
      <c r="AQ351" s="113"/>
      <c r="AR351" s="113"/>
      <c r="AS351" s="113"/>
      <c r="AT351" s="113"/>
      <c r="AU351" s="113"/>
      <c r="AV351" s="113"/>
      <c r="AW351" s="113"/>
      <c r="AX351" s="113"/>
      <c r="AY351" s="113"/>
      <c r="AZ351" s="113"/>
      <c r="BA351" s="113"/>
      <c r="BB351" s="113"/>
      <c r="BC351" s="113"/>
      <c r="BD351" s="113"/>
      <c r="BE351" s="113"/>
      <c r="BF351" s="114"/>
    </row>
    <row r="352" spans="1:58">
      <c r="A352" s="466"/>
      <c r="B352" s="465"/>
      <c r="C352" s="468"/>
      <c r="D352" s="470"/>
      <c r="E352" s="472"/>
      <c r="F352" s="472"/>
      <c r="G352" s="72" t="s">
        <v>167</v>
      </c>
      <c r="H352" s="68">
        <f t="shared" si="299"/>
        <v>0</v>
      </c>
      <c r="I352" s="105"/>
      <c r="J352" s="106"/>
      <c r="K352" s="106"/>
      <c r="L352" s="106"/>
      <c r="M352" s="106"/>
      <c r="N352" s="106"/>
      <c r="O352" s="106"/>
      <c r="P352" s="106"/>
      <c r="Q352" s="106"/>
      <c r="R352" s="106"/>
      <c r="S352" s="106"/>
      <c r="T352" s="106"/>
      <c r="U352" s="106"/>
      <c r="V352" s="106"/>
      <c r="W352" s="106"/>
      <c r="X352" s="106"/>
      <c r="Y352" s="106"/>
      <c r="Z352" s="106"/>
      <c r="AA352" s="106"/>
      <c r="AB352" s="106"/>
      <c r="AC352" s="106"/>
      <c r="AD352" s="106"/>
      <c r="AE352" s="106"/>
      <c r="AF352" s="106"/>
      <c r="AG352" s="106"/>
      <c r="AH352" s="106"/>
      <c r="AI352" s="106"/>
      <c r="AJ352" s="106"/>
      <c r="AK352" s="106"/>
      <c r="AL352" s="106"/>
      <c r="AM352" s="106"/>
      <c r="AN352" s="106"/>
      <c r="AO352" s="106"/>
      <c r="AP352" s="106"/>
      <c r="AQ352" s="106"/>
      <c r="AR352" s="106"/>
      <c r="AS352" s="106"/>
      <c r="AT352" s="106"/>
      <c r="AU352" s="106"/>
      <c r="AV352" s="106"/>
      <c r="AW352" s="106"/>
      <c r="AX352" s="106"/>
      <c r="AY352" s="106"/>
      <c r="AZ352" s="106"/>
      <c r="BA352" s="106"/>
      <c r="BB352" s="106"/>
      <c r="BC352" s="106"/>
      <c r="BD352" s="106"/>
      <c r="BE352" s="106"/>
      <c r="BF352" s="107"/>
    </row>
    <row r="353" spans="1:58">
      <c r="A353" s="464">
        <f t="shared" si="455"/>
        <v>172</v>
      </c>
      <c r="B353" s="465"/>
      <c r="C353" s="467" t="s">
        <v>596</v>
      </c>
      <c r="D353" s="469">
        <f t="shared" ref="D353" si="480">SUM(I353:BF353)</f>
        <v>0</v>
      </c>
      <c r="E353" s="471" t="str">
        <f t="shared" ref="E353" si="481">IF(D353=0,"",H354/D353)</f>
        <v/>
      </c>
      <c r="F353" s="471" t="str">
        <f t="shared" ref="F353" si="482">IF(H353=0,"",H354/H353)</f>
        <v/>
      </c>
      <c r="G353" s="71" t="s">
        <v>168</v>
      </c>
      <c r="H353" s="67">
        <f t="shared" si="299"/>
        <v>0</v>
      </c>
      <c r="I353" s="112"/>
      <c r="J353" s="113"/>
      <c r="K353" s="113"/>
      <c r="L353" s="113"/>
      <c r="M353" s="113"/>
      <c r="N353" s="113"/>
      <c r="O353" s="113"/>
      <c r="P353" s="113"/>
      <c r="Q353" s="113"/>
      <c r="R353" s="113"/>
      <c r="S353" s="113"/>
      <c r="T353" s="113"/>
      <c r="U353" s="113"/>
      <c r="V353" s="113"/>
      <c r="W353" s="113"/>
      <c r="X353" s="113"/>
      <c r="Y353" s="113"/>
      <c r="Z353" s="113"/>
      <c r="AA353" s="113"/>
      <c r="AB353" s="113"/>
      <c r="AC353" s="113"/>
      <c r="AD353" s="113"/>
      <c r="AE353" s="113"/>
      <c r="AF353" s="113"/>
      <c r="AG353" s="113"/>
      <c r="AH353" s="113"/>
      <c r="AI353" s="113"/>
      <c r="AJ353" s="113"/>
      <c r="AK353" s="113"/>
      <c r="AL353" s="113"/>
      <c r="AM353" s="113"/>
      <c r="AN353" s="113"/>
      <c r="AO353" s="113"/>
      <c r="AP353" s="113"/>
      <c r="AQ353" s="113"/>
      <c r="AR353" s="113"/>
      <c r="AS353" s="113"/>
      <c r="AT353" s="113"/>
      <c r="AU353" s="113"/>
      <c r="AV353" s="113"/>
      <c r="AW353" s="113"/>
      <c r="AX353" s="113"/>
      <c r="AY353" s="113"/>
      <c r="AZ353" s="113"/>
      <c r="BA353" s="113"/>
      <c r="BB353" s="113"/>
      <c r="BC353" s="113"/>
      <c r="BD353" s="113"/>
      <c r="BE353" s="113"/>
      <c r="BF353" s="114"/>
    </row>
    <row r="354" spans="1:58">
      <c r="A354" s="466"/>
      <c r="B354" s="465"/>
      <c r="C354" s="468"/>
      <c r="D354" s="470"/>
      <c r="E354" s="472"/>
      <c r="F354" s="472"/>
      <c r="G354" s="72" t="s">
        <v>167</v>
      </c>
      <c r="H354" s="68">
        <f t="shared" si="299"/>
        <v>0</v>
      </c>
      <c r="I354" s="105"/>
      <c r="J354" s="106"/>
      <c r="K354" s="106"/>
      <c r="L354" s="106"/>
      <c r="M354" s="106"/>
      <c r="N354" s="106"/>
      <c r="O354" s="106"/>
      <c r="P354" s="106"/>
      <c r="Q354" s="106"/>
      <c r="R354" s="106"/>
      <c r="S354" s="106"/>
      <c r="T354" s="106"/>
      <c r="U354" s="106"/>
      <c r="V354" s="106"/>
      <c r="W354" s="106"/>
      <c r="X354" s="106"/>
      <c r="Y354" s="106"/>
      <c r="Z354" s="106"/>
      <c r="AA354" s="106"/>
      <c r="AB354" s="106"/>
      <c r="AC354" s="106"/>
      <c r="AD354" s="106"/>
      <c r="AE354" s="106"/>
      <c r="AF354" s="106"/>
      <c r="AG354" s="106"/>
      <c r="AH354" s="106"/>
      <c r="AI354" s="106"/>
      <c r="AJ354" s="106"/>
      <c r="AK354" s="106"/>
      <c r="AL354" s="106"/>
      <c r="AM354" s="106"/>
      <c r="AN354" s="106"/>
      <c r="AO354" s="106"/>
      <c r="AP354" s="106"/>
      <c r="AQ354" s="106"/>
      <c r="AR354" s="106"/>
      <c r="AS354" s="106"/>
      <c r="AT354" s="106"/>
      <c r="AU354" s="106"/>
      <c r="AV354" s="106"/>
      <c r="AW354" s="106"/>
      <c r="AX354" s="106"/>
      <c r="AY354" s="106"/>
      <c r="AZ354" s="106"/>
      <c r="BA354" s="106"/>
      <c r="BB354" s="106"/>
      <c r="BC354" s="106"/>
      <c r="BD354" s="106"/>
      <c r="BE354" s="106"/>
      <c r="BF354" s="107"/>
    </row>
    <row r="355" spans="1:58">
      <c r="A355" s="464">
        <f t="shared" si="455"/>
        <v>173</v>
      </c>
      <c r="B355" s="465"/>
      <c r="C355" s="467" t="s">
        <v>596</v>
      </c>
      <c r="D355" s="469">
        <f t="shared" ref="D355" si="483">SUM(I355:BF355)</f>
        <v>0</v>
      </c>
      <c r="E355" s="471" t="str">
        <f t="shared" ref="E355" si="484">IF(D355=0,"",H356/D355)</f>
        <v/>
      </c>
      <c r="F355" s="471" t="str">
        <f t="shared" ref="F355" si="485">IF(H355=0,"",H356/H355)</f>
        <v/>
      </c>
      <c r="G355" s="71" t="s">
        <v>168</v>
      </c>
      <c r="H355" s="67">
        <f t="shared" si="299"/>
        <v>0</v>
      </c>
      <c r="I355" s="112"/>
      <c r="J355" s="113"/>
      <c r="K355" s="113"/>
      <c r="L355" s="113"/>
      <c r="M355" s="113"/>
      <c r="N355" s="113"/>
      <c r="O355" s="113"/>
      <c r="P355" s="113"/>
      <c r="Q355" s="113"/>
      <c r="R355" s="113"/>
      <c r="S355" s="113"/>
      <c r="T355" s="113"/>
      <c r="U355" s="113"/>
      <c r="V355" s="113"/>
      <c r="W355" s="113"/>
      <c r="X355" s="113"/>
      <c r="Y355" s="113"/>
      <c r="Z355" s="113"/>
      <c r="AA355" s="113"/>
      <c r="AB355" s="113"/>
      <c r="AC355" s="113"/>
      <c r="AD355" s="113"/>
      <c r="AE355" s="113"/>
      <c r="AF355" s="113"/>
      <c r="AG355" s="113"/>
      <c r="AH355" s="113"/>
      <c r="AI355" s="113"/>
      <c r="AJ355" s="113"/>
      <c r="AK355" s="113"/>
      <c r="AL355" s="113"/>
      <c r="AM355" s="113"/>
      <c r="AN355" s="113"/>
      <c r="AO355" s="113"/>
      <c r="AP355" s="113"/>
      <c r="AQ355" s="113"/>
      <c r="AR355" s="113"/>
      <c r="AS355" s="113"/>
      <c r="AT355" s="113"/>
      <c r="AU355" s="113"/>
      <c r="AV355" s="113"/>
      <c r="AW355" s="113"/>
      <c r="AX355" s="113"/>
      <c r="AY355" s="113"/>
      <c r="AZ355" s="113"/>
      <c r="BA355" s="113"/>
      <c r="BB355" s="113"/>
      <c r="BC355" s="113"/>
      <c r="BD355" s="113"/>
      <c r="BE355" s="113"/>
      <c r="BF355" s="114"/>
    </row>
    <row r="356" spans="1:58">
      <c r="A356" s="466"/>
      <c r="B356" s="465"/>
      <c r="C356" s="468"/>
      <c r="D356" s="470"/>
      <c r="E356" s="472"/>
      <c r="F356" s="472"/>
      <c r="G356" s="72" t="s">
        <v>167</v>
      </c>
      <c r="H356" s="68">
        <f t="shared" si="299"/>
        <v>0</v>
      </c>
      <c r="I356" s="105"/>
      <c r="J356" s="106"/>
      <c r="K356" s="106"/>
      <c r="L356" s="106"/>
      <c r="M356" s="106"/>
      <c r="N356" s="106"/>
      <c r="O356" s="106"/>
      <c r="P356" s="106"/>
      <c r="Q356" s="106"/>
      <c r="R356" s="106"/>
      <c r="S356" s="106"/>
      <c r="T356" s="106"/>
      <c r="U356" s="106"/>
      <c r="V356" s="106"/>
      <c r="W356" s="106"/>
      <c r="X356" s="106"/>
      <c r="Y356" s="106"/>
      <c r="Z356" s="106"/>
      <c r="AA356" s="106"/>
      <c r="AB356" s="106"/>
      <c r="AC356" s="106"/>
      <c r="AD356" s="106"/>
      <c r="AE356" s="106"/>
      <c r="AF356" s="106"/>
      <c r="AG356" s="106"/>
      <c r="AH356" s="106"/>
      <c r="AI356" s="106"/>
      <c r="AJ356" s="106"/>
      <c r="AK356" s="106"/>
      <c r="AL356" s="106"/>
      <c r="AM356" s="106"/>
      <c r="AN356" s="106"/>
      <c r="AO356" s="106"/>
      <c r="AP356" s="106"/>
      <c r="AQ356" s="106"/>
      <c r="AR356" s="106"/>
      <c r="AS356" s="106"/>
      <c r="AT356" s="106"/>
      <c r="AU356" s="106"/>
      <c r="AV356" s="106"/>
      <c r="AW356" s="106"/>
      <c r="AX356" s="106"/>
      <c r="AY356" s="106"/>
      <c r="AZ356" s="106"/>
      <c r="BA356" s="106"/>
      <c r="BB356" s="106"/>
      <c r="BC356" s="106"/>
      <c r="BD356" s="106"/>
      <c r="BE356" s="106"/>
      <c r="BF356" s="107"/>
    </row>
    <row r="357" spans="1:58">
      <c r="A357" s="464">
        <f t="shared" si="455"/>
        <v>174</v>
      </c>
      <c r="B357" s="465"/>
      <c r="C357" s="467" t="s">
        <v>596</v>
      </c>
      <c r="D357" s="469">
        <f t="shared" ref="D357" si="486">SUM(I357:BF357)</f>
        <v>0</v>
      </c>
      <c r="E357" s="471" t="str">
        <f t="shared" ref="E357" si="487">IF(D357=0,"",H358/D357)</f>
        <v/>
      </c>
      <c r="F357" s="471" t="str">
        <f t="shared" ref="F357" si="488">IF(H357=0,"",H358/H357)</f>
        <v/>
      </c>
      <c r="G357" s="71" t="s">
        <v>168</v>
      </c>
      <c r="H357" s="67">
        <f t="shared" si="299"/>
        <v>0</v>
      </c>
      <c r="I357" s="112"/>
      <c r="J357" s="113"/>
      <c r="K357" s="113"/>
      <c r="L357" s="113"/>
      <c r="M357" s="113"/>
      <c r="N357" s="113"/>
      <c r="O357" s="113"/>
      <c r="P357" s="113"/>
      <c r="Q357" s="113"/>
      <c r="R357" s="113"/>
      <c r="S357" s="113"/>
      <c r="T357" s="113"/>
      <c r="U357" s="113"/>
      <c r="V357" s="113"/>
      <c r="W357" s="113"/>
      <c r="X357" s="113"/>
      <c r="Y357" s="113"/>
      <c r="Z357" s="113"/>
      <c r="AA357" s="113"/>
      <c r="AB357" s="113"/>
      <c r="AC357" s="113"/>
      <c r="AD357" s="113"/>
      <c r="AE357" s="113"/>
      <c r="AF357" s="113"/>
      <c r="AG357" s="113"/>
      <c r="AH357" s="113"/>
      <c r="AI357" s="113"/>
      <c r="AJ357" s="113"/>
      <c r="AK357" s="113"/>
      <c r="AL357" s="113"/>
      <c r="AM357" s="113"/>
      <c r="AN357" s="113"/>
      <c r="AO357" s="113"/>
      <c r="AP357" s="113"/>
      <c r="AQ357" s="113"/>
      <c r="AR357" s="113"/>
      <c r="AS357" s="113"/>
      <c r="AT357" s="113"/>
      <c r="AU357" s="113"/>
      <c r="AV357" s="113"/>
      <c r="AW357" s="113"/>
      <c r="AX357" s="113"/>
      <c r="AY357" s="113"/>
      <c r="AZ357" s="113"/>
      <c r="BA357" s="113"/>
      <c r="BB357" s="113"/>
      <c r="BC357" s="113"/>
      <c r="BD357" s="113"/>
      <c r="BE357" s="113"/>
      <c r="BF357" s="114"/>
    </row>
    <row r="358" spans="1:58">
      <c r="A358" s="466"/>
      <c r="B358" s="465"/>
      <c r="C358" s="468"/>
      <c r="D358" s="470"/>
      <c r="E358" s="472"/>
      <c r="F358" s="472"/>
      <c r="G358" s="72" t="s">
        <v>167</v>
      </c>
      <c r="H358" s="68">
        <f t="shared" si="299"/>
        <v>0</v>
      </c>
      <c r="I358" s="105"/>
      <c r="J358" s="106"/>
      <c r="K358" s="106"/>
      <c r="L358" s="106"/>
      <c r="M358" s="106"/>
      <c r="N358" s="106"/>
      <c r="O358" s="106"/>
      <c r="P358" s="106"/>
      <c r="Q358" s="106"/>
      <c r="R358" s="106"/>
      <c r="S358" s="106"/>
      <c r="T358" s="106"/>
      <c r="U358" s="106"/>
      <c r="V358" s="106"/>
      <c r="W358" s="106"/>
      <c r="X358" s="106"/>
      <c r="Y358" s="106"/>
      <c r="Z358" s="106"/>
      <c r="AA358" s="106"/>
      <c r="AB358" s="106"/>
      <c r="AC358" s="106"/>
      <c r="AD358" s="106"/>
      <c r="AE358" s="106"/>
      <c r="AF358" s="106"/>
      <c r="AG358" s="106"/>
      <c r="AH358" s="106"/>
      <c r="AI358" s="106"/>
      <c r="AJ358" s="106"/>
      <c r="AK358" s="106"/>
      <c r="AL358" s="106"/>
      <c r="AM358" s="106"/>
      <c r="AN358" s="106"/>
      <c r="AO358" s="106"/>
      <c r="AP358" s="106"/>
      <c r="AQ358" s="106"/>
      <c r="AR358" s="106"/>
      <c r="AS358" s="106"/>
      <c r="AT358" s="106"/>
      <c r="AU358" s="106"/>
      <c r="AV358" s="106"/>
      <c r="AW358" s="106"/>
      <c r="AX358" s="106"/>
      <c r="AY358" s="106"/>
      <c r="AZ358" s="106"/>
      <c r="BA358" s="106"/>
      <c r="BB358" s="106"/>
      <c r="BC358" s="106"/>
      <c r="BD358" s="106"/>
      <c r="BE358" s="106"/>
      <c r="BF358" s="107"/>
    </row>
    <row r="359" spans="1:58">
      <c r="A359" s="464">
        <f t="shared" si="455"/>
        <v>175</v>
      </c>
      <c r="B359" s="465"/>
      <c r="C359" s="467" t="s">
        <v>596</v>
      </c>
      <c r="D359" s="469">
        <f t="shared" ref="D359" si="489">SUM(I359:BF359)</f>
        <v>0</v>
      </c>
      <c r="E359" s="471" t="str">
        <f t="shared" ref="E359" si="490">IF(D359=0,"",H360/D359)</f>
        <v/>
      </c>
      <c r="F359" s="471" t="str">
        <f t="shared" ref="F359" si="491">IF(H359=0,"",H360/H359)</f>
        <v/>
      </c>
      <c r="G359" s="71" t="s">
        <v>168</v>
      </c>
      <c r="H359" s="67">
        <f t="shared" si="299"/>
        <v>0</v>
      </c>
      <c r="I359" s="112"/>
      <c r="J359" s="113"/>
      <c r="K359" s="113"/>
      <c r="L359" s="113"/>
      <c r="M359" s="113"/>
      <c r="N359" s="113"/>
      <c r="O359" s="113"/>
      <c r="P359" s="113"/>
      <c r="Q359" s="113"/>
      <c r="R359" s="113"/>
      <c r="S359" s="113"/>
      <c r="T359" s="113"/>
      <c r="U359" s="113"/>
      <c r="V359" s="113"/>
      <c r="W359" s="113"/>
      <c r="X359" s="113"/>
      <c r="Y359" s="113"/>
      <c r="Z359" s="113"/>
      <c r="AA359" s="113"/>
      <c r="AB359" s="113"/>
      <c r="AC359" s="113"/>
      <c r="AD359" s="113"/>
      <c r="AE359" s="113"/>
      <c r="AF359" s="113"/>
      <c r="AG359" s="113"/>
      <c r="AH359" s="113"/>
      <c r="AI359" s="113"/>
      <c r="AJ359" s="113"/>
      <c r="AK359" s="113"/>
      <c r="AL359" s="113"/>
      <c r="AM359" s="113"/>
      <c r="AN359" s="113"/>
      <c r="AO359" s="113"/>
      <c r="AP359" s="113"/>
      <c r="AQ359" s="113"/>
      <c r="AR359" s="113"/>
      <c r="AS359" s="113"/>
      <c r="AT359" s="113"/>
      <c r="AU359" s="113"/>
      <c r="AV359" s="113"/>
      <c r="AW359" s="113"/>
      <c r="AX359" s="113"/>
      <c r="AY359" s="113"/>
      <c r="AZ359" s="113"/>
      <c r="BA359" s="113"/>
      <c r="BB359" s="113"/>
      <c r="BC359" s="113"/>
      <c r="BD359" s="113"/>
      <c r="BE359" s="113"/>
      <c r="BF359" s="114"/>
    </row>
    <row r="360" spans="1:58">
      <c r="A360" s="466"/>
      <c r="B360" s="465"/>
      <c r="C360" s="468"/>
      <c r="D360" s="470"/>
      <c r="E360" s="472"/>
      <c r="F360" s="472"/>
      <c r="G360" s="72" t="s">
        <v>167</v>
      </c>
      <c r="H360" s="68">
        <f t="shared" si="299"/>
        <v>0</v>
      </c>
      <c r="I360" s="105"/>
      <c r="J360" s="106"/>
      <c r="K360" s="106"/>
      <c r="L360" s="106"/>
      <c r="M360" s="106"/>
      <c r="N360" s="106"/>
      <c r="O360" s="106"/>
      <c r="P360" s="106"/>
      <c r="Q360" s="106"/>
      <c r="R360" s="106"/>
      <c r="S360" s="106"/>
      <c r="T360" s="106"/>
      <c r="U360" s="106"/>
      <c r="V360" s="106"/>
      <c r="W360" s="106"/>
      <c r="X360" s="106"/>
      <c r="Y360" s="106"/>
      <c r="Z360" s="106"/>
      <c r="AA360" s="106"/>
      <c r="AB360" s="106"/>
      <c r="AC360" s="106"/>
      <c r="AD360" s="106"/>
      <c r="AE360" s="106"/>
      <c r="AF360" s="106"/>
      <c r="AG360" s="106"/>
      <c r="AH360" s="106"/>
      <c r="AI360" s="106"/>
      <c r="AJ360" s="106"/>
      <c r="AK360" s="106"/>
      <c r="AL360" s="106"/>
      <c r="AM360" s="106"/>
      <c r="AN360" s="106"/>
      <c r="AO360" s="106"/>
      <c r="AP360" s="106"/>
      <c r="AQ360" s="106"/>
      <c r="AR360" s="106"/>
      <c r="AS360" s="106"/>
      <c r="AT360" s="106"/>
      <c r="AU360" s="106"/>
      <c r="AV360" s="106"/>
      <c r="AW360" s="106"/>
      <c r="AX360" s="106"/>
      <c r="AY360" s="106"/>
      <c r="AZ360" s="106"/>
      <c r="BA360" s="106"/>
      <c r="BB360" s="106"/>
      <c r="BC360" s="106"/>
      <c r="BD360" s="106"/>
      <c r="BE360" s="106"/>
      <c r="BF360" s="107"/>
    </row>
    <row r="361" spans="1:58">
      <c r="A361" s="464">
        <f t="shared" si="455"/>
        <v>176</v>
      </c>
      <c r="B361" s="465"/>
      <c r="C361" s="467" t="s">
        <v>596</v>
      </c>
      <c r="D361" s="469">
        <f t="shared" ref="D361" si="492">SUM(I361:BF361)</f>
        <v>0</v>
      </c>
      <c r="E361" s="471" t="str">
        <f t="shared" ref="E361" si="493">IF(D361=0,"",H362/D361)</f>
        <v/>
      </c>
      <c r="F361" s="471" t="str">
        <f t="shared" ref="F361" si="494">IF(H361=0,"",H362/H361)</f>
        <v/>
      </c>
      <c r="G361" s="71" t="s">
        <v>168</v>
      </c>
      <c r="H361" s="67">
        <f t="shared" si="299"/>
        <v>0</v>
      </c>
      <c r="I361" s="112"/>
      <c r="J361" s="113"/>
      <c r="K361" s="113"/>
      <c r="L361" s="113"/>
      <c r="M361" s="113"/>
      <c r="N361" s="113"/>
      <c r="O361" s="113"/>
      <c r="P361" s="113"/>
      <c r="Q361" s="113"/>
      <c r="R361" s="113"/>
      <c r="S361" s="113"/>
      <c r="T361" s="113"/>
      <c r="U361" s="113"/>
      <c r="V361" s="113"/>
      <c r="W361" s="113"/>
      <c r="X361" s="113"/>
      <c r="Y361" s="113"/>
      <c r="Z361" s="113"/>
      <c r="AA361" s="113"/>
      <c r="AB361" s="113"/>
      <c r="AC361" s="113"/>
      <c r="AD361" s="113"/>
      <c r="AE361" s="113"/>
      <c r="AF361" s="113"/>
      <c r="AG361" s="113"/>
      <c r="AH361" s="113"/>
      <c r="AI361" s="113"/>
      <c r="AJ361" s="113"/>
      <c r="AK361" s="113"/>
      <c r="AL361" s="113"/>
      <c r="AM361" s="113"/>
      <c r="AN361" s="113"/>
      <c r="AO361" s="113"/>
      <c r="AP361" s="113"/>
      <c r="AQ361" s="113"/>
      <c r="AR361" s="113"/>
      <c r="AS361" s="113"/>
      <c r="AT361" s="113"/>
      <c r="AU361" s="113"/>
      <c r="AV361" s="113"/>
      <c r="AW361" s="113"/>
      <c r="AX361" s="113"/>
      <c r="AY361" s="113"/>
      <c r="AZ361" s="113"/>
      <c r="BA361" s="113"/>
      <c r="BB361" s="113"/>
      <c r="BC361" s="113"/>
      <c r="BD361" s="113"/>
      <c r="BE361" s="113"/>
      <c r="BF361" s="114"/>
    </row>
    <row r="362" spans="1:58">
      <c r="A362" s="466"/>
      <c r="B362" s="465"/>
      <c r="C362" s="468"/>
      <c r="D362" s="470"/>
      <c r="E362" s="472"/>
      <c r="F362" s="472"/>
      <c r="G362" s="72" t="s">
        <v>167</v>
      </c>
      <c r="H362" s="68">
        <f t="shared" si="299"/>
        <v>0</v>
      </c>
      <c r="I362" s="105"/>
      <c r="J362" s="106"/>
      <c r="K362" s="106"/>
      <c r="L362" s="106"/>
      <c r="M362" s="106"/>
      <c r="N362" s="106"/>
      <c r="O362" s="106"/>
      <c r="P362" s="106"/>
      <c r="Q362" s="106"/>
      <c r="R362" s="106"/>
      <c r="S362" s="106"/>
      <c r="T362" s="106"/>
      <c r="U362" s="106"/>
      <c r="V362" s="106"/>
      <c r="W362" s="106"/>
      <c r="X362" s="106"/>
      <c r="Y362" s="106"/>
      <c r="Z362" s="106"/>
      <c r="AA362" s="106"/>
      <c r="AB362" s="106"/>
      <c r="AC362" s="106"/>
      <c r="AD362" s="106"/>
      <c r="AE362" s="106"/>
      <c r="AF362" s="106"/>
      <c r="AG362" s="106"/>
      <c r="AH362" s="106"/>
      <c r="AI362" s="106"/>
      <c r="AJ362" s="106"/>
      <c r="AK362" s="106"/>
      <c r="AL362" s="106"/>
      <c r="AM362" s="106"/>
      <c r="AN362" s="106"/>
      <c r="AO362" s="106"/>
      <c r="AP362" s="106"/>
      <c r="AQ362" s="106"/>
      <c r="AR362" s="106"/>
      <c r="AS362" s="106"/>
      <c r="AT362" s="106"/>
      <c r="AU362" s="106"/>
      <c r="AV362" s="106"/>
      <c r="AW362" s="106"/>
      <c r="AX362" s="106"/>
      <c r="AY362" s="106"/>
      <c r="AZ362" s="106"/>
      <c r="BA362" s="106"/>
      <c r="BB362" s="106"/>
      <c r="BC362" s="106"/>
      <c r="BD362" s="106"/>
      <c r="BE362" s="106"/>
      <c r="BF362" s="107"/>
    </row>
    <row r="363" spans="1:58">
      <c r="A363" s="464">
        <f t="shared" si="455"/>
        <v>177</v>
      </c>
      <c r="B363" s="465"/>
      <c r="C363" s="467" t="s">
        <v>596</v>
      </c>
      <c r="D363" s="469">
        <f t="shared" ref="D363" si="495">SUM(I363:BF363)</f>
        <v>0</v>
      </c>
      <c r="E363" s="471" t="str">
        <f t="shared" ref="E363" si="496">IF(D363=0,"",H364/D363)</f>
        <v/>
      </c>
      <c r="F363" s="471" t="str">
        <f t="shared" ref="F363" si="497">IF(H363=0,"",H364/H363)</f>
        <v/>
      </c>
      <c r="G363" s="71" t="s">
        <v>168</v>
      </c>
      <c r="H363" s="67">
        <f t="shared" si="299"/>
        <v>0</v>
      </c>
      <c r="I363" s="112"/>
      <c r="J363" s="113"/>
      <c r="K363" s="113"/>
      <c r="L363" s="113"/>
      <c r="M363" s="113"/>
      <c r="N363" s="113"/>
      <c r="O363" s="113"/>
      <c r="P363" s="113"/>
      <c r="Q363" s="113"/>
      <c r="R363" s="113"/>
      <c r="S363" s="113"/>
      <c r="T363" s="113"/>
      <c r="U363" s="113"/>
      <c r="V363" s="113"/>
      <c r="W363" s="113"/>
      <c r="X363" s="113"/>
      <c r="Y363" s="113"/>
      <c r="Z363" s="113"/>
      <c r="AA363" s="113"/>
      <c r="AB363" s="113"/>
      <c r="AC363" s="113"/>
      <c r="AD363" s="113"/>
      <c r="AE363" s="113"/>
      <c r="AF363" s="113"/>
      <c r="AG363" s="113"/>
      <c r="AH363" s="113"/>
      <c r="AI363" s="113"/>
      <c r="AJ363" s="113"/>
      <c r="AK363" s="113"/>
      <c r="AL363" s="113"/>
      <c r="AM363" s="113"/>
      <c r="AN363" s="113"/>
      <c r="AO363" s="113"/>
      <c r="AP363" s="113"/>
      <c r="AQ363" s="113"/>
      <c r="AR363" s="113"/>
      <c r="AS363" s="113"/>
      <c r="AT363" s="113"/>
      <c r="AU363" s="113"/>
      <c r="AV363" s="113"/>
      <c r="AW363" s="113"/>
      <c r="AX363" s="113"/>
      <c r="AY363" s="113"/>
      <c r="AZ363" s="113"/>
      <c r="BA363" s="113"/>
      <c r="BB363" s="113"/>
      <c r="BC363" s="113"/>
      <c r="BD363" s="113"/>
      <c r="BE363" s="113"/>
      <c r="BF363" s="114"/>
    </row>
    <row r="364" spans="1:58">
      <c r="A364" s="466"/>
      <c r="B364" s="465"/>
      <c r="C364" s="468"/>
      <c r="D364" s="470"/>
      <c r="E364" s="472"/>
      <c r="F364" s="472"/>
      <c r="G364" s="72" t="s">
        <v>167</v>
      </c>
      <c r="H364" s="68">
        <f t="shared" si="299"/>
        <v>0</v>
      </c>
      <c r="I364" s="105"/>
      <c r="J364" s="106"/>
      <c r="K364" s="106"/>
      <c r="L364" s="106"/>
      <c r="M364" s="106"/>
      <c r="N364" s="106"/>
      <c r="O364" s="106"/>
      <c r="P364" s="106"/>
      <c r="Q364" s="106"/>
      <c r="R364" s="106"/>
      <c r="S364" s="106"/>
      <c r="T364" s="106"/>
      <c r="U364" s="106"/>
      <c r="V364" s="106"/>
      <c r="W364" s="106"/>
      <c r="X364" s="106"/>
      <c r="Y364" s="106"/>
      <c r="Z364" s="106"/>
      <c r="AA364" s="106"/>
      <c r="AB364" s="106"/>
      <c r="AC364" s="106"/>
      <c r="AD364" s="106"/>
      <c r="AE364" s="106"/>
      <c r="AF364" s="106"/>
      <c r="AG364" s="106"/>
      <c r="AH364" s="106"/>
      <c r="AI364" s="106"/>
      <c r="AJ364" s="106"/>
      <c r="AK364" s="106"/>
      <c r="AL364" s="106"/>
      <c r="AM364" s="106"/>
      <c r="AN364" s="106"/>
      <c r="AO364" s="106"/>
      <c r="AP364" s="106"/>
      <c r="AQ364" s="106"/>
      <c r="AR364" s="106"/>
      <c r="AS364" s="106"/>
      <c r="AT364" s="106"/>
      <c r="AU364" s="106"/>
      <c r="AV364" s="106"/>
      <c r="AW364" s="106"/>
      <c r="AX364" s="106"/>
      <c r="AY364" s="106"/>
      <c r="AZ364" s="106"/>
      <c r="BA364" s="106"/>
      <c r="BB364" s="106"/>
      <c r="BC364" s="106"/>
      <c r="BD364" s="106"/>
      <c r="BE364" s="106"/>
      <c r="BF364" s="107"/>
    </row>
    <row r="365" spans="1:58">
      <c r="A365" s="464">
        <f t="shared" si="455"/>
        <v>178</v>
      </c>
      <c r="B365" s="465"/>
      <c r="C365" s="467" t="s">
        <v>596</v>
      </c>
      <c r="D365" s="469">
        <f t="shared" ref="D365" si="498">SUM(I365:BF365)</f>
        <v>0</v>
      </c>
      <c r="E365" s="471" t="str">
        <f t="shared" ref="E365" si="499">IF(D365=0,"",H366/D365)</f>
        <v/>
      </c>
      <c r="F365" s="471" t="str">
        <f t="shared" ref="F365" si="500">IF(H365=0,"",H366/H365)</f>
        <v/>
      </c>
      <c r="G365" s="71" t="s">
        <v>168</v>
      </c>
      <c r="H365" s="67">
        <f t="shared" si="299"/>
        <v>0</v>
      </c>
      <c r="I365" s="112"/>
      <c r="J365" s="113"/>
      <c r="K365" s="113"/>
      <c r="L365" s="113"/>
      <c r="M365" s="113"/>
      <c r="N365" s="113"/>
      <c r="O365" s="113"/>
      <c r="P365" s="113"/>
      <c r="Q365" s="113"/>
      <c r="R365" s="113"/>
      <c r="S365" s="113"/>
      <c r="T365" s="113"/>
      <c r="U365" s="113"/>
      <c r="V365" s="113"/>
      <c r="W365" s="113"/>
      <c r="X365" s="113"/>
      <c r="Y365" s="113"/>
      <c r="Z365" s="113"/>
      <c r="AA365" s="113"/>
      <c r="AB365" s="113"/>
      <c r="AC365" s="113"/>
      <c r="AD365" s="113"/>
      <c r="AE365" s="113"/>
      <c r="AF365" s="113"/>
      <c r="AG365" s="113"/>
      <c r="AH365" s="113"/>
      <c r="AI365" s="113"/>
      <c r="AJ365" s="113"/>
      <c r="AK365" s="113"/>
      <c r="AL365" s="113"/>
      <c r="AM365" s="113"/>
      <c r="AN365" s="113"/>
      <c r="AO365" s="113"/>
      <c r="AP365" s="113"/>
      <c r="AQ365" s="113"/>
      <c r="AR365" s="113"/>
      <c r="AS365" s="113"/>
      <c r="AT365" s="113"/>
      <c r="AU365" s="113"/>
      <c r="AV365" s="113"/>
      <c r="AW365" s="113"/>
      <c r="AX365" s="113"/>
      <c r="AY365" s="113"/>
      <c r="AZ365" s="113"/>
      <c r="BA365" s="113"/>
      <c r="BB365" s="113"/>
      <c r="BC365" s="113"/>
      <c r="BD365" s="113"/>
      <c r="BE365" s="113"/>
      <c r="BF365" s="114"/>
    </row>
    <row r="366" spans="1:58">
      <c r="A366" s="466"/>
      <c r="B366" s="465"/>
      <c r="C366" s="468"/>
      <c r="D366" s="470"/>
      <c r="E366" s="472"/>
      <c r="F366" s="472"/>
      <c r="G366" s="72" t="s">
        <v>167</v>
      </c>
      <c r="H366" s="68">
        <f t="shared" si="299"/>
        <v>0</v>
      </c>
      <c r="I366" s="105"/>
      <c r="J366" s="106"/>
      <c r="K366" s="106"/>
      <c r="L366" s="106"/>
      <c r="M366" s="106"/>
      <c r="N366" s="106"/>
      <c r="O366" s="106"/>
      <c r="P366" s="106"/>
      <c r="Q366" s="106"/>
      <c r="R366" s="106"/>
      <c r="S366" s="106"/>
      <c r="T366" s="106"/>
      <c r="U366" s="106"/>
      <c r="V366" s="106"/>
      <c r="W366" s="106"/>
      <c r="X366" s="106"/>
      <c r="Y366" s="106"/>
      <c r="Z366" s="106"/>
      <c r="AA366" s="106"/>
      <c r="AB366" s="106"/>
      <c r="AC366" s="106"/>
      <c r="AD366" s="106"/>
      <c r="AE366" s="106"/>
      <c r="AF366" s="106"/>
      <c r="AG366" s="106"/>
      <c r="AH366" s="106"/>
      <c r="AI366" s="106"/>
      <c r="AJ366" s="106"/>
      <c r="AK366" s="106"/>
      <c r="AL366" s="106"/>
      <c r="AM366" s="106"/>
      <c r="AN366" s="106"/>
      <c r="AO366" s="106"/>
      <c r="AP366" s="106"/>
      <c r="AQ366" s="106"/>
      <c r="AR366" s="106"/>
      <c r="AS366" s="106"/>
      <c r="AT366" s="106"/>
      <c r="AU366" s="106"/>
      <c r="AV366" s="106"/>
      <c r="AW366" s="106"/>
      <c r="AX366" s="106"/>
      <c r="AY366" s="106"/>
      <c r="AZ366" s="106"/>
      <c r="BA366" s="106"/>
      <c r="BB366" s="106"/>
      <c r="BC366" s="106"/>
      <c r="BD366" s="106"/>
      <c r="BE366" s="106"/>
      <c r="BF366" s="107"/>
    </row>
    <row r="367" spans="1:58">
      <c r="A367" s="464">
        <f t="shared" si="455"/>
        <v>179</v>
      </c>
      <c r="B367" s="465"/>
      <c r="C367" s="467" t="s">
        <v>596</v>
      </c>
      <c r="D367" s="469">
        <f t="shared" ref="D367" si="501">SUM(I367:BF367)</f>
        <v>0</v>
      </c>
      <c r="E367" s="471" t="str">
        <f t="shared" ref="E367" si="502">IF(D367=0,"",H368/D367)</f>
        <v/>
      </c>
      <c r="F367" s="471" t="str">
        <f t="shared" ref="F367" si="503">IF(H367=0,"",H368/H367)</f>
        <v/>
      </c>
      <c r="G367" s="71" t="s">
        <v>168</v>
      </c>
      <c r="H367" s="67">
        <f t="shared" si="299"/>
        <v>0</v>
      </c>
      <c r="I367" s="112"/>
      <c r="J367" s="113"/>
      <c r="K367" s="113"/>
      <c r="L367" s="113"/>
      <c r="M367" s="113"/>
      <c r="N367" s="113"/>
      <c r="O367" s="113"/>
      <c r="P367" s="113"/>
      <c r="Q367" s="113"/>
      <c r="R367" s="113"/>
      <c r="S367" s="113"/>
      <c r="T367" s="113"/>
      <c r="U367" s="113"/>
      <c r="V367" s="113"/>
      <c r="W367" s="113"/>
      <c r="X367" s="113"/>
      <c r="Y367" s="113"/>
      <c r="Z367" s="113"/>
      <c r="AA367" s="113"/>
      <c r="AB367" s="113"/>
      <c r="AC367" s="113"/>
      <c r="AD367" s="113"/>
      <c r="AE367" s="113"/>
      <c r="AF367" s="113"/>
      <c r="AG367" s="113"/>
      <c r="AH367" s="113"/>
      <c r="AI367" s="113"/>
      <c r="AJ367" s="113"/>
      <c r="AK367" s="113"/>
      <c r="AL367" s="113"/>
      <c r="AM367" s="113"/>
      <c r="AN367" s="113"/>
      <c r="AO367" s="113"/>
      <c r="AP367" s="113"/>
      <c r="AQ367" s="113"/>
      <c r="AR367" s="113"/>
      <c r="AS367" s="113"/>
      <c r="AT367" s="113"/>
      <c r="AU367" s="113"/>
      <c r="AV367" s="113"/>
      <c r="AW367" s="113"/>
      <c r="AX367" s="113"/>
      <c r="AY367" s="113"/>
      <c r="AZ367" s="113"/>
      <c r="BA367" s="113"/>
      <c r="BB367" s="113"/>
      <c r="BC367" s="113"/>
      <c r="BD367" s="113"/>
      <c r="BE367" s="113"/>
      <c r="BF367" s="114"/>
    </row>
    <row r="368" spans="1:58">
      <c r="A368" s="466"/>
      <c r="B368" s="465"/>
      <c r="C368" s="468"/>
      <c r="D368" s="470"/>
      <c r="E368" s="472"/>
      <c r="F368" s="472"/>
      <c r="G368" s="72" t="s">
        <v>167</v>
      </c>
      <c r="H368" s="68">
        <f t="shared" si="299"/>
        <v>0</v>
      </c>
      <c r="I368" s="105"/>
      <c r="J368" s="106"/>
      <c r="K368" s="106"/>
      <c r="L368" s="106"/>
      <c r="M368" s="106"/>
      <c r="N368" s="106"/>
      <c r="O368" s="106"/>
      <c r="P368" s="106"/>
      <c r="Q368" s="106"/>
      <c r="R368" s="106"/>
      <c r="S368" s="106"/>
      <c r="T368" s="106"/>
      <c r="U368" s="106"/>
      <c r="V368" s="106"/>
      <c r="W368" s="106"/>
      <c r="X368" s="106"/>
      <c r="Y368" s="106"/>
      <c r="Z368" s="106"/>
      <c r="AA368" s="106"/>
      <c r="AB368" s="106"/>
      <c r="AC368" s="106"/>
      <c r="AD368" s="106"/>
      <c r="AE368" s="106"/>
      <c r="AF368" s="106"/>
      <c r="AG368" s="106"/>
      <c r="AH368" s="106"/>
      <c r="AI368" s="106"/>
      <c r="AJ368" s="106"/>
      <c r="AK368" s="106"/>
      <c r="AL368" s="106"/>
      <c r="AM368" s="106"/>
      <c r="AN368" s="106"/>
      <c r="AO368" s="106"/>
      <c r="AP368" s="106"/>
      <c r="AQ368" s="106"/>
      <c r="AR368" s="106"/>
      <c r="AS368" s="106"/>
      <c r="AT368" s="106"/>
      <c r="AU368" s="106"/>
      <c r="AV368" s="106"/>
      <c r="AW368" s="106"/>
      <c r="AX368" s="106"/>
      <c r="AY368" s="106"/>
      <c r="AZ368" s="106"/>
      <c r="BA368" s="106"/>
      <c r="BB368" s="106"/>
      <c r="BC368" s="106"/>
      <c r="BD368" s="106"/>
      <c r="BE368" s="106"/>
      <c r="BF368" s="107"/>
    </row>
    <row r="369" spans="1:58">
      <c r="A369" s="464">
        <f t="shared" si="455"/>
        <v>180</v>
      </c>
      <c r="B369" s="465"/>
      <c r="C369" s="467" t="s">
        <v>596</v>
      </c>
      <c r="D369" s="469">
        <f t="shared" ref="D369" si="504">SUM(I369:BF369)</f>
        <v>0</v>
      </c>
      <c r="E369" s="471" t="str">
        <f t="shared" ref="E369" si="505">IF(D369=0,"",H370/D369)</f>
        <v/>
      </c>
      <c r="F369" s="471" t="str">
        <f t="shared" ref="F369" si="506">IF(H369=0,"",H370/H369)</f>
        <v/>
      </c>
      <c r="G369" s="71" t="s">
        <v>168</v>
      </c>
      <c r="H369" s="67">
        <f t="shared" si="299"/>
        <v>0</v>
      </c>
      <c r="I369" s="112"/>
      <c r="J369" s="113"/>
      <c r="K369" s="113"/>
      <c r="L369" s="113"/>
      <c r="M369" s="113"/>
      <c r="N369" s="113"/>
      <c r="O369" s="113"/>
      <c r="P369" s="113"/>
      <c r="Q369" s="113"/>
      <c r="R369" s="113"/>
      <c r="S369" s="113"/>
      <c r="T369" s="113"/>
      <c r="U369" s="113"/>
      <c r="V369" s="113"/>
      <c r="W369" s="113"/>
      <c r="X369" s="113"/>
      <c r="Y369" s="113"/>
      <c r="Z369" s="113"/>
      <c r="AA369" s="113"/>
      <c r="AB369" s="113"/>
      <c r="AC369" s="113"/>
      <c r="AD369" s="113"/>
      <c r="AE369" s="113"/>
      <c r="AF369" s="113"/>
      <c r="AG369" s="113"/>
      <c r="AH369" s="113"/>
      <c r="AI369" s="113"/>
      <c r="AJ369" s="113"/>
      <c r="AK369" s="113"/>
      <c r="AL369" s="113"/>
      <c r="AM369" s="113"/>
      <c r="AN369" s="113"/>
      <c r="AO369" s="113"/>
      <c r="AP369" s="113"/>
      <c r="AQ369" s="113"/>
      <c r="AR369" s="113"/>
      <c r="AS369" s="113"/>
      <c r="AT369" s="113"/>
      <c r="AU369" s="113"/>
      <c r="AV369" s="113"/>
      <c r="AW369" s="113"/>
      <c r="AX369" s="113"/>
      <c r="AY369" s="113"/>
      <c r="AZ369" s="113"/>
      <c r="BA369" s="113"/>
      <c r="BB369" s="113"/>
      <c r="BC369" s="113"/>
      <c r="BD369" s="113"/>
      <c r="BE369" s="113"/>
      <c r="BF369" s="114"/>
    </row>
    <row r="370" spans="1:58">
      <c r="A370" s="466"/>
      <c r="B370" s="465"/>
      <c r="C370" s="468"/>
      <c r="D370" s="470"/>
      <c r="E370" s="472"/>
      <c r="F370" s="472"/>
      <c r="G370" s="72" t="s">
        <v>167</v>
      </c>
      <c r="H370" s="68">
        <f t="shared" si="299"/>
        <v>0</v>
      </c>
      <c r="I370" s="105"/>
      <c r="J370" s="106"/>
      <c r="K370" s="106"/>
      <c r="L370" s="106"/>
      <c r="M370" s="106"/>
      <c r="N370" s="106"/>
      <c r="O370" s="106"/>
      <c r="P370" s="106"/>
      <c r="Q370" s="106"/>
      <c r="R370" s="106"/>
      <c r="S370" s="106"/>
      <c r="T370" s="106"/>
      <c r="U370" s="106"/>
      <c r="V370" s="106"/>
      <c r="W370" s="106"/>
      <c r="X370" s="106"/>
      <c r="Y370" s="106"/>
      <c r="Z370" s="106"/>
      <c r="AA370" s="106"/>
      <c r="AB370" s="106"/>
      <c r="AC370" s="106"/>
      <c r="AD370" s="106"/>
      <c r="AE370" s="106"/>
      <c r="AF370" s="106"/>
      <c r="AG370" s="106"/>
      <c r="AH370" s="106"/>
      <c r="AI370" s="106"/>
      <c r="AJ370" s="106"/>
      <c r="AK370" s="106"/>
      <c r="AL370" s="106"/>
      <c r="AM370" s="106"/>
      <c r="AN370" s="106"/>
      <c r="AO370" s="106"/>
      <c r="AP370" s="106"/>
      <c r="AQ370" s="106"/>
      <c r="AR370" s="106"/>
      <c r="AS370" s="106"/>
      <c r="AT370" s="106"/>
      <c r="AU370" s="106"/>
      <c r="AV370" s="106"/>
      <c r="AW370" s="106"/>
      <c r="AX370" s="106"/>
      <c r="AY370" s="106"/>
      <c r="AZ370" s="106"/>
      <c r="BA370" s="106"/>
      <c r="BB370" s="106"/>
      <c r="BC370" s="106"/>
      <c r="BD370" s="106"/>
      <c r="BE370" s="106"/>
      <c r="BF370" s="107"/>
    </row>
    <row r="371" spans="1:58">
      <c r="A371" s="464">
        <f t="shared" si="455"/>
        <v>181</v>
      </c>
      <c r="B371" s="465"/>
      <c r="C371" s="467" t="s">
        <v>596</v>
      </c>
      <c r="D371" s="469">
        <f t="shared" ref="D371" si="507">SUM(I371:BF371)</f>
        <v>0</v>
      </c>
      <c r="E371" s="471" t="str">
        <f t="shared" ref="E371" si="508">IF(D371=0,"",H372/D371)</f>
        <v/>
      </c>
      <c r="F371" s="471" t="str">
        <f t="shared" ref="F371" si="509">IF(H371=0,"",H372/H371)</f>
        <v/>
      </c>
      <c r="G371" s="71" t="s">
        <v>168</v>
      </c>
      <c r="H371" s="67">
        <f t="shared" si="299"/>
        <v>0</v>
      </c>
      <c r="I371" s="112"/>
      <c r="J371" s="113"/>
      <c r="K371" s="113"/>
      <c r="L371" s="113"/>
      <c r="M371" s="113"/>
      <c r="N371" s="113"/>
      <c r="O371" s="113"/>
      <c r="P371" s="113"/>
      <c r="Q371" s="113"/>
      <c r="R371" s="113"/>
      <c r="S371" s="113"/>
      <c r="T371" s="113"/>
      <c r="U371" s="113"/>
      <c r="V371" s="113"/>
      <c r="W371" s="113"/>
      <c r="X371" s="113"/>
      <c r="Y371" s="113"/>
      <c r="Z371" s="113"/>
      <c r="AA371" s="113"/>
      <c r="AB371" s="113"/>
      <c r="AC371" s="113"/>
      <c r="AD371" s="113"/>
      <c r="AE371" s="113"/>
      <c r="AF371" s="113"/>
      <c r="AG371" s="113"/>
      <c r="AH371" s="113"/>
      <c r="AI371" s="113"/>
      <c r="AJ371" s="113"/>
      <c r="AK371" s="113"/>
      <c r="AL371" s="113"/>
      <c r="AM371" s="113"/>
      <c r="AN371" s="113"/>
      <c r="AO371" s="113"/>
      <c r="AP371" s="113"/>
      <c r="AQ371" s="113"/>
      <c r="AR371" s="113"/>
      <c r="AS371" s="113"/>
      <c r="AT371" s="113"/>
      <c r="AU371" s="113"/>
      <c r="AV371" s="113"/>
      <c r="AW371" s="113"/>
      <c r="AX371" s="113"/>
      <c r="AY371" s="113"/>
      <c r="AZ371" s="113"/>
      <c r="BA371" s="113"/>
      <c r="BB371" s="113"/>
      <c r="BC371" s="113"/>
      <c r="BD371" s="113"/>
      <c r="BE371" s="113"/>
      <c r="BF371" s="114"/>
    </row>
    <row r="372" spans="1:58">
      <c r="A372" s="466"/>
      <c r="B372" s="465"/>
      <c r="C372" s="468"/>
      <c r="D372" s="470"/>
      <c r="E372" s="472"/>
      <c r="F372" s="472"/>
      <c r="G372" s="72" t="s">
        <v>167</v>
      </c>
      <c r="H372" s="68">
        <f t="shared" si="299"/>
        <v>0</v>
      </c>
      <c r="I372" s="105"/>
      <c r="J372" s="106"/>
      <c r="K372" s="106"/>
      <c r="L372" s="106"/>
      <c r="M372" s="106"/>
      <c r="N372" s="106"/>
      <c r="O372" s="106"/>
      <c r="P372" s="106"/>
      <c r="Q372" s="106"/>
      <c r="R372" s="106"/>
      <c r="S372" s="106"/>
      <c r="T372" s="106"/>
      <c r="U372" s="106"/>
      <c r="V372" s="106"/>
      <c r="W372" s="106"/>
      <c r="X372" s="106"/>
      <c r="Y372" s="106"/>
      <c r="Z372" s="106"/>
      <c r="AA372" s="106"/>
      <c r="AB372" s="106"/>
      <c r="AC372" s="106"/>
      <c r="AD372" s="106"/>
      <c r="AE372" s="106"/>
      <c r="AF372" s="106"/>
      <c r="AG372" s="106"/>
      <c r="AH372" s="106"/>
      <c r="AI372" s="106"/>
      <c r="AJ372" s="106"/>
      <c r="AK372" s="106"/>
      <c r="AL372" s="106"/>
      <c r="AM372" s="106"/>
      <c r="AN372" s="106"/>
      <c r="AO372" s="106"/>
      <c r="AP372" s="106"/>
      <c r="AQ372" s="106"/>
      <c r="AR372" s="106"/>
      <c r="AS372" s="106"/>
      <c r="AT372" s="106"/>
      <c r="AU372" s="106"/>
      <c r="AV372" s="106"/>
      <c r="AW372" s="106"/>
      <c r="AX372" s="106"/>
      <c r="AY372" s="106"/>
      <c r="AZ372" s="106"/>
      <c r="BA372" s="106"/>
      <c r="BB372" s="106"/>
      <c r="BC372" s="106"/>
      <c r="BD372" s="106"/>
      <c r="BE372" s="106"/>
      <c r="BF372" s="107"/>
    </row>
    <row r="373" spans="1:58">
      <c r="A373" s="464">
        <f t="shared" si="455"/>
        <v>182</v>
      </c>
      <c r="B373" s="465"/>
      <c r="C373" s="467" t="s">
        <v>596</v>
      </c>
      <c r="D373" s="469">
        <f t="shared" ref="D373" si="510">SUM(I373:BF373)</f>
        <v>0</v>
      </c>
      <c r="E373" s="471" t="str">
        <f t="shared" ref="E373" si="511">IF(D373=0,"",H374/D373)</f>
        <v/>
      </c>
      <c r="F373" s="471" t="str">
        <f t="shared" ref="F373" si="512">IF(H373=0,"",H374/H373)</f>
        <v/>
      </c>
      <c r="G373" s="71" t="s">
        <v>168</v>
      </c>
      <c r="H373" s="67">
        <f t="shared" si="299"/>
        <v>0</v>
      </c>
      <c r="I373" s="112"/>
      <c r="J373" s="113"/>
      <c r="K373" s="113"/>
      <c r="L373" s="113"/>
      <c r="M373" s="113"/>
      <c r="N373" s="113"/>
      <c r="O373" s="113"/>
      <c r="P373" s="113"/>
      <c r="Q373" s="113"/>
      <c r="R373" s="113"/>
      <c r="S373" s="113"/>
      <c r="T373" s="113"/>
      <c r="U373" s="113"/>
      <c r="V373" s="113"/>
      <c r="W373" s="113"/>
      <c r="X373" s="113"/>
      <c r="Y373" s="113"/>
      <c r="Z373" s="113"/>
      <c r="AA373" s="113"/>
      <c r="AB373" s="113"/>
      <c r="AC373" s="113"/>
      <c r="AD373" s="113"/>
      <c r="AE373" s="113"/>
      <c r="AF373" s="113"/>
      <c r="AG373" s="113"/>
      <c r="AH373" s="113"/>
      <c r="AI373" s="113"/>
      <c r="AJ373" s="113"/>
      <c r="AK373" s="113"/>
      <c r="AL373" s="113"/>
      <c r="AM373" s="113"/>
      <c r="AN373" s="113"/>
      <c r="AO373" s="113"/>
      <c r="AP373" s="113"/>
      <c r="AQ373" s="113"/>
      <c r="AR373" s="113"/>
      <c r="AS373" s="113"/>
      <c r="AT373" s="113"/>
      <c r="AU373" s="113"/>
      <c r="AV373" s="113"/>
      <c r="AW373" s="113"/>
      <c r="AX373" s="113"/>
      <c r="AY373" s="113"/>
      <c r="AZ373" s="113"/>
      <c r="BA373" s="113"/>
      <c r="BB373" s="113"/>
      <c r="BC373" s="113"/>
      <c r="BD373" s="113"/>
      <c r="BE373" s="113"/>
      <c r="BF373" s="114"/>
    </row>
    <row r="374" spans="1:58">
      <c r="A374" s="466"/>
      <c r="B374" s="465"/>
      <c r="C374" s="468"/>
      <c r="D374" s="470"/>
      <c r="E374" s="472"/>
      <c r="F374" s="472"/>
      <c r="G374" s="72" t="s">
        <v>167</v>
      </c>
      <c r="H374" s="68">
        <f t="shared" si="299"/>
        <v>0</v>
      </c>
      <c r="I374" s="105"/>
      <c r="J374" s="106"/>
      <c r="K374" s="106"/>
      <c r="L374" s="106"/>
      <c r="M374" s="106"/>
      <c r="N374" s="106"/>
      <c r="O374" s="106"/>
      <c r="P374" s="106"/>
      <c r="Q374" s="106"/>
      <c r="R374" s="106"/>
      <c r="S374" s="106"/>
      <c r="T374" s="106"/>
      <c r="U374" s="106"/>
      <c r="V374" s="106"/>
      <c r="W374" s="106"/>
      <c r="X374" s="106"/>
      <c r="Y374" s="106"/>
      <c r="Z374" s="106"/>
      <c r="AA374" s="106"/>
      <c r="AB374" s="106"/>
      <c r="AC374" s="106"/>
      <c r="AD374" s="106"/>
      <c r="AE374" s="106"/>
      <c r="AF374" s="106"/>
      <c r="AG374" s="106"/>
      <c r="AH374" s="106"/>
      <c r="AI374" s="106"/>
      <c r="AJ374" s="106"/>
      <c r="AK374" s="106"/>
      <c r="AL374" s="106"/>
      <c r="AM374" s="106"/>
      <c r="AN374" s="106"/>
      <c r="AO374" s="106"/>
      <c r="AP374" s="106"/>
      <c r="AQ374" s="106"/>
      <c r="AR374" s="106"/>
      <c r="AS374" s="106"/>
      <c r="AT374" s="106"/>
      <c r="AU374" s="106"/>
      <c r="AV374" s="106"/>
      <c r="AW374" s="106"/>
      <c r="AX374" s="106"/>
      <c r="AY374" s="106"/>
      <c r="AZ374" s="106"/>
      <c r="BA374" s="106"/>
      <c r="BB374" s="106"/>
      <c r="BC374" s="106"/>
      <c r="BD374" s="106"/>
      <c r="BE374" s="106"/>
      <c r="BF374" s="107"/>
    </row>
    <row r="375" spans="1:58">
      <c r="A375" s="464">
        <f t="shared" si="455"/>
        <v>183</v>
      </c>
      <c r="B375" s="465"/>
      <c r="C375" s="467" t="s">
        <v>596</v>
      </c>
      <c r="D375" s="469">
        <f t="shared" ref="D375" si="513">SUM(I375:BF375)</f>
        <v>0</v>
      </c>
      <c r="E375" s="471" t="str">
        <f t="shared" ref="E375" si="514">IF(D375=0,"",H376/D375)</f>
        <v/>
      </c>
      <c r="F375" s="471" t="str">
        <f t="shared" ref="F375" si="515">IF(H375=0,"",H376/H375)</f>
        <v/>
      </c>
      <c r="G375" s="71" t="s">
        <v>168</v>
      </c>
      <c r="H375" s="67">
        <f t="shared" si="299"/>
        <v>0</v>
      </c>
      <c r="I375" s="112"/>
      <c r="J375" s="113"/>
      <c r="K375" s="113"/>
      <c r="L375" s="113"/>
      <c r="M375" s="113"/>
      <c r="N375" s="113"/>
      <c r="O375" s="113"/>
      <c r="P375" s="113"/>
      <c r="Q375" s="113"/>
      <c r="R375" s="113"/>
      <c r="S375" s="113"/>
      <c r="T375" s="113"/>
      <c r="U375" s="113"/>
      <c r="V375" s="113"/>
      <c r="W375" s="113"/>
      <c r="X375" s="113"/>
      <c r="Y375" s="113"/>
      <c r="Z375" s="113"/>
      <c r="AA375" s="113"/>
      <c r="AB375" s="113"/>
      <c r="AC375" s="113"/>
      <c r="AD375" s="113"/>
      <c r="AE375" s="113"/>
      <c r="AF375" s="113"/>
      <c r="AG375" s="113"/>
      <c r="AH375" s="113"/>
      <c r="AI375" s="113"/>
      <c r="AJ375" s="113"/>
      <c r="AK375" s="113"/>
      <c r="AL375" s="113"/>
      <c r="AM375" s="113"/>
      <c r="AN375" s="113"/>
      <c r="AO375" s="113"/>
      <c r="AP375" s="113"/>
      <c r="AQ375" s="113"/>
      <c r="AR375" s="113"/>
      <c r="AS375" s="113"/>
      <c r="AT375" s="113"/>
      <c r="AU375" s="113"/>
      <c r="AV375" s="113"/>
      <c r="AW375" s="113"/>
      <c r="AX375" s="113"/>
      <c r="AY375" s="113"/>
      <c r="AZ375" s="113"/>
      <c r="BA375" s="113"/>
      <c r="BB375" s="113"/>
      <c r="BC375" s="113"/>
      <c r="BD375" s="113"/>
      <c r="BE375" s="113"/>
      <c r="BF375" s="114"/>
    </row>
    <row r="376" spans="1:58">
      <c r="A376" s="466"/>
      <c r="B376" s="465"/>
      <c r="C376" s="468"/>
      <c r="D376" s="470"/>
      <c r="E376" s="472"/>
      <c r="F376" s="472"/>
      <c r="G376" s="72" t="s">
        <v>167</v>
      </c>
      <c r="H376" s="68">
        <f t="shared" si="299"/>
        <v>0</v>
      </c>
      <c r="I376" s="105"/>
      <c r="J376" s="106"/>
      <c r="K376" s="106"/>
      <c r="L376" s="106"/>
      <c r="M376" s="106"/>
      <c r="N376" s="106"/>
      <c r="O376" s="106"/>
      <c r="P376" s="106"/>
      <c r="Q376" s="106"/>
      <c r="R376" s="106"/>
      <c r="S376" s="106"/>
      <c r="T376" s="106"/>
      <c r="U376" s="106"/>
      <c r="V376" s="106"/>
      <c r="W376" s="106"/>
      <c r="X376" s="106"/>
      <c r="Y376" s="106"/>
      <c r="Z376" s="106"/>
      <c r="AA376" s="106"/>
      <c r="AB376" s="106"/>
      <c r="AC376" s="106"/>
      <c r="AD376" s="106"/>
      <c r="AE376" s="106"/>
      <c r="AF376" s="106"/>
      <c r="AG376" s="106"/>
      <c r="AH376" s="106"/>
      <c r="AI376" s="106"/>
      <c r="AJ376" s="106"/>
      <c r="AK376" s="106"/>
      <c r="AL376" s="106"/>
      <c r="AM376" s="106"/>
      <c r="AN376" s="106"/>
      <c r="AO376" s="106"/>
      <c r="AP376" s="106"/>
      <c r="AQ376" s="106"/>
      <c r="AR376" s="106"/>
      <c r="AS376" s="106"/>
      <c r="AT376" s="106"/>
      <c r="AU376" s="106"/>
      <c r="AV376" s="106"/>
      <c r="AW376" s="106"/>
      <c r="AX376" s="106"/>
      <c r="AY376" s="106"/>
      <c r="AZ376" s="106"/>
      <c r="BA376" s="106"/>
      <c r="BB376" s="106"/>
      <c r="BC376" s="106"/>
      <c r="BD376" s="106"/>
      <c r="BE376" s="106"/>
      <c r="BF376" s="107"/>
    </row>
    <row r="377" spans="1:58">
      <c r="A377" s="464">
        <f t="shared" si="455"/>
        <v>184</v>
      </c>
      <c r="B377" s="465"/>
      <c r="C377" s="467" t="s">
        <v>596</v>
      </c>
      <c r="D377" s="469">
        <f t="shared" ref="D377" si="516">SUM(I377:BF377)</f>
        <v>0</v>
      </c>
      <c r="E377" s="471" t="str">
        <f t="shared" ref="E377" si="517">IF(D377=0,"",H378/D377)</f>
        <v/>
      </c>
      <c r="F377" s="471" t="str">
        <f t="shared" ref="F377" si="518">IF(H377=0,"",H378/H377)</f>
        <v/>
      </c>
      <c r="G377" s="71" t="s">
        <v>168</v>
      </c>
      <c r="H377" s="67">
        <f t="shared" si="299"/>
        <v>0</v>
      </c>
      <c r="I377" s="112"/>
      <c r="J377" s="113"/>
      <c r="K377" s="113"/>
      <c r="L377" s="113"/>
      <c r="M377" s="113"/>
      <c r="N377" s="113"/>
      <c r="O377" s="113"/>
      <c r="P377" s="113"/>
      <c r="Q377" s="113"/>
      <c r="R377" s="113"/>
      <c r="S377" s="113"/>
      <c r="T377" s="113"/>
      <c r="U377" s="113"/>
      <c r="V377" s="113"/>
      <c r="W377" s="113"/>
      <c r="X377" s="113"/>
      <c r="Y377" s="113"/>
      <c r="Z377" s="113"/>
      <c r="AA377" s="113"/>
      <c r="AB377" s="113"/>
      <c r="AC377" s="113"/>
      <c r="AD377" s="113"/>
      <c r="AE377" s="113"/>
      <c r="AF377" s="113"/>
      <c r="AG377" s="113"/>
      <c r="AH377" s="113"/>
      <c r="AI377" s="113"/>
      <c r="AJ377" s="113"/>
      <c r="AK377" s="113"/>
      <c r="AL377" s="113"/>
      <c r="AM377" s="113"/>
      <c r="AN377" s="113"/>
      <c r="AO377" s="113"/>
      <c r="AP377" s="113"/>
      <c r="AQ377" s="113"/>
      <c r="AR377" s="113"/>
      <c r="AS377" s="113"/>
      <c r="AT377" s="113"/>
      <c r="AU377" s="113"/>
      <c r="AV377" s="113"/>
      <c r="AW377" s="113"/>
      <c r="AX377" s="113"/>
      <c r="AY377" s="113"/>
      <c r="AZ377" s="113"/>
      <c r="BA377" s="113"/>
      <c r="BB377" s="113"/>
      <c r="BC377" s="113"/>
      <c r="BD377" s="113"/>
      <c r="BE377" s="113"/>
      <c r="BF377" s="114"/>
    </row>
    <row r="378" spans="1:58">
      <c r="A378" s="466"/>
      <c r="B378" s="465"/>
      <c r="C378" s="468"/>
      <c r="D378" s="470"/>
      <c r="E378" s="472"/>
      <c r="F378" s="472"/>
      <c r="G378" s="72" t="s">
        <v>167</v>
      </c>
      <c r="H378" s="68">
        <f t="shared" si="299"/>
        <v>0</v>
      </c>
      <c r="I378" s="105"/>
      <c r="J378" s="106"/>
      <c r="K378" s="106"/>
      <c r="L378" s="106"/>
      <c r="M378" s="106"/>
      <c r="N378" s="106"/>
      <c r="O378" s="106"/>
      <c r="P378" s="106"/>
      <c r="Q378" s="106"/>
      <c r="R378" s="106"/>
      <c r="S378" s="106"/>
      <c r="T378" s="106"/>
      <c r="U378" s="106"/>
      <c r="V378" s="106"/>
      <c r="W378" s="106"/>
      <c r="X378" s="106"/>
      <c r="Y378" s="106"/>
      <c r="Z378" s="106"/>
      <c r="AA378" s="106"/>
      <c r="AB378" s="106"/>
      <c r="AC378" s="106"/>
      <c r="AD378" s="106"/>
      <c r="AE378" s="106"/>
      <c r="AF378" s="106"/>
      <c r="AG378" s="106"/>
      <c r="AH378" s="106"/>
      <c r="AI378" s="106"/>
      <c r="AJ378" s="106"/>
      <c r="AK378" s="106"/>
      <c r="AL378" s="106"/>
      <c r="AM378" s="106"/>
      <c r="AN378" s="106"/>
      <c r="AO378" s="106"/>
      <c r="AP378" s="106"/>
      <c r="AQ378" s="106"/>
      <c r="AR378" s="106"/>
      <c r="AS378" s="106"/>
      <c r="AT378" s="106"/>
      <c r="AU378" s="106"/>
      <c r="AV378" s="106"/>
      <c r="AW378" s="106"/>
      <c r="AX378" s="106"/>
      <c r="AY378" s="106"/>
      <c r="AZ378" s="106"/>
      <c r="BA378" s="106"/>
      <c r="BB378" s="106"/>
      <c r="BC378" s="106"/>
      <c r="BD378" s="106"/>
      <c r="BE378" s="106"/>
      <c r="BF378" s="107"/>
    </row>
    <row r="379" spans="1:58">
      <c r="A379" s="473">
        <f>A377+1</f>
        <v>185</v>
      </c>
      <c r="B379" s="474"/>
      <c r="C379" s="476"/>
      <c r="D379" s="469">
        <f t="shared" ref="D379" si="519">SUM(I379:BF379)</f>
        <v>0</v>
      </c>
      <c r="E379" s="471" t="str">
        <f t="shared" ref="E379" si="520">IF(D379=0,"",H380/D379)</f>
        <v/>
      </c>
      <c r="F379" s="471" t="str">
        <f t="shared" ref="F379" si="521">IF(H379=0,"",H380/H379)</f>
        <v/>
      </c>
      <c r="G379" s="71" t="s">
        <v>168</v>
      </c>
      <c r="H379" s="67">
        <f t="shared" ref="H379:H382" si="522">SUMPRODUCT((I$8:BF$8&lt;&gt;"")*1,(I$8:BF$8&lt;=$O$2)*1,I379:BF379)</f>
        <v>0</v>
      </c>
      <c r="I379" s="112"/>
      <c r="J379" s="113"/>
      <c r="K379" s="113"/>
      <c r="L379" s="113"/>
      <c r="M379" s="113"/>
      <c r="N379" s="113"/>
      <c r="O379" s="113"/>
      <c r="P379" s="113"/>
      <c r="Q379" s="113"/>
      <c r="R379" s="113"/>
      <c r="S379" s="113"/>
      <c r="T379" s="113"/>
      <c r="U379" s="113"/>
      <c r="V379" s="113"/>
      <c r="W379" s="113"/>
      <c r="X379" s="113"/>
      <c r="Y379" s="113"/>
      <c r="Z379" s="113"/>
      <c r="AA379" s="113"/>
      <c r="AB379" s="113"/>
      <c r="AC379" s="113"/>
      <c r="AD379" s="113"/>
      <c r="AE379" s="113"/>
      <c r="AF379" s="113"/>
      <c r="AG379" s="113"/>
      <c r="AH379" s="113"/>
      <c r="AI379" s="113"/>
      <c r="AJ379" s="113"/>
      <c r="AK379" s="113"/>
      <c r="AL379" s="113"/>
      <c r="AM379" s="113"/>
      <c r="AN379" s="113"/>
      <c r="AO379" s="113"/>
      <c r="AP379" s="113"/>
      <c r="AQ379" s="113"/>
      <c r="AR379" s="113"/>
      <c r="AS379" s="113"/>
      <c r="AT379" s="113"/>
      <c r="AU379" s="113"/>
      <c r="AV379" s="113"/>
      <c r="AW379" s="113"/>
      <c r="AX379" s="113"/>
      <c r="AY379" s="113"/>
      <c r="AZ379" s="113"/>
      <c r="BA379" s="113"/>
      <c r="BB379" s="113"/>
      <c r="BC379" s="113"/>
      <c r="BD379" s="113"/>
      <c r="BE379" s="113"/>
      <c r="BF379" s="114"/>
    </row>
    <row r="380" spans="1:58">
      <c r="A380" s="475"/>
      <c r="B380" s="474"/>
      <c r="C380" s="468"/>
      <c r="D380" s="470"/>
      <c r="E380" s="472"/>
      <c r="F380" s="472"/>
      <c r="G380" s="72" t="s">
        <v>167</v>
      </c>
      <c r="H380" s="68">
        <f t="shared" si="522"/>
        <v>0</v>
      </c>
      <c r="I380" s="105"/>
      <c r="J380" s="106"/>
      <c r="K380" s="106"/>
      <c r="L380" s="106"/>
      <c r="M380" s="106"/>
      <c r="N380" s="106"/>
      <c r="O380" s="106"/>
      <c r="P380" s="106"/>
      <c r="Q380" s="106"/>
      <c r="R380" s="106"/>
      <c r="S380" s="106"/>
      <c r="T380" s="106"/>
      <c r="U380" s="106"/>
      <c r="V380" s="106"/>
      <c r="W380" s="106"/>
      <c r="X380" s="106"/>
      <c r="Y380" s="106"/>
      <c r="Z380" s="106"/>
      <c r="AA380" s="106"/>
      <c r="AB380" s="106"/>
      <c r="AC380" s="106"/>
      <c r="AD380" s="106"/>
      <c r="AE380" s="106"/>
      <c r="AF380" s="106"/>
      <c r="AG380" s="106"/>
      <c r="AH380" s="106"/>
      <c r="AI380" s="106"/>
      <c r="AJ380" s="106"/>
      <c r="AK380" s="106"/>
      <c r="AL380" s="106"/>
      <c r="AM380" s="106"/>
      <c r="AN380" s="106"/>
      <c r="AO380" s="106"/>
      <c r="AP380" s="106"/>
      <c r="AQ380" s="106"/>
      <c r="AR380" s="106"/>
      <c r="AS380" s="106"/>
      <c r="AT380" s="106"/>
      <c r="AU380" s="106"/>
      <c r="AV380" s="106"/>
      <c r="AW380" s="106"/>
      <c r="AX380" s="106"/>
      <c r="AY380" s="106"/>
      <c r="AZ380" s="106"/>
      <c r="BA380" s="106"/>
      <c r="BB380" s="106"/>
      <c r="BC380" s="106"/>
      <c r="BD380" s="106"/>
      <c r="BE380" s="106"/>
      <c r="BF380" s="107"/>
    </row>
    <row r="381" spans="1:58">
      <c r="A381" s="473">
        <f t="shared" ref="A381:A395" si="523">A379+1</f>
        <v>186</v>
      </c>
      <c r="B381" s="474"/>
      <c r="C381" s="476"/>
      <c r="D381" s="469">
        <f t="shared" ref="D381" si="524">SUM(I381:BF381)</f>
        <v>0</v>
      </c>
      <c r="E381" s="471" t="str">
        <f t="shared" ref="E381" si="525">IF(D381=0,"",H382/D381)</f>
        <v/>
      </c>
      <c r="F381" s="471" t="str">
        <f t="shared" ref="F381" si="526">IF(H381=0,"",H382/H381)</f>
        <v/>
      </c>
      <c r="G381" s="71" t="s">
        <v>168</v>
      </c>
      <c r="H381" s="67">
        <f t="shared" si="522"/>
        <v>0</v>
      </c>
      <c r="I381" s="112"/>
      <c r="J381" s="113"/>
      <c r="K381" s="113"/>
      <c r="L381" s="113"/>
      <c r="M381" s="113"/>
      <c r="N381" s="113"/>
      <c r="O381" s="113"/>
      <c r="P381" s="113"/>
      <c r="Q381" s="113"/>
      <c r="R381" s="113"/>
      <c r="S381" s="113"/>
      <c r="T381" s="113"/>
      <c r="U381" s="113"/>
      <c r="V381" s="113"/>
      <c r="W381" s="113"/>
      <c r="X381" s="113"/>
      <c r="Y381" s="113"/>
      <c r="Z381" s="113"/>
      <c r="AA381" s="113"/>
      <c r="AB381" s="113"/>
      <c r="AC381" s="113"/>
      <c r="AD381" s="113"/>
      <c r="AE381" s="113"/>
      <c r="AF381" s="113"/>
      <c r="AG381" s="113"/>
      <c r="AH381" s="113"/>
      <c r="AI381" s="113"/>
      <c r="AJ381" s="113"/>
      <c r="AK381" s="113"/>
      <c r="AL381" s="113"/>
      <c r="AM381" s="113"/>
      <c r="AN381" s="113"/>
      <c r="AO381" s="113"/>
      <c r="AP381" s="113"/>
      <c r="AQ381" s="113"/>
      <c r="AR381" s="113"/>
      <c r="AS381" s="113"/>
      <c r="AT381" s="113"/>
      <c r="AU381" s="113"/>
      <c r="AV381" s="113"/>
      <c r="AW381" s="113"/>
      <c r="AX381" s="113"/>
      <c r="AY381" s="113"/>
      <c r="AZ381" s="113"/>
      <c r="BA381" s="113"/>
      <c r="BB381" s="113"/>
      <c r="BC381" s="113"/>
      <c r="BD381" s="113"/>
      <c r="BE381" s="113"/>
      <c r="BF381" s="114"/>
    </row>
    <row r="382" spans="1:58">
      <c r="A382" s="475"/>
      <c r="B382" s="474"/>
      <c r="C382" s="468"/>
      <c r="D382" s="470"/>
      <c r="E382" s="472"/>
      <c r="F382" s="472"/>
      <c r="G382" s="72" t="s">
        <v>167</v>
      </c>
      <c r="H382" s="68">
        <f t="shared" si="522"/>
        <v>0</v>
      </c>
      <c r="I382" s="105"/>
      <c r="J382" s="106"/>
      <c r="K382" s="106"/>
      <c r="L382" s="106"/>
      <c r="M382" s="106"/>
      <c r="N382" s="106"/>
      <c r="O382" s="106"/>
      <c r="P382" s="106"/>
      <c r="Q382" s="106"/>
      <c r="R382" s="106"/>
      <c r="S382" s="106"/>
      <c r="T382" s="106"/>
      <c r="U382" s="106"/>
      <c r="V382" s="106"/>
      <c r="W382" s="106"/>
      <c r="X382" s="106"/>
      <c r="Y382" s="106"/>
      <c r="Z382" s="106"/>
      <c r="AA382" s="106"/>
      <c r="AB382" s="106"/>
      <c r="AC382" s="106"/>
      <c r="AD382" s="106"/>
      <c r="AE382" s="106"/>
      <c r="AF382" s="106"/>
      <c r="AG382" s="106"/>
      <c r="AH382" s="106"/>
      <c r="AI382" s="106"/>
      <c r="AJ382" s="106"/>
      <c r="AK382" s="106"/>
      <c r="AL382" s="106"/>
      <c r="AM382" s="106"/>
      <c r="AN382" s="106"/>
      <c r="AO382" s="106"/>
      <c r="AP382" s="106"/>
      <c r="AQ382" s="106"/>
      <c r="AR382" s="106"/>
      <c r="AS382" s="106"/>
      <c r="AT382" s="106"/>
      <c r="AU382" s="106"/>
      <c r="AV382" s="106"/>
      <c r="AW382" s="106"/>
      <c r="AX382" s="106"/>
      <c r="AY382" s="106"/>
      <c r="AZ382" s="106"/>
      <c r="BA382" s="106"/>
      <c r="BB382" s="106"/>
      <c r="BC382" s="106"/>
      <c r="BD382" s="106"/>
      <c r="BE382" s="106"/>
      <c r="BF382" s="107"/>
    </row>
    <row r="383" spans="1:58">
      <c r="A383" s="473">
        <f t="shared" si="523"/>
        <v>187</v>
      </c>
      <c r="B383" s="474"/>
      <c r="C383" s="476"/>
      <c r="D383" s="469">
        <f t="shared" ref="D383" si="527">SUM(I383:BF383)</f>
        <v>0</v>
      </c>
      <c r="E383" s="471" t="str">
        <f t="shared" ref="E383" si="528">IF(D383=0,"",H384/D383)</f>
        <v/>
      </c>
      <c r="F383" s="471" t="str">
        <f t="shared" ref="F383" si="529">IF(H383=0,"",H384/H383)</f>
        <v/>
      </c>
      <c r="G383" s="71" t="s">
        <v>168</v>
      </c>
      <c r="H383" s="67">
        <f t="shared" si="299"/>
        <v>0</v>
      </c>
      <c r="I383" s="112"/>
      <c r="J383" s="113"/>
      <c r="K383" s="113"/>
      <c r="L383" s="113"/>
      <c r="M383" s="113"/>
      <c r="N383" s="113"/>
      <c r="O383" s="113"/>
      <c r="P383" s="113"/>
      <c r="Q383" s="113"/>
      <c r="R383" s="113"/>
      <c r="S383" s="113"/>
      <c r="T383" s="113"/>
      <c r="U383" s="113"/>
      <c r="V383" s="113"/>
      <c r="W383" s="113"/>
      <c r="X383" s="113"/>
      <c r="Y383" s="113"/>
      <c r="Z383" s="113"/>
      <c r="AA383" s="113"/>
      <c r="AB383" s="113"/>
      <c r="AC383" s="113"/>
      <c r="AD383" s="113"/>
      <c r="AE383" s="113"/>
      <c r="AF383" s="113"/>
      <c r="AG383" s="113"/>
      <c r="AH383" s="113"/>
      <c r="AI383" s="113"/>
      <c r="AJ383" s="113"/>
      <c r="AK383" s="113"/>
      <c r="AL383" s="113"/>
      <c r="AM383" s="113"/>
      <c r="AN383" s="113"/>
      <c r="AO383" s="113"/>
      <c r="AP383" s="113"/>
      <c r="AQ383" s="113"/>
      <c r="AR383" s="113"/>
      <c r="AS383" s="113"/>
      <c r="AT383" s="113"/>
      <c r="AU383" s="113"/>
      <c r="AV383" s="113"/>
      <c r="AW383" s="113"/>
      <c r="AX383" s="113"/>
      <c r="AY383" s="113"/>
      <c r="AZ383" s="113"/>
      <c r="BA383" s="113"/>
      <c r="BB383" s="113"/>
      <c r="BC383" s="113"/>
      <c r="BD383" s="113"/>
      <c r="BE383" s="113"/>
      <c r="BF383" s="114"/>
    </row>
    <row r="384" spans="1:58">
      <c r="A384" s="475"/>
      <c r="B384" s="474"/>
      <c r="C384" s="468"/>
      <c r="D384" s="470"/>
      <c r="E384" s="472"/>
      <c r="F384" s="472"/>
      <c r="G384" s="72" t="s">
        <v>167</v>
      </c>
      <c r="H384" s="68">
        <f t="shared" si="299"/>
        <v>0</v>
      </c>
      <c r="I384" s="105"/>
      <c r="J384" s="106"/>
      <c r="K384" s="106"/>
      <c r="L384" s="106"/>
      <c r="M384" s="106"/>
      <c r="N384" s="106"/>
      <c r="O384" s="106"/>
      <c r="P384" s="106"/>
      <c r="Q384" s="106"/>
      <c r="R384" s="106"/>
      <c r="S384" s="106"/>
      <c r="T384" s="106"/>
      <c r="U384" s="106"/>
      <c r="V384" s="106"/>
      <c r="W384" s="106"/>
      <c r="X384" s="106"/>
      <c r="Y384" s="106"/>
      <c r="Z384" s="106"/>
      <c r="AA384" s="106"/>
      <c r="AB384" s="106"/>
      <c r="AC384" s="106"/>
      <c r="AD384" s="106"/>
      <c r="AE384" s="106"/>
      <c r="AF384" s="106"/>
      <c r="AG384" s="106"/>
      <c r="AH384" s="106"/>
      <c r="AI384" s="106"/>
      <c r="AJ384" s="106"/>
      <c r="AK384" s="106"/>
      <c r="AL384" s="106"/>
      <c r="AM384" s="106"/>
      <c r="AN384" s="106"/>
      <c r="AO384" s="106"/>
      <c r="AP384" s="106"/>
      <c r="AQ384" s="106"/>
      <c r="AR384" s="106"/>
      <c r="AS384" s="106"/>
      <c r="AT384" s="106"/>
      <c r="AU384" s="106"/>
      <c r="AV384" s="106"/>
      <c r="AW384" s="106"/>
      <c r="AX384" s="106"/>
      <c r="AY384" s="106"/>
      <c r="AZ384" s="106"/>
      <c r="BA384" s="106"/>
      <c r="BB384" s="106"/>
      <c r="BC384" s="106"/>
      <c r="BD384" s="106"/>
      <c r="BE384" s="106"/>
      <c r="BF384" s="107"/>
    </row>
    <row r="385" spans="1:58">
      <c r="A385" s="473">
        <f t="shared" si="523"/>
        <v>188</v>
      </c>
      <c r="B385" s="474"/>
      <c r="C385" s="476"/>
      <c r="D385" s="469">
        <f t="shared" ref="D385" si="530">SUM(I385:BF385)</f>
        <v>0</v>
      </c>
      <c r="E385" s="471" t="str">
        <f t="shared" ref="E385" si="531">IF(D385=0,"",H386/D385)</f>
        <v/>
      </c>
      <c r="F385" s="471" t="str">
        <f t="shared" ref="F385" si="532">IF(H385=0,"",H386/H385)</f>
        <v/>
      </c>
      <c r="G385" s="71" t="s">
        <v>168</v>
      </c>
      <c r="H385" s="67">
        <f t="shared" si="299"/>
        <v>0</v>
      </c>
      <c r="I385" s="112"/>
      <c r="J385" s="113"/>
      <c r="K385" s="113"/>
      <c r="L385" s="113"/>
      <c r="M385" s="113"/>
      <c r="N385" s="113"/>
      <c r="O385" s="113"/>
      <c r="P385" s="113"/>
      <c r="Q385" s="113"/>
      <c r="R385" s="113"/>
      <c r="S385" s="113"/>
      <c r="T385" s="113"/>
      <c r="U385" s="113"/>
      <c r="V385" s="113"/>
      <c r="W385" s="113"/>
      <c r="X385" s="113"/>
      <c r="Y385" s="113"/>
      <c r="Z385" s="113"/>
      <c r="AA385" s="113"/>
      <c r="AB385" s="113"/>
      <c r="AC385" s="113"/>
      <c r="AD385" s="113"/>
      <c r="AE385" s="113"/>
      <c r="AF385" s="113"/>
      <c r="AG385" s="113"/>
      <c r="AH385" s="113"/>
      <c r="AI385" s="113"/>
      <c r="AJ385" s="113"/>
      <c r="AK385" s="113"/>
      <c r="AL385" s="113"/>
      <c r="AM385" s="113"/>
      <c r="AN385" s="113"/>
      <c r="AO385" s="113"/>
      <c r="AP385" s="113"/>
      <c r="AQ385" s="113"/>
      <c r="AR385" s="113"/>
      <c r="AS385" s="113"/>
      <c r="AT385" s="113"/>
      <c r="AU385" s="113"/>
      <c r="AV385" s="113"/>
      <c r="AW385" s="113"/>
      <c r="AX385" s="113"/>
      <c r="AY385" s="113"/>
      <c r="AZ385" s="113"/>
      <c r="BA385" s="113"/>
      <c r="BB385" s="113"/>
      <c r="BC385" s="113"/>
      <c r="BD385" s="113"/>
      <c r="BE385" s="113"/>
      <c r="BF385" s="114"/>
    </row>
    <row r="386" spans="1:58">
      <c r="A386" s="475"/>
      <c r="B386" s="474"/>
      <c r="C386" s="468"/>
      <c r="D386" s="470"/>
      <c r="E386" s="472"/>
      <c r="F386" s="472"/>
      <c r="G386" s="72" t="s">
        <v>167</v>
      </c>
      <c r="H386" s="68">
        <f t="shared" si="299"/>
        <v>0</v>
      </c>
      <c r="I386" s="105"/>
      <c r="J386" s="106"/>
      <c r="K386" s="106"/>
      <c r="L386" s="106"/>
      <c r="M386" s="106"/>
      <c r="N386" s="106"/>
      <c r="O386" s="106"/>
      <c r="P386" s="106"/>
      <c r="Q386" s="106"/>
      <c r="R386" s="106"/>
      <c r="S386" s="106"/>
      <c r="T386" s="106"/>
      <c r="U386" s="106"/>
      <c r="V386" s="106"/>
      <c r="W386" s="106"/>
      <c r="X386" s="106"/>
      <c r="Y386" s="106"/>
      <c r="Z386" s="106"/>
      <c r="AA386" s="106"/>
      <c r="AB386" s="106"/>
      <c r="AC386" s="106"/>
      <c r="AD386" s="106"/>
      <c r="AE386" s="106"/>
      <c r="AF386" s="106"/>
      <c r="AG386" s="106"/>
      <c r="AH386" s="106"/>
      <c r="AI386" s="106"/>
      <c r="AJ386" s="106"/>
      <c r="AK386" s="106"/>
      <c r="AL386" s="106"/>
      <c r="AM386" s="106"/>
      <c r="AN386" s="106"/>
      <c r="AO386" s="106"/>
      <c r="AP386" s="106"/>
      <c r="AQ386" s="106"/>
      <c r="AR386" s="106"/>
      <c r="AS386" s="106"/>
      <c r="AT386" s="106"/>
      <c r="AU386" s="106"/>
      <c r="AV386" s="106"/>
      <c r="AW386" s="106"/>
      <c r="AX386" s="106"/>
      <c r="AY386" s="106"/>
      <c r="AZ386" s="106"/>
      <c r="BA386" s="106"/>
      <c r="BB386" s="106"/>
      <c r="BC386" s="106"/>
      <c r="BD386" s="106"/>
      <c r="BE386" s="106"/>
      <c r="BF386" s="107"/>
    </row>
    <row r="387" spans="1:58">
      <c r="A387" s="473">
        <f t="shared" si="523"/>
        <v>189</v>
      </c>
      <c r="B387" s="474"/>
      <c r="C387" s="476"/>
      <c r="D387" s="469">
        <f t="shared" ref="D387" si="533">SUM(I387:BF387)</f>
        <v>0</v>
      </c>
      <c r="E387" s="471" t="str">
        <f t="shared" ref="E387" si="534">IF(D387=0,"",H388/D387)</f>
        <v/>
      </c>
      <c r="F387" s="471" t="str">
        <f t="shared" ref="F387" si="535">IF(H387=0,"",H388/H387)</f>
        <v/>
      </c>
      <c r="G387" s="71" t="s">
        <v>168</v>
      </c>
      <c r="H387" s="67">
        <f t="shared" ref="H387:H390" si="536">SUMPRODUCT((I$8:BF$8&lt;&gt;"")*1,(I$8:BF$8&lt;=$O$2)*1,I387:BF387)</f>
        <v>0</v>
      </c>
      <c r="I387" s="112"/>
      <c r="J387" s="113"/>
      <c r="K387" s="113"/>
      <c r="L387" s="113"/>
      <c r="M387" s="113"/>
      <c r="N387" s="113"/>
      <c r="O387" s="113"/>
      <c r="P387" s="113"/>
      <c r="Q387" s="113"/>
      <c r="R387" s="113"/>
      <c r="S387" s="113"/>
      <c r="T387" s="113"/>
      <c r="U387" s="113"/>
      <c r="V387" s="113"/>
      <c r="W387" s="113"/>
      <c r="X387" s="113"/>
      <c r="Y387" s="113"/>
      <c r="Z387" s="113"/>
      <c r="AA387" s="113"/>
      <c r="AB387" s="113"/>
      <c r="AC387" s="113"/>
      <c r="AD387" s="113"/>
      <c r="AE387" s="113"/>
      <c r="AF387" s="113"/>
      <c r="AG387" s="113"/>
      <c r="AH387" s="113"/>
      <c r="AI387" s="113"/>
      <c r="AJ387" s="113"/>
      <c r="AK387" s="113"/>
      <c r="AL387" s="113"/>
      <c r="AM387" s="113"/>
      <c r="AN387" s="113"/>
      <c r="AO387" s="113"/>
      <c r="AP387" s="113"/>
      <c r="AQ387" s="113"/>
      <c r="AR387" s="113"/>
      <c r="AS387" s="113"/>
      <c r="AT387" s="113"/>
      <c r="AU387" s="113"/>
      <c r="AV387" s="113"/>
      <c r="AW387" s="113"/>
      <c r="AX387" s="113"/>
      <c r="AY387" s="113"/>
      <c r="AZ387" s="113"/>
      <c r="BA387" s="113"/>
      <c r="BB387" s="113"/>
      <c r="BC387" s="113"/>
      <c r="BD387" s="113"/>
      <c r="BE387" s="113"/>
      <c r="BF387" s="114"/>
    </row>
    <row r="388" spans="1:58">
      <c r="A388" s="475"/>
      <c r="B388" s="474"/>
      <c r="C388" s="468"/>
      <c r="D388" s="470"/>
      <c r="E388" s="472"/>
      <c r="F388" s="472"/>
      <c r="G388" s="72" t="s">
        <v>167</v>
      </c>
      <c r="H388" s="68">
        <f t="shared" si="536"/>
        <v>0</v>
      </c>
      <c r="I388" s="105"/>
      <c r="J388" s="106"/>
      <c r="K388" s="106"/>
      <c r="L388" s="106"/>
      <c r="M388" s="106"/>
      <c r="N388" s="106"/>
      <c r="O388" s="106"/>
      <c r="P388" s="106"/>
      <c r="Q388" s="106"/>
      <c r="R388" s="106"/>
      <c r="S388" s="106"/>
      <c r="T388" s="106"/>
      <c r="U388" s="106"/>
      <c r="V388" s="106"/>
      <c r="W388" s="106"/>
      <c r="X388" s="106"/>
      <c r="Y388" s="106"/>
      <c r="Z388" s="106"/>
      <c r="AA388" s="106"/>
      <c r="AB388" s="106"/>
      <c r="AC388" s="106"/>
      <c r="AD388" s="106"/>
      <c r="AE388" s="106"/>
      <c r="AF388" s="106"/>
      <c r="AG388" s="106"/>
      <c r="AH388" s="106"/>
      <c r="AI388" s="106"/>
      <c r="AJ388" s="106"/>
      <c r="AK388" s="106"/>
      <c r="AL388" s="106"/>
      <c r="AM388" s="106"/>
      <c r="AN388" s="106"/>
      <c r="AO388" s="106"/>
      <c r="AP388" s="106"/>
      <c r="AQ388" s="106"/>
      <c r="AR388" s="106"/>
      <c r="AS388" s="106"/>
      <c r="AT388" s="106"/>
      <c r="AU388" s="106"/>
      <c r="AV388" s="106"/>
      <c r="AW388" s="106"/>
      <c r="AX388" s="106"/>
      <c r="AY388" s="106"/>
      <c r="AZ388" s="106"/>
      <c r="BA388" s="106"/>
      <c r="BB388" s="106"/>
      <c r="BC388" s="106"/>
      <c r="BD388" s="106"/>
      <c r="BE388" s="106"/>
      <c r="BF388" s="107"/>
    </row>
    <row r="389" spans="1:58">
      <c r="A389" s="473">
        <f t="shared" si="523"/>
        <v>190</v>
      </c>
      <c r="B389" s="474"/>
      <c r="C389" s="476"/>
      <c r="D389" s="469">
        <f t="shared" ref="D389" si="537">SUM(I389:BF389)</f>
        <v>0</v>
      </c>
      <c r="E389" s="471" t="str">
        <f t="shared" ref="E389" si="538">IF(D389=0,"",H390/D389)</f>
        <v/>
      </c>
      <c r="F389" s="471" t="str">
        <f t="shared" ref="F389" si="539">IF(H389=0,"",H390/H389)</f>
        <v/>
      </c>
      <c r="G389" s="71" t="s">
        <v>168</v>
      </c>
      <c r="H389" s="67">
        <f t="shared" si="536"/>
        <v>0</v>
      </c>
      <c r="I389" s="112"/>
      <c r="J389" s="113"/>
      <c r="K389" s="113"/>
      <c r="L389" s="113"/>
      <c r="M389" s="113"/>
      <c r="N389" s="113"/>
      <c r="O389" s="113"/>
      <c r="P389" s="113"/>
      <c r="Q389" s="113"/>
      <c r="R389" s="113"/>
      <c r="S389" s="113"/>
      <c r="T389" s="113"/>
      <c r="U389" s="113"/>
      <c r="V389" s="113"/>
      <c r="W389" s="113"/>
      <c r="X389" s="113"/>
      <c r="Y389" s="113"/>
      <c r="Z389" s="113"/>
      <c r="AA389" s="113"/>
      <c r="AB389" s="113"/>
      <c r="AC389" s="113"/>
      <c r="AD389" s="113"/>
      <c r="AE389" s="113"/>
      <c r="AF389" s="113"/>
      <c r="AG389" s="113"/>
      <c r="AH389" s="113"/>
      <c r="AI389" s="113"/>
      <c r="AJ389" s="113"/>
      <c r="AK389" s="113"/>
      <c r="AL389" s="113"/>
      <c r="AM389" s="113"/>
      <c r="AN389" s="113"/>
      <c r="AO389" s="113"/>
      <c r="AP389" s="113"/>
      <c r="AQ389" s="113"/>
      <c r="AR389" s="113"/>
      <c r="AS389" s="113"/>
      <c r="AT389" s="113"/>
      <c r="AU389" s="113"/>
      <c r="AV389" s="113"/>
      <c r="AW389" s="113"/>
      <c r="AX389" s="113"/>
      <c r="AY389" s="113"/>
      <c r="AZ389" s="113"/>
      <c r="BA389" s="113"/>
      <c r="BB389" s="113"/>
      <c r="BC389" s="113"/>
      <c r="BD389" s="113"/>
      <c r="BE389" s="113"/>
      <c r="BF389" s="114"/>
    </row>
    <row r="390" spans="1:58">
      <c r="A390" s="475"/>
      <c r="B390" s="474"/>
      <c r="C390" s="468"/>
      <c r="D390" s="470"/>
      <c r="E390" s="472"/>
      <c r="F390" s="472"/>
      <c r="G390" s="72" t="s">
        <v>167</v>
      </c>
      <c r="H390" s="68">
        <f t="shared" si="536"/>
        <v>0</v>
      </c>
      <c r="I390" s="105"/>
      <c r="J390" s="106"/>
      <c r="K390" s="106"/>
      <c r="L390" s="106"/>
      <c r="M390" s="106"/>
      <c r="N390" s="106"/>
      <c r="O390" s="106"/>
      <c r="P390" s="106"/>
      <c r="Q390" s="106"/>
      <c r="R390" s="106"/>
      <c r="S390" s="106"/>
      <c r="T390" s="106"/>
      <c r="U390" s="106"/>
      <c r="V390" s="106"/>
      <c r="W390" s="106"/>
      <c r="X390" s="106"/>
      <c r="Y390" s="106"/>
      <c r="Z390" s="106"/>
      <c r="AA390" s="106"/>
      <c r="AB390" s="106"/>
      <c r="AC390" s="106"/>
      <c r="AD390" s="106"/>
      <c r="AE390" s="106"/>
      <c r="AF390" s="106"/>
      <c r="AG390" s="106"/>
      <c r="AH390" s="106"/>
      <c r="AI390" s="106"/>
      <c r="AJ390" s="106"/>
      <c r="AK390" s="106"/>
      <c r="AL390" s="106"/>
      <c r="AM390" s="106"/>
      <c r="AN390" s="106"/>
      <c r="AO390" s="106"/>
      <c r="AP390" s="106"/>
      <c r="AQ390" s="106"/>
      <c r="AR390" s="106"/>
      <c r="AS390" s="106"/>
      <c r="AT390" s="106"/>
      <c r="AU390" s="106"/>
      <c r="AV390" s="106"/>
      <c r="AW390" s="106"/>
      <c r="AX390" s="106"/>
      <c r="AY390" s="106"/>
      <c r="AZ390" s="106"/>
      <c r="BA390" s="106"/>
      <c r="BB390" s="106"/>
      <c r="BC390" s="106"/>
      <c r="BD390" s="106"/>
      <c r="BE390" s="106"/>
      <c r="BF390" s="107"/>
    </row>
    <row r="391" spans="1:58">
      <c r="A391" s="473">
        <f t="shared" si="523"/>
        <v>191</v>
      </c>
      <c r="B391" s="474"/>
      <c r="C391" s="476"/>
      <c r="D391" s="469">
        <f t="shared" ref="D391" si="540">SUM(I391:BF391)</f>
        <v>0</v>
      </c>
      <c r="E391" s="471" t="str">
        <f t="shared" ref="E391" si="541">IF(D391=0,"",H392/D391)</f>
        <v/>
      </c>
      <c r="F391" s="471" t="str">
        <f t="shared" ref="F391" si="542">IF(H391=0,"",H392/H391)</f>
        <v/>
      </c>
      <c r="G391" s="71" t="s">
        <v>168</v>
      </c>
      <c r="H391" s="67">
        <f t="shared" ref="H391:H394" si="543">SUMPRODUCT((I$8:BF$8&lt;&gt;"")*1,(I$8:BF$8&lt;=$O$2)*1,I391:BF391)</f>
        <v>0</v>
      </c>
      <c r="I391" s="112"/>
      <c r="J391" s="113"/>
      <c r="K391" s="113"/>
      <c r="L391" s="113"/>
      <c r="M391" s="113"/>
      <c r="N391" s="113"/>
      <c r="O391" s="113"/>
      <c r="P391" s="113"/>
      <c r="Q391" s="113"/>
      <c r="R391" s="113"/>
      <c r="S391" s="113"/>
      <c r="T391" s="113"/>
      <c r="U391" s="113"/>
      <c r="V391" s="113"/>
      <c r="W391" s="113"/>
      <c r="X391" s="113"/>
      <c r="Y391" s="113"/>
      <c r="Z391" s="113"/>
      <c r="AA391" s="113"/>
      <c r="AB391" s="113"/>
      <c r="AC391" s="113"/>
      <c r="AD391" s="113"/>
      <c r="AE391" s="113"/>
      <c r="AF391" s="113"/>
      <c r="AG391" s="113"/>
      <c r="AH391" s="113"/>
      <c r="AI391" s="113"/>
      <c r="AJ391" s="113"/>
      <c r="AK391" s="113"/>
      <c r="AL391" s="113"/>
      <c r="AM391" s="113"/>
      <c r="AN391" s="113"/>
      <c r="AO391" s="113"/>
      <c r="AP391" s="113"/>
      <c r="AQ391" s="113"/>
      <c r="AR391" s="113"/>
      <c r="AS391" s="113"/>
      <c r="AT391" s="113"/>
      <c r="AU391" s="113"/>
      <c r="AV391" s="113"/>
      <c r="AW391" s="113"/>
      <c r="AX391" s="113"/>
      <c r="AY391" s="113"/>
      <c r="AZ391" s="113"/>
      <c r="BA391" s="113"/>
      <c r="BB391" s="113"/>
      <c r="BC391" s="113"/>
      <c r="BD391" s="113"/>
      <c r="BE391" s="113"/>
      <c r="BF391" s="114"/>
    </row>
    <row r="392" spans="1:58">
      <c r="A392" s="475"/>
      <c r="B392" s="474"/>
      <c r="C392" s="468"/>
      <c r="D392" s="470"/>
      <c r="E392" s="472"/>
      <c r="F392" s="472"/>
      <c r="G392" s="72" t="s">
        <v>167</v>
      </c>
      <c r="H392" s="68">
        <f t="shared" si="543"/>
        <v>0</v>
      </c>
      <c r="I392" s="105"/>
      <c r="J392" s="106"/>
      <c r="K392" s="106"/>
      <c r="L392" s="106"/>
      <c r="M392" s="106"/>
      <c r="N392" s="106"/>
      <c r="O392" s="106"/>
      <c r="P392" s="106"/>
      <c r="Q392" s="106"/>
      <c r="R392" s="106"/>
      <c r="S392" s="106"/>
      <c r="T392" s="106"/>
      <c r="U392" s="106"/>
      <c r="V392" s="106"/>
      <c r="W392" s="106"/>
      <c r="X392" s="106"/>
      <c r="Y392" s="106"/>
      <c r="Z392" s="106"/>
      <c r="AA392" s="106"/>
      <c r="AB392" s="106"/>
      <c r="AC392" s="106"/>
      <c r="AD392" s="106"/>
      <c r="AE392" s="106"/>
      <c r="AF392" s="106"/>
      <c r="AG392" s="106"/>
      <c r="AH392" s="106"/>
      <c r="AI392" s="106"/>
      <c r="AJ392" s="106"/>
      <c r="AK392" s="106"/>
      <c r="AL392" s="106"/>
      <c r="AM392" s="106"/>
      <c r="AN392" s="106"/>
      <c r="AO392" s="106"/>
      <c r="AP392" s="106"/>
      <c r="AQ392" s="106"/>
      <c r="AR392" s="106"/>
      <c r="AS392" s="106"/>
      <c r="AT392" s="106"/>
      <c r="AU392" s="106"/>
      <c r="AV392" s="106"/>
      <c r="AW392" s="106"/>
      <c r="AX392" s="106"/>
      <c r="AY392" s="106"/>
      <c r="AZ392" s="106"/>
      <c r="BA392" s="106"/>
      <c r="BB392" s="106"/>
      <c r="BC392" s="106"/>
      <c r="BD392" s="106"/>
      <c r="BE392" s="106"/>
      <c r="BF392" s="107"/>
    </row>
    <row r="393" spans="1:58">
      <c r="A393" s="473">
        <f t="shared" si="523"/>
        <v>192</v>
      </c>
      <c r="B393" s="474"/>
      <c r="C393" s="476"/>
      <c r="D393" s="469">
        <f t="shared" ref="D393" si="544">SUM(I393:BF393)</f>
        <v>0</v>
      </c>
      <c r="E393" s="471" t="str">
        <f t="shared" ref="E393" si="545">IF(D393=0,"",H394/D393)</f>
        <v/>
      </c>
      <c r="F393" s="471" t="str">
        <f t="shared" ref="F393" si="546">IF(H393=0,"",H394/H393)</f>
        <v/>
      </c>
      <c r="G393" s="71" t="s">
        <v>168</v>
      </c>
      <c r="H393" s="67">
        <f t="shared" si="543"/>
        <v>0</v>
      </c>
      <c r="I393" s="112"/>
      <c r="J393" s="113"/>
      <c r="K393" s="113"/>
      <c r="L393" s="113"/>
      <c r="M393" s="113"/>
      <c r="N393" s="113"/>
      <c r="O393" s="113"/>
      <c r="P393" s="113"/>
      <c r="Q393" s="113"/>
      <c r="R393" s="113"/>
      <c r="S393" s="113"/>
      <c r="T393" s="113"/>
      <c r="U393" s="113"/>
      <c r="V393" s="113"/>
      <c r="W393" s="113"/>
      <c r="X393" s="113"/>
      <c r="Y393" s="113"/>
      <c r="Z393" s="113"/>
      <c r="AA393" s="113"/>
      <c r="AB393" s="113"/>
      <c r="AC393" s="113"/>
      <c r="AD393" s="113"/>
      <c r="AE393" s="113"/>
      <c r="AF393" s="113"/>
      <c r="AG393" s="113"/>
      <c r="AH393" s="113"/>
      <c r="AI393" s="113"/>
      <c r="AJ393" s="113"/>
      <c r="AK393" s="113"/>
      <c r="AL393" s="113"/>
      <c r="AM393" s="113"/>
      <c r="AN393" s="113"/>
      <c r="AO393" s="113"/>
      <c r="AP393" s="113"/>
      <c r="AQ393" s="113"/>
      <c r="AR393" s="113"/>
      <c r="AS393" s="113"/>
      <c r="AT393" s="113"/>
      <c r="AU393" s="113"/>
      <c r="AV393" s="113"/>
      <c r="AW393" s="113"/>
      <c r="AX393" s="113"/>
      <c r="AY393" s="113"/>
      <c r="AZ393" s="113"/>
      <c r="BA393" s="113"/>
      <c r="BB393" s="113"/>
      <c r="BC393" s="113"/>
      <c r="BD393" s="113"/>
      <c r="BE393" s="113"/>
      <c r="BF393" s="114"/>
    </row>
    <row r="394" spans="1:58">
      <c r="A394" s="475"/>
      <c r="B394" s="474"/>
      <c r="C394" s="468"/>
      <c r="D394" s="470"/>
      <c r="E394" s="472"/>
      <c r="F394" s="472"/>
      <c r="G394" s="72" t="s">
        <v>167</v>
      </c>
      <c r="H394" s="68">
        <f t="shared" si="543"/>
        <v>0</v>
      </c>
      <c r="I394" s="105"/>
      <c r="J394" s="106"/>
      <c r="K394" s="106"/>
      <c r="L394" s="106"/>
      <c r="M394" s="106"/>
      <c r="N394" s="106"/>
      <c r="O394" s="106"/>
      <c r="P394" s="106"/>
      <c r="Q394" s="106"/>
      <c r="R394" s="106"/>
      <c r="S394" s="106"/>
      <c r="T394" s="106"/>
      <c r="U394" s="106"/>
      <c r="V394" s="106"/>
      <c r="W394" s="106"/>
      <c r="X394" s="106"/>
      <c r="Y394" s="106"/>
      <c r="Z394" s="106"/>
      <c r="AA394" s="106"/>
      <c r="AB394" s="106"/>
      <c r="AC394" s="106"/>
      <c r="AD394" s="106"/>
      <c r="AE394" s="106"/>
      <c r="AF394" s="106"/>
      <c r="AG394" s="106"/>
      <c r="AH394" s="106"/>
      <c r="AI394" s="106"/>
      <c r="AJ394" s="106"/>
      <c r="AK394" s="106"/>
      <c r="AL394" s="106"/>
      <c r="AM394" s="106"/>
      <c r="AN394" s="106"/>
      <c r="AO394" s="106"/>
      <c r="AP394" s="106"/>
      <c r="AQ394" s="106"/>
      <c r="AR394" s="106"/>
      <c r="AS394" s="106"/>
      <c r="AT394" s="106"/>
      <c r="AU394" s="106"/>
      <c r="AV394" s="106"/>
      <c r="AW394" s="106"/>
      <c r="AX394" s="106"/>
      <c r="AY394" s="106"/>
      <c r="AZ394" s="106"/>
      <c r="BA394" s="106"/>
      <c r="BB394" s="106"/>
      <c r="BC394" s="106"/>
      <c r="BD394" s="106"/>
      <c r="BE394" s="106"/>
      <c r="BF394" s="107"/>
    </row>
    <row r="395" spans="1:58">
      <c r="A395" s="473">
        <f t="shared" si="523"/>
        <v>193</v>
      </c>
      <c r="B395" s="474"/>
      <c r="C395" s="476"/>
      <c r="D395" s="469">
        <f t="shared" ref="D395" si="547">SUM(I395:BF395)</f>
        <v>0</v>
      </c>
      <c r="E395" s="471" t="str">
        <f t="shared" ref="E395" si="548">IF(D395=0,"",H396/D395)</f>
        <v/>
      </c>
      <c r="F395" s="471" t="str">
        <f t="shared" ref="F395" si="549">IF(H395=0,"",H396/H395)</f>
        <v/>
      </c>
      <c r="G395" s="71" t="s">
        <v>168</v>
      </c>
      <c r="H395" s="67">
        <f t="shared" si="299"/>
        <v>0</v>
      </c>
      <c r="I395" s="112"/>
      <c r="J395" s="113"/>
      <c r="K395" s="113"/>
      <c r="L395" s="113"/>
      <c r="M395" s="113"/>
      <c r="N395" s="113"/>
      <c r="O395" s="113"/>
      <c r="P395" s="113"/>
      <c r="Q395" s="113"/>
      <c r="R395" s="113"/>
      <c r="S395" s="113"/>
      <c r="T395" s="113"/>
      <c r="U395" s="113"/>
      <c r="V395" s="113"/>
      <c r="W395" s="113"/>
      <c r="X395" s="113"/>
      <c r="Y395" s="113"/>
      <c r="Z395" s="113"/>
      <c r="AA395" s="113"/>
      <c r="AB395" s="113"/>
      <c r="AC395" s="113"/>
      <c r="AD395" s="113"/>
      <c r="AE395" s="113"/>
      <c r="AF395" s="113"/>
      <c r="AG395" s="113"/>
      <c r="AH395" s="113"/>
      <c r="AI395" s="113"/>
      <c r="AJ395" s="113"/>
      <c r="AK395" s="113"/>
      <c r="AL395" s="113"/>
      <c r="AM395" s="113"/>
      <c r="AN395" s="113"/>
      <c r="AO395" s="113"/>
      <c r="AP395" s="113"/>
      <c r="AQ395" s="113"/>
      <c r="AR395" s="113"/>
      <c r="AS395" s="113"/>
      <c r="AT395" s="113"/>
      <c r="AU395" s="113"/>
      <c r="AV395" s="113"/>
      <c r="AW395" s="113"/>
      <c r="AX395" s="113"/>
      <c r="AY395" s="113"/>
      <c r="AZ395" s="113"/>
      <c r="BA395" s="113"/>
      <c r="BB395" s="113"/>
      <c r="BC395" s="113"/>
      <c r="BD395" s="113"/>
      <c r="BE395" s="113"/>
      <c r="BF395" s="114"/>
    </row>
    <row r="396" spans="1:58">
      <c r="A396" s="475"/>
      <c r="B396" s="474"/>
      <c r="C396" s="468"/>
      <c r="D396" s="470"/>
      <c r="E396" s="472"/>
      <c r="F396" s="472"/>
      <c r="G396" s="72" t="s">
        <v>167</v>
      </c>
      <c r="H396" s="68">
        <f t="shared" si="299"/>
        <v>0</v>
      </c>
      <c r="I396" s="105"/>
      <c r="J396" s="106"/>
      <c r="K396" s="106"/>
      <c r="L396" s="106"/>
      <c r="M396" s="106"/>
      <c r="N396" s="106"/>
      <c r="O396" s="106"/>
      <c r="P396" s="106"/>
      <c r="Q396" s="106"/>
      <c r="R396" s="106"/>
      <c r="S396" s="106"/>
      <c r="T396" s="106"/>
      <c r="U396" s="106"/>
      <c r="V396" s="106"/>
      <c r="W396" s="106"/>
      <c r="X396" s="106"/>
      <c r="Y396" s="106"/>
      <c r="Z396" s="106"/>
      <c r="AA396" s="106"/>
      <c r="AB396" s="106"/>
      <c r="AC396" s="106"/>
      <c r="AD396" s="106"/>
      <c r="AE396" s="106"/>
      <c r="AF396" s="106"/>
      <c r="AG396" s="106"/>
      <c r="AH396" s="106"/>
      <c r="AI396" s="106"/>
      <c r="AJ396" s="106"/>
      <c r="AK396" s="106"/>
      <c r="AL396" s="106"/>
      <c r="AM396" s="106"/>
      <c r="AN396" s="106"/>
      <c r="AO396" s="106"/>
      <c r="AP396" s="106"/>
      <c r="AQ396" s="106"/>
      <c r="AR396" s="106"/>
      <c r="AS396" s="106"/>
      <c r="AT396" s="106"/>
      <c r="AU396" s="106"/>
      <c r="AV396" s="106"/>
      <c r="AW396" s="106"/>
      <c r="AX396" s="106"/>
      <c r="AY396" s="106"/>
      <c r="AZ396" s="106"/>
      <c r="BA396" s="106"/>
      <c r="BB396" s="106"/>
      <c r="BC396" s="106"/>
      <c r="BD396" s="106"/>
      <c r="BE396" s="106"/>
      <c r="BF396" s="107"/>
    </row>
    <row r="397" spans="1:58">
      <c r="A397" s="485" t="s">
        <v>215</v>
      </c>
      <c r="B397" s="486"/>
      <c r="C397" s="476"/>
      <c r="D397" s="469">
        <f t="shared" ref="D397" si="550">SUM(I397:BF397)</f>
        <v>0</v>
      </c>
      <c r="E397" s="471" t="str">
        <f t="shared" ref="E397" si="551">IF(D397=0,"",H398/D397)</f>
        <v/>
      </c>
      <c r="F397" s="471" t="str">
        <f t="shared" ref="F397" si="552">IF(H397=0,"",H398/H397)</f>
        <v/>
      </c>
      <c r="G397" s="71" t="s">
        <v>168</v>
      </c>
      <c r="H397" s="67">
        <f t="shared" si="228"/>
        <v>0</v>
      </c>
      <c r="I397" s="112"/>
      <c r="J397" s="113"/>
      <c r="K397" s="113"/>
      <c r="L397" s="113"/>
      <c r="M397" s="113"/>
      <c r="N397" s="113"/>
      <c r="O397" s="113"/>
      <c r="P397" s="113"/>
      <c r="Q397" s="113"/>
      <c r="R397" s="113"/>
      <c r="S397" s="113"/>
      <c r="T397" s="113"/>
      <c r="U397" s="113"/>
      <c r="V397" s="113"/>
      <c r="W397" s="113"/>
      <c r="X397" s="113"/>
      <c r="Y397" s="113"/>
      <c r="Z397" s="113"/>
      <c r="AA397" s="113"/>
      <c r="AB397" s="113"/>
      <c r="AC397" s="113"/>
      <c r="AD397" s="113"/>
      <c r="AE397" s="113"/>
      <c r="AF397" s="113"/>
      <c r="AG397" s="113"/>
      <c r="AH397" s="113"/>
      <c r="AI397" s="113"/>
      <c r="AJ397" s="113"/>
      <c r="AK397" s="113"/>
      <c r="AL397" s="113"/>
      <c r="AM397" s="113"/>
      <c r="AN397" s="113"/>
      <c r="AO397" s="113"/>
      <c r="AP397" s="113"/>
      <c r="AQ397" s="113"/>
      <c r="AR397" s="113"/>
      <c r="AS397" s="113"/>
      <c r="AT397" s="113"/>
      <c r="AU397" s="113"/>
      <c r="AV397" s="113"/>
      <c r="AW397" s="113"/>
      <c r="AX397" s="113"/>
      <c r="AY397" s="113"/>
      <c r="AZ397" s="113"/>
      <c r="BA397" s="113"/>
      <c r="BB397" s="113"/>
      <c r="BC397" s="113"/>
      <c r="BD397" s="113"/>
      <c r="BE397" s="113"/>
      <c r="BF397" s="114"/>
    </row>
    <row r="398" spans="1:58">
      <c r="A398" s="487"/>
      <c r="B398" s="488"/>
      <c r="C398" s="468"/>
      <c r="D398" s="470"/>
      <c r="E398" s="472"/>
      <c r="F398" s="472"/>
      <c r="G398" s="72" t="s">
        <v>167</v>
      </c>
      <c r="H398" s="68">
        <f t="shared" si="228"/>
        <v>0</v>
      </c>
      <c r="I398" s="105"/>
      <c r="J398" s="106"/>
      <c r="K398" s="106"/>
      <c r="L398" s="106"/>
      <c r="M398" s="106"/>
      <c r="N398" s="106"/>
      <c r="O398" s="106"/>
      <c r="P398" s="106"/>
      <c r="Q398" s="106"/>
      <c r="R398" s="106"/>
      <c r="S398" s="106"/>
      <c r="T398" s="106"/>
      <c r="U398" s="106"/>
      <c r="V398" s="106"/>
      <c r="W398" s="106"/>
      <c r="X398" s="106"/>
      <c r="Y398" s="106"/>
      <c r="Z398" s="106"/>
      <c r="AA398" s="106"/>
      <c r="AB398" s="106"/>
      <c r="AC398" s="106"/>
      <c r="AD398" s="106"/>
      <c r="AE398" s="106"/>
      <c r="AF398" s="106"/>
      <c r="AG398" s="106"/>
      <c r="AH398" s="106"/>
      <c r="AI398" s="106"/>
      <c r="AJ398" s="106"/>
      <c r="AK398" s="106"/>
      <c r="AL398" s="106"/>
      <c r="AM398" s="106"/>
      <c r="AN398" s="106"/>
      <c r="AO398" s="106"/>
      <c r="AP398" s="106"/>
      <c r="AQ398" s="106"/>
      <c r="AR398" s="106"/>
      <c r="AS398" s="106"/>
      <c r="AT398" s="106"/>
      <c r="AU398" s="106"/>
      <c r="AV398" s="106"/>
      <c r="AW398" s="106"/>
      <c r="AX398" s="106"/>
      <c r="AY398" s="106"/>
      <c r="AZ398" s="106"/>
      <c r="BA398" s="106"/>
      <c r="BB398" s="106"/>
      <c r="BC398" s="106"/>
      <c r="BD398" s="106"/>
      <c r="BE398" s="106"/>
      <c r="BF398" s="107"/>
    </row>
    <row r="399" spans="1:58">
      <c r="A399" s="508" t="s">
        <v>180</v>
      </c>
      <c r="B399" s="509"/>
      <c r="C399" s="510"/>
      <c r="D399" s="504">
        <f>SUM(D9:D398)</f>
        <v>0</v>
      </c>
      <c r="E399" s="506" t="str">
        <f>IF(D399=0,"",H400/D399)</f>
        <v/>
      </c>
      <c r="F399" s="506" t="str">
        <f>IF(H399=0,"",H400/H399)</f>
        <v/>
      </c>
      <c r="G399" s="97" t="s">
        <v>168</v>
      </c>
      <c r="H399" s="69" cm="1">
        <f t="array" ref="H399">SUMPRODUCT(($G9:$G398=$G$399)*1,H9:H398)</f>
        <v>0</v>
      </c>
      <c r="I399" s="85">
        <f t="shared" ref="I399:AN399" si="553">SUMPRODUCT(($G9:$G398=$G$399)*1,I9:I398)</f>
        <v>0</v>
      </c>
      <c r="J399" s="86">
        <f t="shared" si="553"/>
        <v>0</v>
      </c>
      <c r="K399" s="86">
        <f t="shared" si="553"/>
        <v>0</v>
      </c>
      <c r="L399" s="86">
        <f t="shared" si="553"/>
        <v>0</v>
      </c>
      <c r="M399" s="86">
        <f t="shared" si="553"/>
        <v>0</v>
      </c>
      <c r="N399" s="86">
        <f t="shared" si="553"/>
        <v>0</v>
      </c>
      <c r="O399" s="86">
        <f t="shared" si="553"/>
        <v>0</v>
      </c>
      <c r="P399" s="86">
        <f t="shared" si="553"/>
        <v>0</v>
      </c>
      <c r="Q399" s="86">
        <f t="shared" si="553"/>
        <v>0</v>
      </c>
      <c r="R399" s="86">
        <f t="shared" si="553"/>
        <v>0</v>
      </c>
      <c r="S399" s="86">
        <f t="shared" si="553"/>
        <v>0</v>
      </c>
      <c r="T399" s="86">
        <f t="shared" si="553"/>
        <v>0</v>
      </c>
      <c r="U399" s="86">
        <f t="shared" si="553"/>
        <v>0</v>
      </c>
      <c r="V399" s="86">
        <f t="shared" si="553"/>
        <v>0</v>
      </c>
      <c r="W399" s="86">
        <f t="shared" si="553"/>
        <v>0</v>
      </c>
      <c r="X399" s="86">
        <f t="shared" si="553"/>
        <v>0</v>
      </c>
      <c r="Y399" s="86">
        <f t="shared" si="553"/>
        <v>0</v>
      </c>
      <c r="Z399" s="86">
        <f t="shared" si="553"/>
        <v>0</v>
      </c>
      <c r="AA399" s="86">
        <f t="shared" si="553"/>
        <v>0</v>
      </c>
      <c r="AB399" s="86">
        <f t="shared" si="553"/>
        <v>0</v>
      </c>
      <c r="AC399" s="86">
        <f t="shared" si="553"/>
        <v>0</v>
      </c>
      <c r="AD399" s="86">
        <f t="shared" si="553"/>
        <v>0</v>
      </c>
      <c r="AE399" s="86">
        <f t="shared" si="553"/>
        <v>0</v>
      </c>
      <c r="AF399" s="86">
        <f t="shared" si="553"/>
        <v>0</v>
      </c>
      <c r="AG399" s="86">
        <f t="shared" si="553"/>
        <v>0</v>
      </c>
      <c r="AH399" s="86">
        <f t="shared" si="553"/>
        <v>0</v>
      </c>
      <c r="AI399" s="86">
        <f t="shared" si="553"/>
        <v>0</v>
      </c>
      <c r="AJ399" s="86">
        <f t="shared" si="553"/>
        <v>0</v>
      </c>
      <c r="AK399" s="86">
        <f t="shared" si="553"/>
        <v>0</v>
      </c>
      <c r="AL399" s="86">
        <f t="shared" si="553"/>
        <v>0</v>
      </c>
      <c r="AM399" s="86">
        <f t="shared" si="553"/>
        <v>0</v>
      </c>
      <c r="AN399" s="86">
        <f t="shared" si="553"/>
        <v>0</v>
      </c>
      <c r="AO399" s="86">
        <f t="shared" ref="AO399:BF399" si="554">SUMPRODUCT(($G9:$G398=$G$399)*1,AO9:AO398)</f>
        <v>0</v>
      </c>
      <c r="AP399" s="86">
        <f t="shared" si="554"/>
        <v>0</v>
      </c>
      <c r="AQ399" s="86">
        <f t="shared" si="554"/>
        <v>0</v>
      </c>
      <c r="AR399" s="86">
        <f t="shared" si="554"/>
        <v>0</v>
      </c>
      <c r="AS399" s="86">
        <f t="shared" si="554"/>
        <v>0</v>
      </c>
      <c r="AT399" s="86">
        <f t="shared" si="554"/>
        <v>0</v>
      </c>
      <c r="AU399" s="86">
        <f t="shared" si="554"/>
        <v>0</v>
      </c>
      <c r="AV399" s="86">
        <f t="shared" si="554"/>
        <v>0</v>
      </c>
      <c r="AW399" s="86">
        <f t="shared" si="554"/>
        <v>0</v>
      </c>
      <c r="AX399" s="86">
        <f t="shared" si="554"/>
        <v>0</v>
      </c>
      <c r="AY399" s="86">
        <f t="shared" si="554"/>
        <v>0</v>
      </c>
      <c r="AZ399" s="86">
        <f t="shared" si="554"/>
        <v>0</v>
      </c>
      <c r="BA399" s="86">
        <f t="shared" si="554"/>
        <v>0</v>
      </c>
      <c r="BB399" s="86">
        <f t="shared" si="554"/>
        <v>0</v>
      </c>
      <c r="BC399" s="86">
        <f t="shared" si="554"/>
        <v>0</v>
      </c>
      <c r="BD399" s="86">
        <f t="shared" si="554"/>
        <v>0</v>
      </c>
      <c r="BE399" s="86">
        <f t="shared" si="554"/>
        <v>0</v>
      </c>
      <c r="BF399" s="87">
        <f t="shared" si="554"/>
        <v>0</v>
      </c>
    </row>
    <row r="400" spans="1:58" ht="12.75" thickBot="1">
      <c r="A400" s="511"/>
      <c r="B400" s="512"/>
      <c r="C400" s="513"/>
      <c r="D400" s="505"/>
      <c r="E400" s="507"/>
      <c r="F400" s="507"/>
      <c r="G400" s="98" t="s">
        <v>167</v>
      </c>
      <c r="H400" s="70">
        <f t="shared" ref="H400:AM400" si="555">SUMPRODUCT(($G9:$G398=$G$400)*1,H9:H398)</f>
        <v>0</v>
      </c>
      <c r="I400" s="88">
        <f t="shared" si="555"/>
        <v>0</v>
      </c>
      <c r="J400" s="89">
        <f t="shared" si="555"/>
        <v>0</v>
      </c>
      <c r="K400" s="89">
        <f t="shared" si="555"/>
        <v>0</v>
      </c>
      <c r="L400" s="89">
        <f t="shared" si="555"/>
        <v>0</v>
      </c>
      <c r="M400" s="89">
        <f t="shared" si="555"/>
        <v>0</v>
      </c>
      <c r="N400" s="89">
        <f t="shared" si="555"/>
        <v>0</v>
      </c>
      <c r="O400" s="89">
        <f t="shared" si="555"/>
        <v>0</v>
      </c>
      <c r="P400" s="89">
        <f t="shared" si="555"/>
        <v>0</v>
      </c>
      <c r="Q400" s="89">
        <f t="shared" si="555"/>
        <v>0</v>
      </c>
      <c r="R400" s="89">
        <f t="shared" si="555"/>
        <v>0</v>
      </c>
      <c r="S400" s="89">
        <f t="shared" si="555"/>
        <v>0</v>
      </c>
      <c r="T400" s="89">
        <f t="shared" si="555"/>
        <v>0</v>
      </c>
      <c r="U400" s="89">
        <f t="shared" si="555"/>
        <v>0</v>
      </c>
      <c r="V400" s="89">
        <f t="shared" si="555"/>
        <v>0</v>
      </c>
      <c r="W400" s="89">
        <f t="shared" si="555"/>
        <v>0</v>
      </c>
      <c r="X400" s="89">
        <f t="shared" si="555"/>
        <v>0</v>
      </c>
      <c r="Y400" s="89">
        <f t="shared" si="555"/>
        <v>0</v>
      </c>
      <c r="Z400" s="89">
        <f t="shared" si="555"/>
        <v>0</v>
      </c>
      <c r="AA400" s="89">
        <f t="shared" si="555"/>
        <v>0</v>
      </c>
      <c r="AB400" s="89">
        <f t="shared" si="555"/>
        <v>0</v>
      </c>
      <c r="AC400" s="89">
        <f t="shared" si="555"/>
        <v>0</v>
      </c>
      <c r="AD400" s="89">
        <f t="shared" si="555"/>
        <v>0</v>
      </c>
      <c r="AE400" s="89">
        <f t="shared" si="555"/>
        <v>0</v>
      </c>
      <c r="AF400" s="89">
        <f t="shared" si="555"/>
        <v>0</v>
      </c>
      <c r="AG400" s="89">
        <f t="shared" si="555"/>
        <v>0</v>
      </c>
      <c r="AH400" s="89">
        <f t="shared" si="555"/>
        <v>0</v>
      </c>
      <c r="AI400" s="89">
        <f t="shared" si="555"/>
        <v>0</v>
      </c>
      <c r="AJ400" s="89">
        <f t="shared" si="555"/>
        <v>0</v>
      </c>
      <c r="AK400" s="89">
        <f t="shared" si="555"/>
        <v>0</v>
      </c>
      <c r="AL400" s="89">
        <f t="shared" si="555"/>
        <v>0</v>
      </c>
      <c r="AM400" s="89">
        <f t="shared" si="555"/>
        <v>0</v>
      </c>
      <c r="AN400" s="89">
        <f t="shared" ref="AN400:BF400" si="556">SUMPRODUCT(($G9:$G398=$G$400)*1,AN9:AN398)</f>
        <v>0</v>
      </c>
      <c r="AO400" s="89">
        <f t="shared" si="556"/>
        <v>0</v>
      </c>
      <c r="AP400" s="89">
        <f t="shared" si="556"/>
        <v>0</v>
      </c>
      <c r="AQ400" s="89">
        <f t="shared" si="556"/>
        <v>0</v>
      </c>
      <c r="AR400" s="89">
        <f t="shared" si="556"/>
        <v>0</v>
      </c>
      <c r="AS400" s="89">
        <f t="shared" si="556"/>
        <v>0</v>
      </c>
      <c r="AT400" s="89">
        <f t="shared" si="556"/>
        <v>0</v>
      </c>
      <c r="AU400" s="89">
        <f t="shared" si="556"/>
        <v>0</v>
      </c>
      <c r="AV400" s="89">
        <f t="shared" si="556"/>
        <v>0</v>
      </c>
      <c r="AW400" s="89">
        <f t="shared" si="556"/>
        <v>0</v>
      </c>
      <c r="AX400" s="89">
        <f t="shared" si="556"/>
        <v>0</v>
      </c>
      <c r="AY400" s="89">
        <f t="shared" si="556"/>
        <v>0</v>
      </c>
      <c r="AZ400" s="89">
        <f t="shared" si="556"/>
        <v>0</v>
      </c>
      <c r="BA400" s="89">
        <f t="shared" si="556"/>
        <v>0</v>
      </c>
      <c r="BB400" s="89">
        <f t="shared" si="556"/>
        <v>0</v>
      </c>
      <c r="BC400" s="89">
        <f t="shared" si="556"/>
        <v>0</v>
      </c>
      <c r="BD400" s="89">
        <f t="shared" si="556"/>
        <v>0</v>
      </c>
      <c r="BE400" s="89">
        <f t="shared" si="556"/>
        <v>0</v>
      </c>
      <c r="BF400" s="90">
        <f t="shared" si="556"/>
        <v>0</v>
      </c>
    </row>
    <row r="401" spans="1:58" ht="14.25" customHeight="1" thickTop="1">
      <c r="A401" s="495" t="s">
        <v>176</v>
      </c>
      <c r="B401" s="496"/>
      <c r="C401" s="496"/>
      <c r="D401" s="496"/>
      <c r="E401" s="496"/>
      <c r="F401" s="496"/>
      <c r="G401" s="496"/>
      <c r="H401" s="497"/>
      <c r="I401" s="91">
        <f>D399-I399</f>
        <v>0</v>
      </c>
      <c r="J401" s="92">
        <f t="shared" ref="J401:L402" si="557">I401-J399</f>
        <v>0</v>
      </c>
      <c r="K401" s="92">
        <f t="shared" si="557"/>
        <v>0</v>
      </c>
      <c r="L401" s="92">
        <f t="shared" si="557"/>
        <v>0</v>
      </c>
      <c r="M401" s="92">
        <f t="shared" ref="M401:M402" si="558">L401-M399</f>
        <v>0</v>
      </c>
      <c r="N401" s="92">
        <f t="shared" ref="N401:N402" si="559">M401-N399</f>
        <v>0</v>
      </c>
      <c r="O401" s="92">
        <f t="shared" ref="O401:O402" si="560">N401-O399</f>
        <v>0</v>
      </c>
      <c r="P401" s="92">
        <f t="shared" ref="P401:P402" si="561">O401-P399</f>
        <v>0</v>
      </c>
      <c r="Q401" s="92">
        <f t="shared" ref="Q401:Q402" si="562">P401-Q399</f>
        <v>0</v>
      </c>
      <c r="R401" s="92">
        <f t="shared" ref="R401:R402" si="563">Q401-R399</f>
        <v>0</v>
      </c>
      <c r="S401" s="92">
        <f t="shared" ref="S401:S402" si="564">R401-S399</f>
        <v>0</v>
      </c>
      <c r="T401" s="92">
        <f t="shared" ref="T401:T402" si="565">S401-T399</f>
        <v>0</v>
      </c>
      <c r="U401" s="92">
        <f t="shared" ref="U401:U402" si="566">T401-U399</f>
        <v>0</v>
      </c>
      <c r="V401" s="92">
        <f t="shared" ref="V401:V402" si="567">U401-V399</f>
        <v>0</v>
      </c>
      <c r="W401" s="92">
        <f t="shared" ref="W401:W402" si="568">V401-W399</f>
        <v>0</v>
      </c>
      <c r="X401" s="92">
        <f t="shared" ref="X401:X402" si="569">W401-X399</f>
        <v>0</v>
      </c>
      <c r="Y401" s="92">
        <f t="shared" ref="Y401:Y402" si="570">X401-Y399</f>
        <v>0</v>
      </c>
      <c r="Z401" s="92">
        <f t="shared" ref="Z401:Z402" si="571">Y401-Z399</f>
        <v>0</v>
      </c>
      <c r="AA401" s="92">
        <f t="shared" ref="AA401:AA402" si="572">Z401-AA399</f>
        <v>0</v>
      </c>
      <c r="AB401" s="92">
        <f t="shared" ref="AB401:AB402" si="573">AA401-AB399</f>
        <v>0</v>
      </c>
      <c r="AC401" s="92">
        <f t="shared" ref="AC401:AC402" si="574">AB401-AC399</f>
        <v>0</v>
      </c>
      <c r="AD401" s="92">
        <f t="shared" ref="AD401:AD402" si="575">AC401-AD399</f>
        <v>0</v>
      </c>
      <c r="AE401" s="92">
        <f t="shared" ref="AE401:AE402" si="576">AD401-AE399</f>
        <v>0</v>
      </c>
      <c r="AF401" s="92">
        <f t="shared" ref="AF401:AF402" si="577">AE401-AF399</f>
        <v>0</v>
      </c>
      <c r="AG401" s="92">
        <f t="shared" ref="AG401:AG402" si="578">AF401-AG399</f>
        <v>0</v>
      </c>
      <c r="AH401" s="92">
        <f t="shared" ref="AH401:AH402" si="579">AG401-AH399</f>
        <v>0</v>
      </c>
      <c r="AI401" s="92">
        <f t="shared" ref="AI401:AI402" si="580">AH401-AI399</f>
        <v>0</v>
      </c>
      <c r="AJ401" s="92">
        <f t="shared" ref="AJ401:AJ402" si="581">AI401-AJ399</f>
        <v>0</v>
      </c>
      <c r="AK401" s="92">
        <f t="shared" ref="AK401:AK402" si="582">AJ401-AK399</f>
        <v>0</v>
      </c>
      <c r="AL401" s="92">
        <f t="shared" ref="AL401:AL402" si="583">AK401-AL399</f>
        <v>0</v>
      </c>
      <c r="AM401" s="92">
        <f t="shared" ref="AM401:AM402" si="584">AL401-AM399</f>
        <v>0</v>
      </c>
      <c r="AN401" s="92">
        <f t="shared" ref="AN401:AN402" si="585">AM401-AN399</f>
        <v>0</v>
      </c>
      <c r="AO401" s="92">
        <f t="shared" ref="AO401:AO402" si="586">AN401-AO399</f>
        <v>0</v>
      </c>
      <c r="AP401" s="92">
        <f t="shared" ref="AP401:AP402" si="587">AO401-AP399</f>
        <v>0</v>
      </c>
      <c r="AQ401" s="92">
        <f t="shared" ref="AQ401:AQ402" si="588">AP401-AQ399</f>
        <v>0</v>
      </c>
      <c r="AR401" s="92">
        <f t="shared" ref="AR401:AR402" si="589">AQ401-AR399</f>
        <v>0</v>
      </c>
      <c r="AS401" s="92">
        <f t="shared" ref="AS401:AS402" si="590">AR401-AS399</f>
        <v>0</v>
      </c>
      <c r="AT401" s="92">
        <f t="shared" ref="AT401:AT402" si="591">AS401-AT399</f>
        <v>0</v>
      </c>
      <c r="AU401" s="92">
        <f t="shared" ref="AU401:AU402" si="592">AT401-AU399</f>
        <v>0</v>
      </c>
      <c r="AV401" s="92">
        <f t="shared" ref="AV401:AV402" si="593">AU401-AV399</f>
        <v>0</v>
      </c>
      <c r="AW401" s="92">
        <f t="shared" ref="AW401:AW402" si="594">AV401-AW399</f>
        <v>0</v>
      </c>
      <c r="AX401" s="92">
        <f t="shared" ref="AX401:AX402" si="595">AW401-AX399</f>
        <v>0</v>
      </c>
      <c r="AY401" s="92">
        <f t="shared" ref="AY401:AY402" si="596">AX401-AY399</f>
        <v>0</v>
      </c>
      <c r="AZ401" s="92">
        <f t="shared" ref="AZ401:AZ402" si="597">AY401-AZ399</f>
        <v>0</v>
      </c>
      <c r="BA401" s="92">
        <f t="shared" ref="BA401:BA402" si="598">AZ401-BA399</f>
        <v>0</v>
      </c>
      <c r="BB401" s="92">
        <f t="shared" ref="BB401:BB402" si="599">BA401-BB399</f>
        <v>0</v>
      </c>
      <c r="BC401" s="92">
        <f t="shared" ref="BC401:BC402" si="600">BB401-BC399</f>
        <v>0</v>
      </c>
      <c r="BD401" s="92">
        <f t="shared" ref="BD401:BD402" si="601">BC401-BD399</f>
        <v>0</v>
      </c>
      <c r="BE401" s="92">
        <f t="shared" ref="BE401:BE402" si="602">BD401-BE399</f>
        <v>0</v>
      </c>
      <c r="BF401" s="146">
        <f t="shared" ref="BF401:BF402" si="603">BE401-BF399</f>
        <v>0</v>
      </c>
    </row>
    <row r="402" spans="1:58" ht="13.5" customHeight="1">
      <c r="A402" s="498"/>
      <c r="B402" s="499"/>
      <c r="C402" s="499"/>
      <c r="D402" s="499"/>
      <c r="E402" s="499"/>
      <c r="F402" s="499"/>
      <c r="G402" s="499"/>
      <c r="H402" s="500"/>
      <c r="I402" s="93">
        <f>D399-I400</f>
        <v>0</v>
      </c>
      <c r="J402" s="94">
        <f>I402-J400</f>
        <v>0</v>
      </c>
      <c r="K402" s="94">
        <f t="shared" si="557"/>
        <v>0</v>
      </c>
      <c r="L402" s="94">
        <f t="shared" si="557"/>
        <v>0</v>
      </c>
      <c r="M402" s="94">
        <f t="shared" si="558"/>
        <v>0</v>
      </c>
      <c r="N402" s="94">
        <f t="shared" si="559"/>
        <v>0</v>
      </c>
      <c r="O402" s="94">
        <f t="shared" si="560"/>
        <v>0</v>
      </c>
      <c r="P402" s="94">
        <f t="shared" si="561"/>
        <v>0</v>
      </c>
      <c r="Q402" s="94">
        <f t="shared" si="562"/>
        <v>0</v>
      </c>
      <c r="R402" s="94">
        <f t="shared" si="563"/>
        <v>0</v>
      </c>
      <c r="S402" s="94">
        <f t="shared" si="564"/>
        <v>0</v>
      </c>
      <c r="T402" s="94">
        <f t="shared" si="565"/>
        <v>0</v>
      </c>
      <c r="U402" s="94">
        <f t="shared" si="566"/>
        <v>0</v>
      </c>
      <c r="V402" s="94">
        <f t="shared" si="567"/>
        <v>0</v>
      </c>
      <c r="W402" s="94">
        <f t="shared" si="568"/>
        <v>0</v>
      </c>
      <c r="X402" s="94">
        <f t="shared" si="569"/>
        <v>0</v>
      </c>
      <c r="Y402" s="94">
        <f t="shared" si="570"/>
        <v>0</v>
      </c>
      <c r="Z402" s="94">
        <f t="shared" si="571"/>
        <v>0</v>
      </c>
      <c r="AA402" s="94">
        <f t="shared" si="572"/>
        <v>0</v>
      </c>
      <c r="AB402" s="94">
        <f t="shared" si="573"/>
        <v>0</v>
      </c>
      <c r="AC402" s="94">
        <f t="shared" si="574"/>
        <v>0</v>
      </c>
      <c r="AD402" s="94">
        <f t="shared" si="575"/>
        <v>0</v>
      </c>
      <c r="AE402" s="94">
        <f t="shared" si="576"/>
        <v>0</v>
      </c>
      <c r="AF402" s="94">
        <f t="shared" si="577"/>
        <v>0</v>
      </c>
      <c r="AG402" s="94">
        <f t="shared" si="578"/>
        <v>0</v>
      </c>
      <c r="AH402" s="94">
        <f t="shared" si="579"/>
        <v>0</v>
      </c>
      <c r="AI402" s="94">
        <f t="shared" si="580"/>
        <v>0</v>
      </c>
      <c r="AJ402" s="94">
        <f t="shared" si="581"/>
        <v>0</v>
      </c>
      <c r="AK402" s="94">
        <f t="shared" si="582"/>
        <v>0</v>
      </c>
      <c r="AL402" s="94">
        <f t="shared" si="583"/>
        <v>0</v>
      </c>
      <c r="AM402" s="94">
        <f t="shared" si="584"/>
        <v>0</v>
      </c>
      <c r="AN402" s="94">
        <f t="shared" si="585"/>
        <v>0</v>
      </c>
      <c r="AO402" s="94">
        <f t="shared" si="586"/>
        <v>0</v>
      </c>
      <c r="AP402" s="94">
        <f t="shared" si="587"/>
        <v>0</v>
      </c>
      <c r="AQ402" s="94">
        <f t="shared" si="588"/>
        <v>0</v>
      </c>
      <c r="AR402" s="94">
        <f t="shared" si="589"/>
        <v>0</v>
      </c>
      <c r="AS402" s="94">
        <f t="shared" si="590"/>
        <v>0</v>
      </c>
      <c r="AT402" s="94">
        <f t="shared" si="591"/>
        <v>0</v>
      </c>
      <c r="AU402" s="94">
        <f t="shared" si="592"/>
        <v>0</v>
      </c>
      <c r="AV402" s="94">
        <f t="shared" si="593"/>
        <v>0</v>
      </c>
      <c r="AW402" s="94">
        <f t="shared" si="594"/>
        <v>0</v>
      </c>
      <c r="AX402" s="94">
        <f t="shared" si="595"/>
        <v>0</v>
      </c>
      <c r="AY402" s="94">
        <f t="shared" si="596"/>
        <v>0</v>
      </c>
      <c r="AZ402" s="94">
        <f t="shared" si="597"/>
        <v>0</v>
      </c>
      <c r="BA402" s="94">
        <f t="shared" si="598"/>
        <v>0</v>
      </c>
      <c r="BB402" s="94">
        <f t="shared" si="599"/>
        <v>0</v>
      </c>
      <c r="BC402" s="94">
        <f t="shared" si="600"/>
        <v>0</v>
      </c>
      <c r="BD402" s="94">
        <f t="shared" si="601"/>
        <v>0</v>
      </c>
      <c r="BE402" s="94">
        <f t="shared" si="602"/>
        <v>0</v>
      </c>
      <c r="BF402" s="95">
        <f t="shared" si="603"/>
        <v>0</v>
      </c>
    </row>
    <row r="403" spans="1:58">
      <c r="A403" s="102" t="s">
        <v>216</v>
      </c>
    </row>
  </sheetData>
  <sheetProtection insertRows="0" deleteRows="0"/>
  <autoFilter ref="A8:BF403" xr:uid="{00000000-0001-0000-0000-000000000000}">
    <filterColumn colId="0" showButton="0"/>
    <filterColumn colId="6" showButton="0"/>
  </autoFilter>
  <mergeCells count="995">
    <mergeCell ref="F99:F100"/>
    <mergeCell ref="A101:B102"/>
    <mergeCell ref="C101:C102"/>
    <mergeCell ref="D101:D102"/>
    <mergeCell ref="E101:E102"/>
    <mergeCell ref="F101:F102"/>
    <mergeCell ref="F103:F104"/>
    <mergeCell ref="A65:B66"/>
    <mergeCell ref="C65:C66"/>
    <mergeCell ref="D65:D66"/>
    <mergeCell ref="E65:E66"/>
    <mergeCell ref="F65:F66"/>
    <mergeCell ref="A97:B98"/>
    <mergeCell ref="C97:C98"/>
    <mergeCell ref="D97:D98"/>
    <mergeCell ref="E97:E98"/>
    <mergeCell ref="F97:F98"/>
    <mergeCell ref="F67:F68"/>
    <mergeCell ref="A69:B70"/>
    <mergeCell ref="C69:C70"/>
    <mergeCell ref="D69:D70"/>
    <mergeCell ref="E69:E70"/>
    <mergeCell ref="F69:F70"/>
    <mergeCell ref="A67:B68"/>
    <mergeCell ref="C67:C68"/>
    <mergeCell ref="D67:D68"/>
    <mergeCell ref="E67:E68"/>
    <mergeCell ref="F71:F72"/>
    <mergeCell ref="A73:B74"/>
    <mergeCell ref="C73:C74"/>
    <mergeCell ref="D73:D74"/>
    <mergeCell ref="A57:B58"/>
    <mergeCell ref="C57:C58"/>
    <mergeCell ref="D57:D58"/>
    <mergeCell ref="E57:E58"/>
    <mergeCell ref="F57:F58"/>
    <mergeCell ref="A59:B60"/>
    <mergeCell ref="C59:C60"/>
    <mergeCell ref="D59:D60"/>
    <mergeCell ref="E59:E60"/>
    <mergeCell ref="F59:F60"/>
    <mergeCell ref="A61:B62"/>
    <mergeCell ref="C61:C62"/>
    <mergeCell ref="D61:D62"/>
    <mergeCell ref="E61:E62"/>
    <mergeCell ref="F61:F62"/>
    <mergeCell ref="A63:B64"/>
    <mergeCell ref="C63:C64"/>
    <mergeCell ref="D63:D64"/>
    <mergeCell ref="E63:E64"/>
    <mergeCell ref="F63:F64"/>
    <mergeCell ref="A49:B50"/>
    <mergeCell ref="C49:C50"/>
    <mergeCell ref="D49:D50"/>
    <mergeCell ref="E49:E50"/>
    <mergeCell ref="F49:F50"/>
    <mergeCell ref="A51:B52"/>
    <mergeCell ref="C51:C52"/>
    <mergeCell ref="D51:D52"/>
    <mergeCell ref="E51:E52"/>
    <mergeCell ref="F51:F52"/>
    <mergeCell ref="A53:B54"/>
    <mergeCell ref="C53:C54"/>
    <mergeCell ref="D53:D54"/>
    <mergeCell ref="E53:E54"/>
    <mergeCell ref="F53:F54"/>
    <mergeCell ref="A55:B56"/>
    <mergeCell ref="C55:C56"/>
    <mergeCell ref="D55:D56"/>
    <mergeCell ref="E55:E56"/>
    <mergeCell ref="F55:F56"/>
    <mergeCell ref="A41:B42"/>
    <mergeCell ref="C41:C42"/>
    <mergeCell ref="D41:D42"/>
    <mergeCell ref="E41:E42"/>
    <mergeCell ref="F41:F42"/>
    <mergeCell ref="A43:B44"/>
    <mergeCell ref="C43:C44"/>
    <mergeCell ref="D43:D44"/>
    <mergeCell ref="E43:E44"/>
    <mergeCell ref="F43:F44"/>
    <mergeCell ref="A45:B46"/>
    <mergeCell ref="C45:C46"/>
    <mergeCell ref="D45:D46"/>
    <mergeCell ref="E45:E46"/>
    <mergeCell ref="F45:F46"/>
    <mergeCell ref="A47:B48"/>
    <mergeCell ref="C47:C48"/>
    <mergeCell ref="D47:D48"/>
    <mergeCell ref="E47:E48"/>
    <mergeCell ref="F47:F48"/>
    <mergeCell ref="C17:C18"/>
    <mergeCell ref="D17:D18"/>
    <mergeCell ref="E17:E18"/>
    <mergeCell ref="F17:F18"/>
    <mergeCell ref="D3:G4"/>
    <mergeCell ref="G6:H8"/>
    <mergeCell ref="C9:C10"/>
    <mergeCell ref="E6:E8"/>
    <mergeCell ref="D6:D8"/>
    <mergeCell ref="C6:C8"/>
    <mergeCell ref="F15:F16"/>
    <mergeCell ref="D15:D16"/>
    <mergeCell ref="A13:B14"/>
    <mergeCell ref="C13:C14"/>
    <mergeCell ref="D13:D14"/>
    <mergeCell ref="D9:D10"/>
    <mergeCell ref="A9:B10"/>
    <mergeCell ref="B3:C4"/>
    <mergeCell ref="A6:B8"/>
    <mergeCell ref="E13:E14"/>
    <mergeCell ref="F13:F14"/>
    <mergeCell ref="A11:B12"/>
    <mergeCell ref="C11:C12"/>
    <mergeCell ref="D11:D12"/>
    <mergeCell ref="E11:E12"/>
    <mergeCell ref="F11:F12"/>
    <mergeCell ref="E9:E10"/>
    <mergeCell ref="F9:F10"/>
    <mergeCell ref="F23:F24"/>
    <mergeCell ref="E23:E24"/>
    <mergeCell ref="D23:D24"/>
    <mergeCell ref="C23:C24"/>
    <mergeCell ref="A23:B24"/>
    <mergeCell ref="F21:F22"/>
    <mergeCell ref="C21:C22"/>
    <mergeCell ref="D21:D22"/>
    <mergeCell ref="E19:E20"/>
    <mergeCell ref="F19:F20"/>
    <mergeCell ref="A21:B22"/>
    <mergeCell ref="E21:E22"/>
    <mergeCell ref="A19:B20"/>
    <mergeCell ref="C19:C20"/>
    <mergeCell ref="D19:D20"/>
    <mergeCell ref="A17:B18"/>
    <mergeCell ref="E15:E16"/>
    <mergeCell ref="C15:C16"/>
    <mergeCell ref="A15:B16"/>
    <mergeCell ref="F27:F28"/>
    <mergeCell ref="A31:B32"/>
    <mergeCell ref="C31:C32"/>
    <mergeCell ref="D31:D32"/>
    <mergeCell ref="E31:E32"/>
    <mergeCell ref="F31:F32"/>
    <mergeCell ref="A27:B28"/>
    <mergeCell ref="C27:C28"/>
    <mergeCell ref="D27:D28"/>
    <mergeCell ref="E27:E28"/>
    <mergeCell ref="A29:B30"/>
    <mergeCell ref="C29:C30"/>
    <mergeCell ref="D29:D30"/>
    <mergeCell ref="E29:E30"/>
    <mergeCell ref="F29:F30"/>
    <mergeCell ref="F25:F26"/>
    <mergeCell ref="E25:E26"/>
    <mergeCell ref="D25:D26"/>
    <mergeCell ref="C25:C26"/>
    <mergeCell ref="A25:B26"/>
    <mergeCell ref="F37:F38"/>
    <mergeCell ref="A39:B40"/>
    <mergeCell ref="C39:C40"/>
    <mergeCell ref="D39:D40"/>
    <mergeCell ref="E39:E40"/>
    <mergeCell ref="F39:F40"/>
    <mergeCell ref="A37:B38"/>
    <mergeCell ref="C37:C38"/>
    <mergeCell ref="D37:D38"/>
    <mergeCell ref="E37:E38"/>
    <mergeCell ref="F33:F34"/>
    <mergeCell ref="A35:B36"/>
    <mergeCell ref="C35:C36"/>
    <mergeCell ref="D35:D36"/>
    <mergeCell ref="E35:E36"/>
    <mergeCell ref="F35:F36"/>
    <mergeCell ref="A33:B34"/>
    <mergeCell ref="C33:C34"/>
    <mergeCell ref="D33:D34"/>
    <mergeCell ref="E33:E34"/>
    <mergeCell ref="C79:C80"/>
    <mergeCell ref="A87:B88"/>
    <mergeCell ref="C87:C88"/>
    <mergeCell ref="D79:D80"/>
    <mergeCell ref="E79:E80"/>
    <mergeCell ref="F83:F84"/>
    <mergeCell ref="A85:B86"/>
    <mergeCell ref="C85:C86"/>
    <mergeCell ref="D85:D86"/>
    <mergeCell ref="E85:E86"/>
    <mergeCell ref="F85:F86"/>
    <mergeCell ref="A83:B84"/>
    <mergeCell ref="C83:C84"/>
    <mergeCell ref="A77:B78"/>
    <mergeCell ref="C77:C78"/>
    <mergeCell ref="D77:D78"/>
    <mergeCell ref="E77:E78"/>
    <mergeCell ref="F77:F78"/>
    <mergeCell ref="A75:B76"/>
    <mergeCell ref="C75:C76"/>
    <mergeCell ref="D75:D76"/>
    <mergeCell ref="E75:E76"/>
    <mergeCell ref="F89:F90"/>
    <mergeCell ref="F79:F80"/>
    <mergeCell ref="O1:P1"/>
    <mergeCell ref="O2:P4"/>
    <mergeCell ref="K3:M4"/>
    <mergeCell ref="H3:J4"/>
    <mergeCell ref="B1:M2"/>
    <mergeCell ref="F6:F8"/>
    <mergeCell ref="I6:BF6"/>
    <mergeCell ref="D87:D88"/>
    <mergeCell ref="E87:E88"/>
    <mergeCell ref="A81:B82"/>
    <mergeCell ref="C81:C82"/>
    <mergeCell ref="D81:D82"/>
    <mergeCell ref="E81:E82"/>
    <mergeCell ref="F81:F82"/>
    <mergeCell ref="A79:B80"/>
    <mergeCell ref="E73:E74"/>
    <mergeCell ref="F73:F74"/>
    <mergeCell ref="A71:B72"/>
    <mergeCell ref="C71:C72"/>
    <mergeCell ref="D71:D72"/>
    <mergeCell ref="E71:E72"/>
    <mergeCell ref="F75:F76"/>
    <mergeCell ref="E107:E108"/>
    <mergeCell ref="F107:F108"/>
    <mergeCell ref="D91:D92"/>
    <mergeCell ref="E91:E92"/>
    <mergeCell ref="A103:B104"/>
    <mergeCell ref="C103:C104"/>
    <mergeCell ref="D103:D104"/>
    <mergeCell ref="E103:E104"/>
    <mergeCell ref="A95:B96"/>
    <mergeCell ref="C95:C96"/>
    <mergeCell ref="D95:D96"/>
    <mergeCell ref="E95:E96"/>
    <mergeCell ref="F91:F92"/>
    <mergeCell ref="A93:B94"/>
    <mergeCell ref="C93:C94"/>
    <mergeCell ref="A105:B106"/>
    <mergeCell ref="C105:C106"/>
    <mergeCell ref="D105:D106"/>
    <mergeCell ref="E105:E106"/>
    <mergeCell ref="F105:F106"/>
    <mergeCell ref="A99:B100"/>
    <mergeCell ref="C99:C100"/>
    <mergeCell ref="D99:D100"/>
    <mergeCell ref="E99:E100"/>
    <mergeCell ref="A109:B110"/>
    <mergeCell ref="C109:C110"/>
    <mergeCell ref="D109:D110"/>
    <mergeCell ref="E109:E110"/>
    <mergeCell ref="F109:F110"/>
    <mergeCell ref="A111:B112"/>
    <mergeCell ref="C111:C112"/>
    <mergeCell ref="D111:D112"/>
    <mergeCell ref="E111:E112"/>
    <mergeCell ref="F111:F112"/>
    <mergeCell ref="A401:H402"/>
    <mergeCell ref="I7:BF7"/>
    <mergeCell ref="D399:D400"/>
    <mergeCell ref="E399:E400"/>
    <mergeCell ref="F399:F400"/>
    <mergeCell ref="A399:C400"/>
    <mergeCell ref="F95:F96"/>
    <mergeCell ref="A107:B108"/>
    <mergeCell ref="C107:C108"/>
    <mergeCell ref="D107:D108"/>
    <mergeCell ref="D93:D94"/>
    <mergeCell ref="E93:E94"/>
    <mergeCell ref="F93:F94"/>
    <mergeCell ref="A91:B92"/>
    <mergeCell ref="C91:C92"/>
    <mergeCell ref="D83:D84"/>
    <mergeCell ref="E83:E84"/>
    <mergeCell ref="F87:F88"/>
    <mergeCell ref="A89:B90"/>
    <mergeCell ref="C89:C90"/>
    <mergeCell ref="D89:D90"/>
    <mergeCell ref="E89:E90"/>
    <mergeCell ref="A117:B118"/>
    <mergeCell ref="C117:C118"/>
    <mergeCell ref="D117:D118"/>
    <mergeCell ref="E117:E118"/>
    <mergeCell ref="F117:F118"/>
    <mergeCell ref="A119:B120"/>
    <mergeCell ref="C119:C120"/>
    <mergeCell ref="D119:D120"/>
    <mergeCell ref="E119:E120"/>
    <mergeCell ref="F119:F120"/>
    <mergeCell ref="A113:B114"/>
    <mergeCell ref="C113:C114"/>
    <mergeCell ref="D113:D114"/>
    <mergeCell ref="E113:E114"/>
    <mergeCell ref="F113:F114"/>
    <mergeCell ref="A115:B116"/>
    <mergeCell ref="C115:C116"/>
    <mergeCell ref="D115:D116"/>
    <mergeCell ref="E115:E116"/>
    <mergeCell ref="F115:F116"/>
    <mergeCell ref="A125:B126"/>
    <mergeCell ref="C125:C126"/>
    <mergeCell ref="D125:D126"/>
    <mergeCell ref="E125:E126"/>
    <mergeCell ref="F125:F126"/>
    <mergeCell ref="A127:B128"/>
    <mergeCell ref="C127:C128"/>
    <mergeCell ref="D127:D128"/>
    <mergeCell ref="E127:E128"/>
    <mergeCell ref="F127:F128"/>
    <mergeCell ref="A121:B122"/>
    <mergeCell ref="C121:C122"/>
    <mergeCell ref="D121:D122"/>
    <mergeCell ref="E121:E122"/>
    <mergeCell ref="F121:F122"/>
    <mergeCell ref="A123:B124"/>
    <mergeCell ref="C123:C124"/>
    <mergeCell ref="D123:D124"/>
    <mergeCell ref="E123:E124"/>
    <mergeCell ref="F123:F124"/>
    <mergeCell ref="A133:B134"/>
    <mergeCell ref="C133:C134"/>
    <mergeCell ref="D133:D134"/>
    <mergeCell ref="E133:E134"/>
    <mergeCell ref="F133:F134"/>
    <mergeCell ref="A135:B136"/>
    <mergeCell ref="C135:C136"/>
    <mergeCell ref="D135:D136"/>
    <mergeCell ref="E135:E136"/>
    <mergeCell ref="F135:F136"/>
    <mergeCell ref="A129:B130"/>
    <mergeCell ref="C129:C130"/>
    <mergeCell ref="D129:D130"/>
    <mergeCell ref="E129:E130"/>
    <mergeCell ref="F129:F130"/>
    <mergeCell ref="A131:B132"/>
    <mergeCell ref="C131:C132"/>
    <mergeCell ref="D131:D132"/>
    <mergeCell ref="E131:E132"/>
    <mergeCell ref="F131:F132"/>
    <mergeCell ref="A141:B142"/>
    <mergeCell ref="C141:C142"/>
    <mergeCell ref="D141:D142"/>
    <mergeCell ref="E141:E142"/>
    <mergeCell ref="F141:F142"/>
    <mergeCell ref="A143:B144"/>
    <mergeCell ref="C143:C144"/>
    <mergeCell ref="D143:D144"/>
    <mergeCell ref="E143:E144"/>
    <mergeCell ref="F143:F144"/>
    <mergeCell ref="A137:B138"/>
    <mergeCell ref="C137:C138"/>
    <mergeCell ref="D137:D138"/>
    <mergeCell ref="E137:E138"/>
    <mergeCell ref="F137:F138"/>
    <mergeCell ref="A139:B140"/>
    <mergeCell ref="C139:C140"/>
    <mergeCell ref="D139:D140"/>
    <mergeCell ref="E139:E140"/>
    <mergeCell ref="F139:F140"/>
    <mergeCell ref="A149:B150"/>
    <mergeCell ref="C149:C150"/>
    <mergeCell ref="D149:D150"/>
    <mergeCell ref="E149:E150"/>
    <mergeCell ref="F149:F150"/>
    <mergeCell ref="A151:B152"/>
    <mergeCell ref="C151:C152"/>
    <mergeCell ref="D151:D152"/>
    <mergeCell ref="E151:E152"/>
    <mergeCell ref="F151:F152"/>
    <mergeCell ref="A145:B146"/>
    <mergeCell ref="C145:C146"/>
    <mergeCell ref="D145:D146"/>
    <mergeCell ref="E145:E146"/>
    <mergeCell ref="F145:F146"/>
    <mergeCell ref="A147:B148"/>
    <mergeCell ref="C147:C148"/>
    <mergeCell ref="D147:D148"/>
    <mergeCell ref="E147:E148"/>
    <mergeCell ref="F147:F148"/>
    <mergeCell ref="A157:B158"/>
    <mergeCell ref="C157:C158"/>
    <mergeCell ref="D157:D158"/>
    <mergeCell ref="E157:E158"/>
    <mergeCell ref="F157:F158"/>
    <mergeCell ref="A159:B160"/>
    <mergeCell ref="C159:C160"/>
    <mergeCell ref="D159:D160"/>
    <mergeCell ref="E159:E160"/>
    <mergeCell ref="F159:F160"/>
    <mergeCell ref="A153:B154"/>
    <mergeCell ref="C153:C154"/>
    <mergeCell ref="D153:D154"/>
    <mergeCell ref="E153:E154"/>
    <mergeCell ref="F153:F154"/>
    <mergeCell ref="A155:B156"/>
    <mergeCell ref="C155:C156"/>
    <mergeCell ref="D155:D156"/>
    <mergeCell ref="E155:E156"/>
    <mergeCell ref="F155:F156"/>
    <mergeCell ref="A165:B166"/>
    <mergeCell ref="C165:C166"/>
    <mergeCell ref="D165:D166"/>
    <mergeCell ref="E165:E166"/>
    <mergeCell ref="F165:F166"/>
    <mergeCell ref="A167:B168"/>
    <mergeCell ref="C167:C168"/>
    <mergeCell ref="D167:D168"/>
    <mergeCell ref="E167:E168"/>
    <mergeCell ref="F167:F168"/>
    <mergeCell ref="A161:B162"/>
    <mergeCell ref="C161:C162"/>
    <mergeCell ref="D161:D162"/>
    <mergeCell ref="E161:E162"/>
    <mergeCell ref="F161:F162"/>
    <mergeCell ref="A163:B164"/>
    <mergeCell ref="C163:C164"/>
    <mergeCell ref="D163:D164"/>
    <mergeCell ref="E163:E164"/>
    <mergeCell ref="F163:F164"/>
    <mergeCell ref="A173:B174"/>
    <mergeCell ref="C173:C174"/>
    <mergeCell ref="D173:D174"/>
    <mergeCell ref="E173:E174"/>
    <mergeCell ref="F173:F174"/>
    <mergeCell ref="A175:B176"/>
    <mergeCell ref="C175:C176"/>
    <mergeCell ref="D175:D176"/>
    <mergeCell ref="E175:E176"/>
    <mergeCell ref="F175:F176"/>
    <mergeCell ref="A169:B170"/>
    <mergeCell ref="C169:C170"/>
    <mergeCell ref="D169:D170"/>
    <mergeCell ref="E169:E170"/>
    <mergeCell ref="F169:F170"/>
    <mergeCell ref="A171:B172"/>
    <mergeCell ref="C171:C172"/>
    <mergeCell ref="D171:D172"/>
    <mergeCell ref="E171:E172"/>
    <mergeCell ref="F171:F172"/>
    <mergeCell ref="A181:B182"/>
    <mergeCell ref="C181:C182"/>
    <mergeCell ref="D181:D182"/>
    <mergeCell ref="E181:E182"/>
    <mergeCell ref="F181:F182"/>
    <mergeCell ref="A183:B184"/>
    <mergeCell ref="C183:C184"/>
    <mergeCell ref="D183:D184"/>
    <mergeCell ref="E183:E184"/>
    <mergeCell ref="F183:F184"/>
    <mergeCell ref="A177:B178"/>
    <mergeCell ref="C177:C178"/>
    <mergeCell ref="D177:D178"/>
    <mergeCell ref="E177:E178"/>
    <mergeCell ref="F177:F178"/>
    <mergeCell ref="A179:B180"/>
    <mergeCell ref="C179:C180"/>
    <mergeCell ref="D179:D180"/>
    <mergeCell ref="E179:E180"/>
    <mergeCell ref="F179:F180"/>
    <mergeCell ref="A189:B190"/>
    <mergeCell ref="C189:C190"/>
    <mergeCell ref="D189:D190"/>
    <mergeCell ref="E189:E190"/>
    <mergeCell ref="F189:F190"/>
    <mergeCell ref="A191:B192"/>
    <mergeCell ref="C191:C192"/>
    <mergeCell ref="D191:D192"/>
    <mergeCell ref="E191:E192"/>
    <mergeCell ref="F191:F192"/>
    <mergeCell ref="A185:B186"/>
    <mergeCell ref="C185:C186"/>
    <mergeCell ref="D185:D186"/>
    <mergeCell ref="E185:E186"/>
    <mergeCell ref="F185:F186"/>
    <mergeCell ref="A187:B188"/>
    <mergeCell ref="C187:C188"/>
    <mergeCell ref="D187:D188"/>
    <mergeCell ref="E187:E188"/>
    <mergeCell ref="F187:F188"/>
    <mergeCell ref="A197:B198"/>
    <mergeCell ref="C197:C198"/>
    <mergeCell ref="D197:D198"/>
    <mergeCell ref="E197:E198"/>
    <mergeCell ref="F197:F198"/>
    <mergeCell ref="A199:B200"/>
    <mergeCell ref="C199:C200"/>
    <mergeCell ref="D199:D200"/>
    <mergeCell ref="E199:E200"/>
    <mergeCell ref="F199:F200"/>
    <mergeCell ref="A193:B194"/>
    <mergeCell ref="C193:C194"/>
    <mergeCell ref="D193:D194"/>
    <mergeCell ref="E193:E194"/>
    <mergeCell ref="F193:F194"/>
    <mergeCell ref="A195:B196"/>
    <mergeCell ref="C195:C196"/>
    <mergeCell ref="D195:D196"/>
    <mergeCell ref="E195:E196"/>
    <mergeCell ref="F195:F196"/>
    <mergeCell ref="A205:B206"/>
    <mergeCell ref="C205:C206"/>
    <mergeCell ref="D205:D206"/>
    <mergeCell ref="E205:E206"/>
    <mergeCell ref="F205:F206"/>
    <mergeCell ref="A207:B208"/>
    <mergeCell ref="C207:C208"/>
    <mergeCell ref="D207:D208"/>
    <mergeCell ref="E207:E208"/>
    <mergeCell ref="F207:F208"/>
    <mergeCell ref="A201:B202"/>
    <mergeCell ref="C201:C202"/>
    <mergeCell ref="D201:D202"/>
    <mergeCell ref="E201:E202"/>
    <mergeCell ref="F201:F202"/>
    <mergeCell ref="A203:B204"/>
    <mergeCell ref="C203:C204"/>
    <mergeCell ref="D203:D204"/>
    <mergeCell ref="E203:E204"/>
    <mergeCell ref="F203:F204"/>
    <mergeCell ref="A219:B220"/>
    <mergeCell ref="C219:C220"/>
    <mergeCell ref="D219:D220"/>
    <mergeCell ref="E219:E220"/>
    <mergeCell ref="F219:F220"/>
    <mergeCell ref="A213:B214"/>
    <mergeCell ref="C213:C214"/>
    <mergeCell ref="D213:D214"/>
    <mergeCell ref="E213:E214"/>
    <mergeCell ref="F213:F214"/>
    <mergeCell ref="A215:B216"/>
    <mergeCell ref="C215:C216"/>
    <mergeCell ref="D215:D216"/>
    <mergeCell ref="E215:E216"/>
    <mergeCell ref="F215:F216"/>
    <mergeCell ref="A217:B218"/>
    <mergeCell ref="C217:C218"/>
    <mergeCell ref="D217:D218"/>
    <mergeCell ref="E217:E218"/>
    <mergeCell ref="F217:F218"/>
    <mergeCell ref="A209:B210"/>
    <mergeCell ref="C209:C210"/>
    <mergeCell ref="D209:D210"/>
    <mergeCell ref="E209:E210"/>
    <mergeCell ref="F209:F210"/>
    <mergeCell ref="A211:B212"/>
    <mergeCell ref="C211:C212"/>
    <mergeCell ref="D211:D212"/>
    <mergeCell ref="E211:E212"/>
    <mergeCell ref="F211:F212"/>
    <mergeCell ref="A397:B398"/>
    <mergeCell ref="C397:C398"/>
    <mergeCell ref="D397:D398"/>
    <mergeCell ref="E397:E398"/>
    <mergeCell ref="F397:F398"/>
    <mergeCell ref="A225:B226"/>
    <mergeCell ref="C225:C226"/>
    <mergeCell ref="D225:D226"/>
    <mergeCell ref="E225:E226"/>
    <mergeCell ref="F225:F226"/>
    <mergeCell ref="A227:B228"/>
    <mergeCell ref="C227:C228"/>
    <mergeCell ref="D227:D228"/>
    <mergeCell ref="E227:E228"/>
    <mergeCell ref="F227:F228"/>
    <mergeCell ref="A231:B232"/>
    <mergeCell ref="C231:C232"/>
    <mergeCell ref="D231:D232"/>
    <mergeCell ref="E231:E232"/>
    <mergeCell ref="F231:F232"/>
    <mergeCell ref="A233:B234"/>
    <mergeCell ref="C233:C234"/>
    <mergeCell ref="D233:D234"/>
    <mergeCell ref="E233:E234"/>
    <mergeCell ref="F383:F384"/>
    <mergeCell ref="A385:B386"/>
    <mergeCell ref="C385:C386"/>
    <mergeCell ref="D385:D386"/>
    <mergeCell ref="A229:B230"/>
    <mergeCell ref="C229:C230"/>
    <mergeCell ref="D229:D230"/>
    <mergeCell ref="E229:E230"/>
    <mergeCell ref="F229:F230"/>
    <mergeCell ref="E385:E386"/>
    <mergeCell ref="F385:F386"/>
    <mergeCell ref="F233:F234"/>
    <mergeCell ref="A383:B384"/>
    <mergeCell ref="C383:C384"/>
    <mergeCell ref="D383:D384"/>
    <mergeCell ref="E383:E384"/>
    <mergeCell ref="A379:B380"/>
    <mergeCell ref="C379:C380"/>
    <mergeCell ref="D379:D380"/>
    <mergeCell ref="E379:E380"/>
    <mergeCell ref="F379:F380"/>
    <mergeCell ref="A381:B382"/>
    <mergeCell ref="C381:C382"/>
    <mergeCell ref="D381:D382"/>
    <mergeCell ref="A221:B222"/>
    <mergeCell ref="C221:C222"/>
    <mergeCell ref="D221:D222"/>
    <mergeCell ref="E221:E222"/>
    <mergeCell ref="F221:F222"/>
    <mergeCell ref="A223:B224"/>
    <mergeCell ref="C223:C224"/>
    <mergeCell ref="D223:D224"/>
    <mergeCell ref="E223:E224"/>
    <mergeCell ref="F223:F224"/>
    <mergeCell ref="A387:B388"/>
    <mergeCell ref="C387:C388"/>
    <mergeCell ref="D387:D388"/>
    <mergeCell ref="E387:E388"/>
    <mergeCell ref="F387:F388"/>
    <mergeCell ref="A389:B390"/>
    <mergeCell ref="C389:C390"/>
    <mergeCell ref="D389:D390"/>
    <mergeCell ref="E389:E390"/>
    <mergeCell ref="F389:F390"/>
    <mergeCell ref="A395:B396"/>
    <mergeCell ref="C395:C396"/>
    <mergeCell ref="D395:D396"/>
    <mergeCell ref="E395:E396"/>
    <mergeCell ref="F395:F396"/>
    <mergeCell ref="A391:B392"/>
    <mergeCell ref="C391:C392"/>
    <mergeCell ref="D391:D392"/>
    <mergeCell ref="E391:E392"/>
    <mergeCell ref="F391:F392"/>
    <mergeCell ref="A393:B394"/>
    <mergeCell ref="C393:C394"/>
    <mergeCell ref="D393:D394"/>
    <mergeCell ref="E393:E394"/>
    <mergeCell ref="F393:F394"/>
    <mergeCell ref="E381:E382"/>
    <mergeCell ref="F381:F382"/>
    <mergeCell ref="A239:B240"/>
    <mergeCell ref="C239:C240"/>
    <mergeCell ref="D239:D240"/>
    <mergeCell ref="E239:E240"/>
    <mergeCell ref="F239:F240"/>
    <mergeCell ref="A241:B242"/>
    <mergeCell ref="C241:C242"/>
    <mergeCell ref="D241:D242"/>
    <mergeCell ref="E241:E242"/>
    <mergeCell ref="F241:F242"/>
    <mergeCell ref="A247:B248"/>
    <mergeCell ref="C247:C248"/>
    <mergeCell ref="D247:D248"/>
    <mergeCell ref="E247:E248"/>
    <mergeCell ref="F247:F248"/>
    <mergeCell ref="A249:B250"/>
    <mergeCell ref="C249:C250"/>
    <mergeCell ref="D249:D250"/>
    <mergeCell ref="E249:E250"/>
    <mergeCell ref="F249:F250"/>
    <mergeCell ref="A243:B244"/>
    <mergeCell ref="C243:C244"/>
    <mergeCell ref="A235:B236"/>
    <mergeCell ref="C235:C236"/>
    <mergeCell ref="D235:D236"/>
    <mergeCell ref="E235:E236"/>
    <mergeCell ref="F235:F236"/>
    <mergeCell ref="A237:B238"/>
    <mergeCell ref="C237:C238"/>
    <mergeCell ref="D237:D238"/>
    <mergeCell ref="E237:E238"/>
    <mergeCell ref="F237:F238"/>
    <mergeCell ref="D243:D244"/>
    <mergeCell ref="E243:E244"/>
    <mergeCell ref="F243:F244"/>
    <mergeCell ref="A245:B246"/>
    <mergeCell ref="C245:C246"/>
    <mergeCell ref="D245:D246"/>
    <mergeCell ref="E245:E246"/>
    <mergeCell ref="F245:F246"/>
    <mergeCell ref="A255:B256"/>
    <mergeCell ref="C255:C256"/>
    <mergeCell ref="D255:D256"/>
    <mergeCell ref="E255:E256"/>
    <mergeCell ref="F255:F256"/>
    <mergeCell ref="A257:B258"/>
    <mergeCell ref="C257:C258"/>
    <mergeCell ref="D257:D258"/>
    <mergeCell ref="E257:E258"/>
    <mergeCell ref="F257:F258"/>
    <mergeCell ref="A251:B252"/>
    <mergeCell ref="C251:C252"/>
    <mergeCell ref="D251:D252"/>
    <mergeCell ref="E251:E252"/>
    <mergeCell ref="F251:F252"/>
    <mergeCell ref="A253:B254"/>
    <mergeCell ref="C253:C254"/>
    <mergeCell ref="D253:D254"/>
    <mergeCell ref="E253:E254"/>
    <mergeCell ref="F253:F254"/>
    <mergeCell ref="A263:B264"/>
    <mergeCell ref="C263:C264"/>
    <mergeCell ref="D263:D264"/>
    <mergeCell ref="E263:E264"/>
    <mergeCell ref="F263:F264"/>
    <mergeCell ref="A265:B266"/>
    <mergeCell ref="C265:C266"/>
    <mergeCell ref="D265:D266"/>
    <mergeCell ref="E265:E266"/>
    <mergeCell ref="F265:F266"/>
    <mergeCell ref="A259:B260"/>
    <mergeCell ref="C259:C260"/>
    <mergeCell ref="D259:D260"/>
    <mergeCell ref="E259:E260"/>
    <mergeCell ref="F259:F260"/>
    <mergeCell ref="A261:B262"/>
    <mergeCell ref="C261:C262"/>
    <mergeCell ref="D261:D262"/>
    <mergeCell ref="E261:E262"/>
    <mergeCell ref="F261:F262"/>
    <mergeCell ref="A271:B272"/>
    <mergeCell ref="C271:C272"/>
    <mergeCell ref="D271:D272"/>
    <mergeCell ref="E271:E272"/>
    <mergeCell ref="F271:F272"/>
    <mergeCell ref="A273:B274"/>
    <mergeCell ref="C273:C274"/>
    <mergeCell ref="D273:D274"/>
    <mergeCell ref="E273:E274"/>
    <mergeCell ref="F273:F274"/>
    <mergeCell ref="A267:B268"/>
    <mergeCell ref="C267:C268"/>
    <mergeCell ref="D267:D268"/>
    <mergeCell ref="E267:E268"/>
    <mergeCell ref="F267:F268"/>
    <mergeCell ref="A269:B270"/>
    <mergeCell ref="C269:C270"/>
    <mergeCell ref="D269:D270"/>
    <mergeCell ref="E269:E270"/>
    <mergeCell ref="F269:F270"/>
    <mergeCell ref="A279:B280"/>
    <mergeCell ref="C279:C280"/>
    <mergeCell ref="D279:D280"/>
    <mergeCell ref="E279:E280"/>
    <mergeCell ref="F279:F280"/>
    <mergeCell ref="A281:B282"/>
    <mergeCell ref="C281:C282"/>
    <mergeCell ref="D281:D282"/>
    <mergeCell ref="E281:E282"/>
    <mergeCell ref="F281:F282"/>
    <mergeCell ref="A275:B276"/>
    <mergeCell ref="C275:C276"/>
    <mergeCell ref="D275:D276"/>
    <mergeCell ref="E275:E276"/>
    <mergeCell ref="F275:F276"/>
    <mergeCell ref="A277:B278"/>
    <mergeCell ref="C277:C278"/>
    <mergeCell ref="D277:D278"/>
    <mergeCell ref="E277:E278"/>
    <mergeCell ref="F277:F278"/>
    <mergeCell ref="A287:B288"/>
    <mergeCell ref="C287:C288"/>
    <mergeCell ref="D287:D288"/>
    <mergeCell ref="E287:E288"/>
    <mergeCell ref="F287:F288"/>
    <mergeCell ref="A289:B290"/>
    <mergeCell ref="C289:C290"/>
    <mergeCell ref="D289:D290"/>
    <mergeCell ref="E289:E290"/>
    <mergeCell ref="F289:F290"/>
    <mergeCell ref="A283:B284"/>
    <mergeCell ref="C283:C284"/>
    <mergeCell ref="D283:D284"/>
    <mergeCell ref="E283:E284"/>
    <mergeCell ref="F283:F284"/>
    <mergeCell ref="A285:B286"/>
    <mergeCell ref="C285:C286"/>
    <mergeCell ref="D285:D286"/>
    <mergeCell ref="E285:E286"/>
    <mergeCell ref="F285:F286"/>
    <mergeCell ref="A295:B296"/>
    <mergeCell ref="C295:C296"/>
    <mergeCell ref="D295:D296"/>
    <mergeCell ref="E295:E296"/>
    <mergeCell ref="F295:F296"/>
    <mergeCell ref="A297:B298"/>
    <mergeCell ref="C297:C298"/>
    <mergeCell ref="D297:D298"/>
    <mergeCell ref="E297:E298"/>
    <mergeCell ref="F297:F298"/>
    <mergeCell ref="A291:B292"/>
    <mergeCell ref="C291:C292"/>
    <mergeCell ref="D291:D292"/>
    <mergeCell ref="E291:E292"/>
    <mergeCell ref="F291:F292"/>
    <mergeCell ref="A293:B294"/>
    <mergeCell ref="C293:C294"/>
    <mergeCell ref="D293:D294"/>
    <mergeCell ref="E293:E294"/>
    <mergeCell ref="F293:F294"/>
    <mergeCell ref="A303:B304"/>
    <mergeCell ref="C303:C304"/>
    <mergeCell ref="D303:D304"/>
    <mergeCell ref="E303:E304"/>
    <mergeCell ref="F303:F304"/>
    <mergeCell ref="A305:B306"/>
    <mergeCell ref="C305:C306"/>
    <mergeCell ref="D305:D306"/>
    <mergeCell ref="E305:E306"/>
    <mergeCell ref="F305:F306"/>
    <mergeCell ref="A299:B300"/>
    <mergeCell ref="C299:C300"/>
    <mergeCell ref="D299:D300"/>
    <mergeCell ref="E299:E300"/>
    <mergeCell ref="F299:F300"/>
    <mergeCell ref="A301:B302"/>
    <mergeCell ref="C301:C302"/>
    <mergeCell ref="D301:D302"/>
    <mergeCell ref="E301:E302"/>
    <mergeCell ref="F301:F302"/>
    <mergeCell ref="A311:B312"/>
    <mergeCell ref="C311:C312"/>
    <mergeCell ref="D311:D312"/>
    <mergeCell ref="E311:E312"/>
    <mergeCell ref="F311:F312"/>
    <mergeCell ref="A313:B314"/>
    <mergeCell ref="C313:C314"/>
    <mergeCell ref="D313:D314"/>
    <mergeCell ref="E313:E314"/>
    <mergeCell ref="F313:F314"/>
    <mergeCell ref="A307:B308"/>
    <mergeCell ref="C307:C308"/>
    <mergeCell ref="D307:D308"/>
    <mergeCell ref="E307:E308"/>
    <mergeCell ref="F307:F308"/>
    <mergeCell ref="A309:B310"/>
    <mergeCell ref="C309:C310"/>
    <mergeCell ref="D309:D310"/>
    <mergeCell ref="E309:E310"/>
    <mergeCell ref="F309:F310"/>
    <mergeCell ref="A319:B320"/>
    <mergeCell ref="C319:C320"/>
    <mergeCell ref="D319:D320"/>
    <mergeCell ref="E319:E320"/>
    <mergeCell ref="F319:F320"/>
    <mergeCell ref="A321:B322"/>
    <mergeCell ref="C321:C322"/>
    <mergeCell ref="D321:D322"/>
    <mergeCell ref="E321:E322"/>
    <mergeCell ref="F321:F322"/>
    <mergeCell ref="A315:B316"/>
    <mergeCell ref="C315:C316"/>
    <mergeCell ref="D315:D316"/>
    <mergeCell ref="E315:E316"/>
    <mergeCell ref="F315:F316"/>
    <mergeCell ref="A317:B318"/>
    <mergeCell ref="C317:C318"/>
    <mergeCell ref="D317:D318"/>
    <mergeCell ref="E317:E318"/>
    <mergeCell ref="F317:F318"/>
    <mergeCell ref="A327:B328"/>
    <mergeCell ref="C327:C328"/>
    <mergeCell ref="D327:D328"/>
    <mergeCell ref="E327:E328"/>
    <mergeCell ref="F327:F328"/>
    <mergeCell ref="A329:B330"/>
    <mergeCell ref="C329:C330"/>
    <mergeCell ref="D329:D330"/>
    <mergeCell ref="E329:E330"/>
    <mergeCell ref="F329:F330"/>
    <mergeCell ref="A323:B324"/>
    <mergeCell ref="C323:C324"/>
    <mergeCell ref="D323:D324"/>
    <mergeCell ref="E323:E324"/>
    <mergeCell ref="F323:F324"/>
    <mergeCell ref="A325:B326"/>
    <mergeCell ref="C325:C326"/>
    <mergeCell ref="D325:D326"/>
    <mergeCell ref="E325:E326"/>
    <mergeCell ref="F325:F326"/>
    <mergeCell ref="A335:B336"/>
    <mergeCell ref="C335:C336"/>
    <mergeCell ref="D335:D336"/>
    <mergeCell ref="E335:E336"/>
    <mergeCell ref="F335:F336"/>
    <mergeCell ref="A337:B338"/>
    <mergeCell ref="C337:C338"/>
    <mergeCell ref="D337:D338"/>
    <mergeCell ref="E337:E338"/>
    <mergeCell ref="F337:F338"/>
    <mergeCell ref="A331:B332"/>
    <mergeCell ref="C331:C332"/>
    <mergeCell ref="D331:D332"/>
    <mergeCell ref="E331:E332"/>
    <mergeCell ref="F331:F332"/>
    <mergeCell ref="A333:B334"/>
    <mergeCell ref="C333:C334"/>
    <mergeCell ref="D333:D334"/>
    <mergeCell ref="E333:E334"/>
    <mergeCell ref="F333:F334"/>
    <mergeCell ref="A343:B344"/>
    <mergeCell ref="C343:C344"/>
    <mergeCell ref="D343:D344"/>
    <mergeCell ref="E343:E344"/>
    <mergeCell ref="F343:F344"/>
    <mergeCell ref="A345:B346"/>
    <mergeCell ref="C345:C346"/>
    <mergeCell ref="D345:D346"/>
    <mergeCell ref="E345:E346"/>
    <mergeCell ref="F345:F346"/>
    <mergeCell ref="A339:B340"/>
    <mergeCell ref="C339:C340"/>
    <mergeCell ref="D339:D340"/>
    <mergeCell ref="E339:E340"/>
    <mergeCell ref="F339:F340"/>
    <mergeCell ref="A341:B342"/>
    <mergeCell ref="C341:C342"/>
    <mergeCell ref="D341:D342"/>
    <mergeCell ref="E341:E342"/>
    <mergeCell ref="F341:F342"/>
    <mergeCell ref="A351:B352"/>
    <mergeCell ref="C351:C352"/>
    <mergeCell ref="D351:D352"/>
    <mergeCell ref="E351:E352"/>
    <mergeCell ref="F351:F352"/>
    <mergeCell ref="A353:B354"/>
    <mergeCell ref="C353:C354"/>
    <mergeCell ref="D353:D354"/>
    <mergeCell ref="E353:E354"/>
    <mergeCell ref="F353:F354"/>
    <mergeCell ref="A347:B348"/>
    <mergeCell ref="C347:C348"/>
    <mergeCell ref="D347:D348"/>
    <mergeCell ref="E347:E348"/>
    <mergeCell ref="F347:F348"/>
    <mergeCell ref="A349:B350"/>
    <mergeCell ref="C349:C350"/>
    <mergeCell ref="D349:D350"/>
    <mergeCell ref="E349:E350"/>
    <mergeCell ref="F349:F350"/>
    <mergeCell ref="A359:B360"/>
    <mergeCell ref="C359:C360"/>
    <mergeCell ref="D359:D360"/>
    <mergeCell ref="E359:E360"/>
    <mergeCell ref="F359:F360"/>
    <mergeCell ref="A361:B362"/>
    <mergeCell ref="C361:C362"/>
    <mergeCell ref="D361:D362"/>
    <mergeCell ref="E361:E362"/>
    <mergeCell ref="F361:F362"/>
    <mergeCell ref="A355:B356"/>
    <mergeCell ref="C355:C356"/>
    <mergeCell ref="D355:D356"/>
    <mergeCell ref="E355:E356"/>
    <mergeCell ref="F355:F356"/>
    <mergeCell ref="A357:B358"/>
    <mergeCell ref="C357:C358"/>
    <mergeCell ref="D357:D358"/>
    <mergeCell ref="E357:E358"/>
    <mergeCell ref="F357:F358"/>
    <mergeCell ref="A367:B368"/>
    <mergeCell ref="C367:C368"/>
    <mergeCell ref="D367:D368"/>
    <mergeCell ref="E367:E368"/>
    <mergeCell ref="F367:F368"/>
    <mergeCell ref="A369:B370"/>
    <mergeCell ref="C369:C370"/>
    <mergeCell ref="D369:D370"/>
    <mergeCell ref="E369:E370"/>
    <mergeCell ref="F369:F370"/>
    <mergeCell ref="A363:B364"/>
    <mergeCell ref="C363:C364"/>
    <mergeCell ref="D363:D364"/>
    <mergeCell ref="E363:E364"/>
    <mergeCell ref="F363:F364"/>
    <mergeCell ref="A365:B366"/>
    <mergeCell ref="C365:C366"/>
    <mergeCell ref="D365:D366"/>
    <mergeCell ref="E365:E366"/>
    <mergeCell ref="F365:F366"/>
    <mergeCell ref="A375:B376"/>
    <mergeCell ref="C375:C376"/>
    <mergeCell ref="D375:D376"/>
    <mergeCell ref="E375:E376"/>
    <mergeCell ref="F375:F376"/>
    <mergeCell ref="A377:B378"/>
    <mergeCell ref="C377:C378"/>
    <mergeCell ref="D377:D378"/>
    <mergeCell ref="E377:E378"/>
    <mergeCell ref="F377:F378"/>
    <mergeCell ref="A371:B372"/>
    <mergeCell ref="C371:C372"/>
    <mergeCell ref="D371:D372"/>
    <mergeCell ref="E371:E372"/>
    <mergeCell ref="F371:F372"/>
    <mergeCell ref="A373:B374"/>
    <mergeCell ref="C373:C374"/>
    <mergeCell ref="D373:D374"/>
    <mergeCell ref="E373:E374"/>
    <mergeCell ref="F373:F374"/>
  </mergeCells>
  <phoneticPr fontId="8"/>
  <conditionalFormatting sqref="I103:BF104 I107:BF108 I67:BF96 I13:BF28 I31:BF40 I8:BF10 I185:BF194 I196:BF240 J195:BF195 I242:BF286 J241:BF241 I288:BF332 J287:BF287 I334:BF402 J333:BF333">
    <cfRule type="expression" dxfId="13" priority="14">
      <formula>AND(H$8&lt;&gt;I$8,I$8=$O$2)</formula>
    </cfRule>
  </conditionalFormatting>
  <conditionalFormatting sqref="I41:BF66">
    <cfRule type="expression" dxfId="12" priority="13">
      <formula>AND(H$8&lt;&gt;I$8,I$8=$O$2)</formula>
    </cfRule>
  </conditionalFormatting>
  <conditionalFormatting sqref="I97:BF102">
    <cfRule type="expression" dxfId="11" priority="12">
      <formula>AND(H$8&lt;&gt;I$8,I$8=$O$2)</formula>
    </cfRule>
  </conditionalFormatting>
  <conditionalFormatting sqref="I105:BF106">
    <cfRule type="expression" dxfId="10" priority="11">
      <formula>AND(H$8&lt;&gt;I$8,I$8=$O$2)</formula>
    </cfRule>
  </conditionalFormatting>
  <conditionalFormatting sqref="I109:BF142">
    <cfRule type="expression" dxfId="9" priority="10">
      <formula>AND(H$8&lt;&gt;I$8,I$8=$O$2)</formula>
    </cfRule>
  </conditionalFormatting>
  <conditionalFormatting sqref="I143:BF148 I150:BF184 J149:BF149">
    <cfRule type="expression" dxfId="8" priority="9">
      <formula>AND(H$8&lt;&gt;I$8,I$8=$O$2)</formula>
    </cfRule>
  </conditionalFormatting>
  <conditionalFormatting sqref="I11:BF12">
    <cfRule type="expression" dxfId="7" priority="7">
      <formula>AND(H$8&lt;&gt;I$8,I$8=$O$2)</formula>
    </cfRule>
  </conditionalFormatting>
  <conditionalFormatting sqref="I29:BF30">
    <cfRule type="expression" dxfId="6" priority="6">
      <formula>AND(H$8&lt;&gt;I$8,I$8=$O$2)</formula>
    </cfRule>
  </conditionalFormatting>
  <conditionalFormatting sqref="I149">
    <cfRule type="expression" dxfId="5" priority="5">
      <formula>AND(H$8&lt;&gt;I$8,I$8=$O$2)</formula>
    </cfRule>
  </conditionalFormatting>
  <conditionalFormatting sqref="I195">
    <cfRule type="expression" dxfId="4" priority="4">
      <formula>AND(H$8&lt;&gt;I$8,I$8=$O$2)</formula>
    </cfRule>
  </conditionalFormatting>
  <conditionalFormatting sqref="I241">
    <cfRule type="expression" dxfId="3" priority="3">
      <formula>AND(H$8&lt;&gt;I$8,I$8=$O$2)</formula>
    </cfRule>
  </conditionalFormatting>
  <conditionalFormatting sqref="I287">
    <cfRule type="expression" dxfId="2" priority="2">
      <formula>AND(H$8&lt;&gt;I$8,I$8=$O$2)</formula>
    </cfRule>
  </conditionalFormatting>
  <conditionalFormatting sqref="I333">
    <cfRule type="expression" dxfId="1" priority="1">
      <formula>AND(H$8&lt;&gt;I$8,I$8=$O$2)</formula>
    </cfRule>
  </conditionalFormatting>
  <dataValidations count="1">
    <dataValidation type="list" allowBlank="1" showInputMessage="1" showErrorMessage="1" sqref="O2:P4" xr:uid="{00000000-0002-0000-0000-000000000000}">
      <formula1>基準週</formula1>
    </dataValidation>
  </dataValidations>
  <pageMargins left="0.70866141732283472" right="0.70866141732283472" top="0.74803149606299213" bottom="0.74803149606299213" header="0.31496062992125984" footer="0.31496062992125984"/>
  <pageSetup paperSize="8" scale="56" fitToHeight="0" orientation="landscape" r:id="rId1"/>
  <headerFooter>
    <oddFooter>&amp;L&amp;9TOMATO&amp;C&amp;10&amp;P／&amp;N&amp;R&amp;9Copyright (c) TOYOTSU SYSCOM CO., LTD. All Rights Reserved.</oddFooter>
  </headerFooter>
  <rowBreaks count="1" manualBreakCount="1">
    <brk id="120" max="16383" man="1"/>
  </rowBreak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BE1183"/>
  <sheetViews>
    <sheetView showGridLines="0" tabSelected="1" view="pageBreakPreview" zoomScaleNormal="100" zoomScaleSheetLayoutView="100" workbookViewId="0">
      <pane xSplit="9" ySplit="8" topLeftCell="S17" activePane="bottomRight" state="frozen"/>
      <selection pane="topRight" activeCell="J1" sqref="J1"/>
      <selection pane="bottomLeft" activeCell="A9" sqref="A9"/>
      <selection pane="bottomRight" activeCell="V19" sqref="V19"/>
    </sheetView>
  </sheetViews>
  <sheetFormatPr defaultColWidth="9" defaultRowHeight="12" outlineLevelCol="1"/>
  <cols>
    <col min="1" max="1" width="5.625" style="428" customWidth="1"/>
    <col min="2" max="2" width="8" style="36" customWidth="1"/>
    <col min="3" max="3" width="9.75" style="16" customWidth="1" outlineLevel="1"/>
    <col min="4" max="4" width="8.5" style="16" customWidth="1" outlineLevel="1"/>
    <col min="5" max="6" width="12.625" style="16" customWidth="1" outlineLevel="1"/>
    <col min="7" max="7" width="16.625" style="16" customWidth="1" outlineLevel="1"/>
    <col min="8" max="8" width="18.5" style="16" customWidth="1" outlineLevel="1"/>
    <col min="9" max="9" width="47" style="14" customWidth="1"/>
    <col min="10" max="10" width="7.125" style="14" bestFit="1" customWidth="1"/>
    <col min="11" max="11" width="8.75" style="16" customWidth="1"/>
    <col min="12" max="12" width="23.75" style="16" customWidth="1"/>
    <col min="13" max="13" width="9.75" style="16" customWidth="1"/>
    <col min="14" max="14" width="12" style="14" customWidth="1"/>
    <col min="15" max="15" width="9.625" style="56" bestFit="1" customWidth="1"/>
    <col min="16" max="16" width="8.5" style="14" customWidth="1"/>
    <col min="17" max="17" width="11.25" style="14" customWidth="1"/>
    <col min="18" max="18" width="8.5" style="16" customWidth="1"/>
    <col min="19" max="20" width="11.25" style="16" customWidth="1"/>
    <col min="21" max="21" width="9.75" style="16" customWidth="1"/>
    <col min="22" max="23" width="14.5" style="16" customWidth="1"/>
    <col min="24" max="24" width="16.5" style="16" customWidth="1"/>
    <col min="25" max="25" width="37.375" style="16" customWidth="1"/>
    <col min="26" max="26" width="17.125" style="16" customWidth="1"/>
    <col min="27" max="27" width="11.75" style="16" customWidth="1"/>
    <col min="28" max="28" width="12.875" style="16" customWidth="1"/>
    <col min="29" max="29" width="11.625" style="16" customWidth="1"/>
    <col min="30" max="30" width="38.125" style="16" customWidth="1"/>
    <col min="31" max="31" width="38.25" style="16" customWidth="1"/>
    <col min="32" max="32" width="8.5" style="16" customWidth="1"/>
    <col min="33" max="33" width="11.5" style="16" customWidth="1"/>
    <col min="34" max="34" width="8.5" style="16" customWidth="1"/>
    <col min="35" max="35" width="11.5" style="16" customWidth="1"/>
    <col min="36" max="36" width="8.5" style="16" bestFit="1" customWidth="1"/>
    <col min="37" max="37" width="8.5" style="16" customWidth="1"/>
    <col min="38" max="38" width="15.75" style="16" customWidth="1"/>
    <col min="39" max="39" width="14.125" style="16" bestFit="1" customWidth="1"/>
    <col min="40" max="40" width="2.75" style="16" customWidth="1"/>
    <col min="41" max="41" width="14" style="16" customWidth="1"/>
    <col min="42" max="47" width="9" style="16"/>
    <col min="48" max="48" width="13.125" style="339" customWidth="1"/>
    <col min="49" max="52" width="13.125" style="340" customWidth="1"/>
    <col min="53" max="53" width="13.125" style="341" customWidth="1"/>
    <col min="54" max="54" width="9" style="16"/>
    <col min="55" max="55" width="11.625" style="16" customWidth="1"/>
    <col min="56" max="56" width="5.375" style="16" customWidth="1"/>
    <col min="57" max="16384" width="9" style="16"/>
  </cols>
  <sheetData>
    <row r="1" spans="1:57" ht="19.5" customHeight="1">
      <c r="B1" s="34"/>
      <c r="D1" s="463" t="s">
        <v>700</v>
      </c>
      <c r="E1" s="463"/>
      <c r="F1" s="463"/>
      <c r="G1" s="463"/>
      <c r="H1" s="463"/>
      <c r="AL1" s="335" t="s">
        <v>590</v>
      </c>
      <c r="AM1" s="335">
        <f t="shared" ref="AM1:AM7" si="0">COUNTIF($AL$8:$AL$1183,$AL1)</f>
        <v>0</v>
      </c>
      <c r="AO1" s="338" t="s">
        <v>598</v>
      </c>
      <c r="AP1" s="335">
        <f>COUNTIF($AL$8:$AL$1183,$AO1)</f>
        <v>0</v>
      </c>
      <c r="AV1" s="16"/>
      <c r="AW1" s="16"/>
      <c r="AX1" s="16"/>
      <c r="AY1" s="16"/>
      <c r="AZ1" s="16"/>
      <c r="BA1" s="16"/>
    </row>
    <row r="2" spans="1:57" ht="14.25" customHeight="1">
      <c r="B2" s="35"/>
      <c r="C2" s="37"/>
      <c r="D2" s="37"/>
      <c r="E2" s="37"/>
      <c r="F2" s="37"/>
      <c r="G2" s="37"/>
      <c r="H2" s="37"/>
      <c r="I2" s="37"/>
      <c r="J2" s="37"/>
      <c r="K2" s="27"/>
      <c r="L2" s="27"/>
      <c r="M2" s="29"/>
      <c r="N2" s="332" t="s">
        <v>427</v>
      </c>
      <c r="O2" s="334">
        <f>COUNTIF($N$9:$N$1183,$N2)</f>
        <v>0</v>
      </c>
      <c r="P2" s="37"/>
      <c r="Q2" s="37"/>
      <c r="R2" s="37"/>
      <c r="S2" s="37"/>
      <c r="T2" s="37"/>
      <c r="U2" s="37"/>
      <c r="V2" s="31"/>
      <c r="W2" s="31"/>
      <c r="X2" s="31"/>
      <c r="Y2" s="31"/>
      <c r="Z2" s="29"/>
      <c r="AA2" s="29"/>
      <c r="AB2" s="25"/>
      <c r="AC2" s="25"/>
      <c r="AD2" s="25"/>
      <c r="AE2" s="25"/>
      <c r="AF2" s="25"/>
      <c r="AG2" s="25"/>
      <c r="AH2" s="211"/>
      <c r="AI2" s="455" t="s">
        <v>136</v>
      </c>
      <c r="AJ2" s="456"/>
      <c r="AK2" s="448"/>
      <c r="AL2" s="16" t="s">
        <v>589</v>
      </c>
      <c r="AM2" s="16">
        <f t="shared" si="0"/>
        <v>0</v>
      </c>
      <c r="AO2" s="338" t="s">
        <v>599</v>
      </c>
      <c r="AP2" s="335">
        <f>COUNTIF($AL$8:$AL$1183,$AO2)</f>
        <v>0</v>
      </c>
      <c r="AV2" s="16"/>
      <c r="AW2" s="16"/>
      <c r="AX2" s="16"/>
      <c r="AY2" s="16"/>
      <c r="AZ2" s="16"/>
      <c r="BA2" s="16"/>
      <c r="BB2" s="331" t="s">
        <v>713</v>
      </c>
      <c r="BC2" s="331" t="s">
        <v>714</v>
      </c>
      <c r="BE2" s="136" t="s">
        <v>715</v>
      </c>
    </row>
    <row r="3" spans="1:57" ht="14.25" customHeight="1">
      <c r="B3" s="35"/>
      <c r="C3" s="37"/>
      <c r="D3" s="37"/>
      <c r="E3" s="37"/>
      <c r="F3" s="37"/>
      <c r="G3" s="37"/>
      <c r="H3" s="37"/>
      <c r="I3" s="37"/>
      <c r="J3" s="37"/>
      <c r="K3" s="27"/>
      <c r="L3" s="27"/>
      <c r="M3" s="29"/>
      <c r="N3" s="332" t="s">
        <v>295</v>
      </c>
      <c r="O3" s="334">
        <f>COUNTIF($N$9:$N$1183,$N3)</f>
        <v>1</v>
      </c>
      <c r="P3" s="37"/>
      <c r="Q3" s="37"/>
      <c r="R3" s="37"/>
      <c r="S3" s="37"/>
      <c r="T3" s="37"/>
      <c r="U3" s="37"/>
      <c r="V3" s="31"/>
      <c r="W3" s="31"/>
      <c r="X3" s="31"/>
      <c r="Y3" s="31"/>
      <c r="Z3" s="29"/>
      <c r="AA3" s="29"/>
      <c r="AB3" s="25"/>
      <c r="AC3" s="25"/>
      <c r="AD3" s="25"/>
      <c r="AE3" s="381"/>
      <c r="AF3" s="25"/>
      <c r="AG3" s="25"/>
      <c r="AH3" s="211"/>
      <c r="AI3" s="457">
        <f>'Test Management'!O2+6</f>
        <v>46145</v>
      </c>
      <c r="AJ3" s="458"/>
      <c r="AK3" s="449"/>
      <c r="AL3" s="16" t="s">
        <v>591</v>
      </c>
      <c r="AM3" s="16">
        <f t="shared" si="0"/>
        <v>0</v>
      </c>
      <c r="AV3" s="16"/>
      <c r="AW3" s="16"/>
      <c r="AX3" s="16"/>
      <c r="AY3" s="16"/>
      <c r="AZ3" s="16"/>
      <c r="BA3" s="16"/>
      <c r="BC3" s="331" t="s">
        <v>644</v>
      </c>
      <c r="BE3" s="136" t="s">
        <v>717</v>
      </c>
    </row>
    <row r="4" spans="1:57" ht="14.25" customHeight="1">
      <c r="B4" s="35"/>
      <c r="C4" s="38"/>
      <c r="D4" s="38"/>
      <c r="E4" s="39"/>
      <c r="F4" s="39"/>
      <c r="G4" s="39"/>
      <c r="H4" s="39"/>
      <c r="I4" s="38"/>
      <c r="J4" s="38"/>
      <c r="K4" s="28"/>
      <c r="L4" s="28"/>
      <c r="M4" s="29"/>
      <c r="N4" s="333" t="s">
        <v>426</v>
      </c>
      <c r="O4" s="334">
        <f>COUNTIF($N$9:$N$1183,$N4)</f>
        <v>1</v>
      </c>
      <c r="P4" s="38"/>
      <c r="Q4" s="38"/>
      <c r="R4" s="39"/>
      <c r="S4" s="39"/>
      <c r="T4" s="39"/>
      <c r="U4" s="39"/>
      <c r="V4" s="32"/>
      <c r="W4" s="32"/>
      <c r="X4" s="32"/>
      <c r="Y4" s="32"/>
      <c r="Z4" s="29"/>
      <c r="AA4" s="29"/>
      <c r="AB4" s="25"/>
      <c r="AC4" s="25"/>
      <c r="AD4" s="25"/>
      <c r="AE4" s="25"/>
      <c r="AF4" s="381"/>
      <c r="AG4" s="25"/>
      <c r="AH4" s="211"/>
      <c r="AI4" s="459"/>
      <c r="AJ4" s="460"/>
      <c r="AK4" s="449"/>
      <c r="AL4" s="16" t="s">
        <v>592</v>
      </c>
      <c r="AM4" s="16">
        <f t="shared" si="0"/>
        <v>0</v>
      </c>
      <c r="AV4" s="16"/>
      <c r="AW4" s="16"/>
      <c r="AX4" s="16"/>
      <c r="AY4" s="16"/>
      <c r="AZ4" s="16"/>
      <c r="BA4" s="16"/>
      <c r="BC4" s="16" t="s">
        <v>712</v>
      </c>
      <c r="BE4" s="136" t="s">
        <v>716</v>
      </c>
    </row>
    <row r="5" spans="1:57" ht="14.25">
      <c r="B5" s="35"/>
      <c r="C5" s="38"/>
      <c r="D5" s="38"/>
      <c r="E5" s="39"/>
      <c r="F5" s="39"/>
      <c r="G5" s="39"/>
      <c r="H5" s="39"/>
      <c r="I5" s="38"/>
      <c r="J5" s="38"/>
      <c r="K5" s="28"/>
      <c r="L5" s="28"/>
      <c r="M5" s="29"/>
      <c r="N5" s="333" t="s">
        <v>218</v>
      </c>
      <c r="O5" s="334">
        <f>COUNTIF($N$9:$N$1183,$N5)</f>
        <v>12</v>
      </c>
      <c r="P5" s="38"/>
      <c r="Q5" s="38"/>
      <c r="R5" s="39"/>
      <c r="S5" s="39"/>
      <c r="T5" s="39"/>
      <c r="U5" s="39"/>
      <c r="V5" s="32"/>
      <c r="W5" s="32"/>
      <c r="X5" s="32"/>
      <c r="Y5" s="32"/>
      <c r="Z5" s="29"/>
      <c r="AA5" s="29"/>
      <c r="AB5" s="26"/>
      <c r="AC5" s="26"/>
      <c r="AD5" s="26"/>
      <c r="AE5" s="26"/>
      <c r="AF5" s="26"/>
      <c r="AG5" s="26"/>
      <c r="AH5" s="214"/>
      <c r="AI5" s="461"/>
      <c r="AJ5" s="462"/>
      <c r="AK5" s="449"/>
      <c r="AL5" s="16" t="s">
        <v>593</v>
      </c>
      <c r="AM5" s="16">
        <f t="shared" si="0"/>
        <v>0</v>
      </c>
      <c r="AV5" s="16"/>
      <c r="AW5" s="16"/>
      <c r="AX5" s="16"/>
      <c r="AY5" s="16"/>
      <c r="AZ5" s="16"/>
      <c r="BA5" s="16"/>
    </row>
    <row r="6" spans="1:57" ht="13.5" customHeight="1">
      <c r="B6" s="35"/>
      <c r="C6" s="15"/>
      <c r="D6" s="15"/>
      <c r="E6" s="17"/>
      <c r="F6" s="17"/>
      <c r="G6" s="17"/>
      <c r="H6" s="17"/>
      <c r="I6" s="15"/>
      <c r="J6" s="15"/>
      <c r="K6" s="18"/>
      <c r="L6" s="374" t="s">
        <v>698</v>
      </c>
      <c r="N6" s="333" t="s">
        <v>595</v>
      </c>
      <c r="O6" s="334">
        <f>SUM(O2:O5)</f>
        <v>14</v>
      </c>
      <c r="P6" s="15"/>
      <c r="Q6" s="15"/>
      <c r="R6" s="15"/>
      <c r="S6" s="18"/>
      <c r="T6" s="18"/>
      <c r="U6" s="18"/>
      <c r="V6" s="18"/>
      <c r="W6" s="18"/>
      <c r="X6" s="18"/>
      <c r="Y6" s="18"/>
      <c r="AL6" s="16" t="s">
        <v>594</v>
      </c>
      <c r="AM6" s="16">
        <f t="shared" si="0"/>
        <v>0</v>
      </c>
      <c r="AV6" s="16"/>
      <c r="AW6" s="16"/>
      <c r="AX6" s="16"/>
      <c r="AY6" s="16"/>
      <c r="AZ6" s="16"/>
      <c r="BA6" s="16"/>
    </row>
    <row r="7" spans="1:57" ht="13.5" customHeight="1" thickBot="1">
      <c r="B7" s="35"/>
      <c r="C7" s="15"/>
      <c r="D7" s="15"/>
      <c r="E7" s="295" t="s">
        <v>486</v>
      </c>
      <c r="F7" s="295" t="s">
        <v>486</v>
      </c>
      <c r="G7" s="17"/>
      <c r="H7" s="295" t="s">
        <v>486</v>
      </c>
      <c r="I7" s="15"/>
      <c r="J7" s="295" t="s">
        <v>486</v>
      </c>
      <c r="K7" s="295" t="s">
        <v>486</v>
      </c>
      <c r="L7" s="295"/>
      <c r="N7" s="293" t="s">
        <v>485</v>
      </c>
      <c r="O7" s="293" t="s">
        <v>485</v>
      </c>
      <c r="P7" s="15"/>
      <c r="Q7" s="15"/>
      <c r="R7" s="15"/>
      <c r="S7" s="18"/>
      <c r="T7" s="295" t="s">
        <v>486</v>
      </c>
      <c r="U7" s="295" t="s">
        <v>486</v>
      </c>
      <c r="V7" s="295" t="s">
        <v>486</v>
      </c>
      <c r="W7" s="295" t="s">
        <v>486</v>
      </c>
      <c r="X7" s="295" t="s">
        <v>486</v>
      </c>
      <c r="Y7" s="18"/>
      <c r="AJ7" s="295" t="s">
        <v>486</v>
      </c>
      <c r="AK7" s="295"/>
      <c r="AL7" s="331" t="s">
        <v>597</v>
      </c>
      <c r="AM7" s="16">
        <f t="shared" si="0"/>
        <v>0</v>
      </c>
      <c r="AO7" s="136" t="s">
        <v>244</v>
      </c>
      <c r="AV7" s="344"/>
      <c r="AW7" s="344"/>
      <c r="AX7" s="344"/>
      <c r="AY7" s="344"/>
      <c r="AZ7" s="344"/>
      <c r="BA7" s="344"/>
    </row>
    <row r="8" spans="1:57" ht="27" customHeight="1">
      <c r="A8" s="429"/>
      <c r="B8" s="42" t="s">
        <v>152</v>
      </c>
      <c r="C8" s="43" t="s">
        <v>77</v>
      </c>
      <c r="D8" s="43" t="s">
        <v>74</v>
      </c>
      <c r="E8" s="43" t="s">
        <v>766</v>
      </c>
      <c r="F8" s="43" t="s">
        <v>767</v>
      </c>
      <c r="G8" s="44" t="s">
        <v>431</v>
      </c>
      <c r="H8" s="49" t="s">
        <v>662</v>
      </c>
      <c r="I8" s="45" t="s">
        <v>123</v>
      </c>
      <c r="J8" s="46" t="s">
        <v>76</v>
      </c>
      <c r="K8" s="44" t="s">
        <v>125</v>
      </c>
      <c r="L8" s="375" t="s">
        <v>699</v>
      </c>
      <c r="M8" s="43" t="s">
        <v>132</v>
      </c>
      <c r="N8" s="48" t="s">
        <v>160</v>
      </c>
      <c r="O8" s="83" t="s">
        <v>185</v>
      </c>
      <c r="P8" s="50" t="s">
        <v>153</v>
      </c>
      <c r="Q8" s="48" t="s">
        <v>154</v>
      </c>
      <c r="R8" s="43" t="s">
        <v>124</v>
      </c>
      <c r="S8" s="44" t="s">
        <v>133</v>
      </c>
      <c r="T8" s="49" t="s">
        <v>751</v>
      </c>
      <c r="U8" s="49" t="s">
        <v>181</v>
      </c>
      <c r="V8" s="43" t="s">
        <v>131</v>
      </c>
      <c r="W8" s="52" t="s">
        <v>768</v>
      </c>
      <c r="X8" s="52" t="s">
        <v>783</v>
      </c>
      <c r="Y8" s="47" t="s">
        <v>446</v>
      </c>
      <c r="Z8" s="51" t="s">
        <v>155</v>
      </c>
      <c r="AA8" s="52" t="s">
        <v>156</v>
      </c>
      <c r="AB8" s="52" t="s">
        <v>126</v>
      </c>
      <c r="AC8" s="43" t="s">
        <v>135</v>
      </c>
      <c r="AD8" s="43" t="s">
        <v>448</v>
      </c>
      <c r="AE8" s="47" t="s">
        <v>449</v>
      </c>
      <c r="AF8" s="53" t="s">
        <v>157</v>
      </c>
      <c r="AG8" s="52" t="s">
        <v>158</v>
      </c>
      <c r="AH8" s="43" t="s">
        <v>127</v>
      </c>
      <c r="AI8" s="43" t="s">
        <v>134</v>
      </c>
      <c r="AJ8" s="47" t="s">
        <v>128</v>
      </c>
      <c r="AK8" s="450" t="s">
        <v>852</v>
      </c>
      <c r="AL8" s="54" t="s">
        <v>117</v>
      </c>
      <c r="AM8" s="55" t="s">
        <v>118</v>
      </c>
      <c r="AO8" s="54" t="s">
        <v>374</v>
      </c>
      <c r="AP8" s="140" t="s">
        <v>375</v>
      </c>
      <c r="AQ8" s="141" t="s">
        <v>376</v>
      </c>
      <c r="AR8" s="141" t="s">
        <v>377</v>
      </c>
      <c r="AS8" s="140" t="s">
        <v>378</v>
      </c>
      <c r="AT8" s="184" t="s">
        <v>379</v>
      </c>
      <c r="AV8" s="342" t="s">
        <v>617</v>
      </c>
      <c r="AW8" s="343" t="s">
        <v>618</v>
      </c>
      <c r="AX8" s="343" t="s">
        <v>619</v>
      </c>
      <c r="AY8" s="343" t="s">
        <v>619</v>
      </c>
      <c r="AZ8" s="343" t="s">
        <v>643</v>
      </c>
      <c r="BA8" s="348" t="s">
        <v>657</v>
      </c>
    </row>
    <row r="9" spans="1:57" ht="134.25" customHeight="1">
      <c r="A9" s="429" t="s">
        <v>711</v>
      </c>
      <c r="B9" s="447">
        <v>1</v>
      </c>
      <c r="C9" s="203">
        <v>46156</v>
      </c>
      <c r="D9" s="301" t="s">
        <v>785</v>
      </c>
      <c r="E9" s="301" t="s">
        <v>754</v>
      </c>
      <c r="F9" s="301" t="s">
        <v>769</v>
      </c>
      <c r="G9" s="301" t="s">
        <v>786</v>
      </c>
      <c r="H9" s="302" t="s">
        <v>481</v>
      </c>
      <c r="I9" s="292" t="s">
        <v>787</v>
      </c>
      <c r="J9" s="61" t="s">
        <v>187</v>
      </c>
      <c r="K9" s="303" t="s">
        <v>190</v>
      </c>
      <c r="L9" s="303" t="s">
        <v>788</v>
      </c>
      <c r="M9" s="203">
        <v>46156</v>
      </c>
      <c r="N9" s="84" t="str">
        <f>IF($AI9&lt;&gt;"",Master!$N$37,IF($AC9&lt;&gt;"",Master!$N$38,IF($S9&lt;&gt;"",Master!$N$39,IF($C9&lt;&gt;"",Master!$N$40,Master!$N$41))))</f>
        <v>完了</v>
      </c>
      <c r="O9" s="202">
        <v>46156</v>
      </c>
      <c r="P9" s="65" t="s">
        <v>789</v>
      </c>
      <c r="Q9" s="203">
        <v>46156</v>
      </c>
      <c r="R9" s="330" t="s">
        <v>789</v>
      </c>
      <c r="S9" s="203">
        <v>46156</v>
      </c>
      <c r="T9" s="310" t="s">
        <v>790</v>
      </c>
      <c r="U9" s="304" t="s">
        <v>791</v>
      </c>
      <c r="V9" s="303" t="s">
        <v>733</v>
      </c>
      <c r="W9" s="306" t="s">
        <v>804</v>
      </c>
      <c r="X9" s="306"/>
      <c r="Y9" s="305" t="s">
        <v>870</v>
      </c>
      <c r="Z9" s="303" t="s">
        <v>789</v>
      </c>
      <c r="AA9" s="203">
        <v>46156</v>
      </c>
      <c r="AB9" s="372" t="s">
        <v>789</v>
      </c>
      <c r="AC9" s="203">
        <v>46156</v>
      </c>
      <c r="AD9" s="307" t="s">
        <v>806</v>
      </c>
      <c r="AE9" s="308" t="s">
        <v>807</v>
      </c>
      <c r="AF9" s="309" t="s">
        <v>810</v>
      </c>
      <c r="AG9" s="310">
        <v>46163</v>
      </c>
      <c r="AH9" s="330" t="s">
        <v>810</v>
      </c>
      <c r="AI9" s="203">
        <v>46163</v>
      </c>
      <c r="AJ9" s="311" t="s">
        <v>483</v>
      </c>
      <c r="AK9" s="451"/>
      <c r="AL9" s="373"/>
      <c r="AM9" s="60"/>
      <c r="AO9" s="137" t="e">
        <f t="shared" ref="AO9:AO72" si="1">IF(AND(C9&lt;&gt;"",C9&lt;=$AI$3),IF(E9="","",E9),NA())</f>
        <v>#N/A</v>
      </c>
      <c r="AP9" s="138" t="e">
        <f t="shared" ref="AP9:AP72" si="2">IF(AND(C9&lt;&gt;"",C9&lt;=$AI$3),IF(F9="","",F9),NA())</f>
        <v>#N/A</v>
      </c>
      <c r="AQ9" s="138" t="e">
        <f t="shared" ref="AQ9:AQ72" si="3">IF(AND(C9&lt;&gt;"",C9&lt;=$AI$3),IF(H9="","",H9),NA())</f>
        <v>#N/A</v>
      </c>
      <c r="AR9" s="138" t="e">
        <f t="shared" ref="AR9:AR72" si="4">IF(AND(C9&lt;&gt;"",C9&lt;=$AI$3),IF(U9="","",U9),NA())</f>
        <v>#N/A</v>
      </c>
      <c r="AS9" s="138" t="e">
        <f t="shared" ref="AS9:AS72" si="5">IF(AND(C9&lt;&gt;"",C9&lt;=$AI$3),IF(V9="","",V9),NA())</f>
        <v>#N/A</v>
      </c>
      <c r="AT9" s="139" t="e">
        <f t="shared" ref="AT9:AT73" si="6">IF(AND(C9&lt;&gt;"",C9&lt;=$AI$3),IF(AB9="","",AB9),NA())</f>
        <v>#N/A</v>
      </c>
      <c r="BB9" s="16" t="s">
        <v>596</v>
      </c>
    </row>
    <row r="10" spans="1:57" ht="102.75" customHeight="1">
      <c r="A10" s="428">
        <v>2</v>
      </c>
      <c r="B10" s="447">
        <v>2</v>
      </c>
      <c r="C10" s="203">
        <v>46156</v>
      </c>
      <c r="D10" s="301" t="s">
        <v>785</v>
      </c>
      <c r="E10" s="301" t="s">
        <v>754</v>
      </c>
      <c r="F10" s="301" t="s">
        <v>769</v>
      </c>
      <c r="G10" s="315" t="s">
        <v>792</v>
      </c>
      <c r="H10" s="302" t="s">
        <v>475</v>
      </c>
      <c r="I10" s="292" t="s">
        <v>793</v>
      </c>
      <c r="J10" s="61" t="s">
        <v>187</v>
      </c>
      <c r="K10" s="303" t="s">
        <v>190</v>
      </c>
      <c r="L10" s="303" t="s">
        <v>809</v>
      </c>
      <c r="M10" s="203">
        <v>46162</v>
      </c>
      <c r="N10" s="84" t="str">
        <f>IF($AI10&lt;&gt;"",Master!$N$37,IF($AC10&lt;&gt;"",Master!$N$38,IF($S10&lt;&gt;"",Master!$N$39,IF($C10&lt;&gt;"",Master!$N$40,Master!$N$41))))</f>
        <v>完了</v>
      </c>
      <c r="O10" s="202">
        <v>46162</v>
      </c>
      <c r="P10" s="65" t="s">
        <v>810</v>
      </c>
      <c r="Q10" s="203">
        <v>46162</v>
      </c>
      <c r="R10" s="303" t="s">
        <v>789</v>
      </c>
      <c r="S10" s="203">
        <v>46162</v>
      </c>
      <c r="T10" s="310" t="s">
        <v>790</v>
      </c>
      <c r="U10" s="304" t="s">
        <v>791</v>
      </c>
      <c r="V10" s="303" t="s">
        <v>733</v>
      </c>
      <c r="W10" s="306" t="s">
        <v>804</v>
      </c>
      <c r="X10" s="306"/>
      <c r="Y10" s="305" t="s">
        <v>794</v>
      </c>
      <c r="Z10" s="303" t="s">
        <v>810</v>
      </c>
      <c r="AA10" s="203">
        <v>46162</v>
      </c>
      <c r="AB10" s="306" t="s">
        <v>789</v>
      </c>
      <c r="AC10" s="203">
        <v>46162</v>
      </c>
      <c r="AD10" s="307" t="s">
        <v>806</v>
      </c>
      <c r="AE10" s="308" t="s">
        <v>808</v>
      </c>
      <c r="AF10" s="309" t="s">
        <v>810</v>
      </c>
      <c r="AG10" s="310">
        <v>46163</v>
      </c>
      <c r="AH10" s="303" t="s">
        <v>810</v>
      </c>
      <c r="AI10" s="203">
        <v>46163</v>
      </c>
      <c r="AJ10" s="311" t="s">
        <v>483</v>
      </c>
      <c r="AK10" s="451"/>
      <c r="AL10" s="329"/>
      <c r="AM10" s="60"/>
      <c r="AO10" s="137" t="e">
        <f t="shared" si="1"/>
        <v>#N/A</v>
      </c>
      <c r="AP10" s="138" t="e">
        <f t="shared" si="2"/>
        <v>#N/A</v>
      </c>
      <c r="AQ10" s="138" t="e">
        <f t="shared" si="3"/>
        <v>#N/A</v>
      </c>
      <c r="AR10" s="138" t="e">
        <f t="shared" si="4"/>
        <v>#N/A</v>
      </c>
      <c r="AS10" s="138" t="e">
        <f t="shared" si="5"/>
        <v>#N/A</v>
      </c>
      <c r="AT10" s="139" t="e">
        <f t="shared" si="6"/>
        <v>#N/A</v>
      </c>
      <c r="BB10" s="16" t="s">
        <v>596</v>
      </c>
    </row>
    <row r="11" spans="1:57" ht="102.75" customHeight="1">
      <c r="A11" s="428">
        <f>A10+1</f>
        <v>3</v>
      </c>
      <c r="B11" s="447">
        <v>3</v>
      </c>
      <c r="C11" s="203">
        <v>46160</v>
      </c>
      <c r="D11" s="301" t="s">
        <v>795</v>
      </c>
      <c r="E11" s="301" t="s">
        <v>754</v>
      </c>
      <c r="F11" s="301" t="s">
        <v>769</v>
      </c>
      <c r="G11" s="301" t="s">
        <v>796</v>
      </c>
      <c r="H11" s="302" t="s">
        <v>482</v>
      </c>
      <c r="I11" s="292" t="s">
        <v>856</v>
      </c>
      <c r="J11" s="61" t="s">
        <v>188</v>
      </c>
      <c r="K11" s="303" t="s">
        <v>190</v>
      </c>
      <c r="L11" s="303"/>
      <c r="M11" s="203">
        <v>46164</v>
      </c>
      <c r="N11" s="84" t="str">
        <f>IF($AI11&lt;&gt;"",Master!$N$37,IF($AC11&lt;&gt;"",Master!$N$38,IF($S11&lt;&gt;"",Master!$N$39,IF($C11&lt;&gt;"",Master!$N$40,Master!$N$41))))</f>
        <v>完了</v>
      </c>
      <c r="O11" s="202" t="s">
        <v>596</v>
      </c>
      <c r="P11" s="65" t="s">
        <v>836</v>
      </c>
      <c r="Q11" s="203"/>
      <c r="R11" s="301"/>
      <c r="S11" s="203"/>
      <c r="T11" s="310" t="s">
        <v>651</v>
      </c>
      <c r="U11" s="304"/>
      <c r="V11" s="303"/>
      <c r="W11" s="306"/>
      <c r="X11" s="306"/>
      <c r="Y11" s="305" t="s">
        <v>880</v>
      </c>
      <c r="Z11" s="306" t="s">
        <v>836</v>
      </c>
      <c r="AA11" s="203">
        <v>46164</v>
      </c>
      <c r="AB11" s="306"/>
      <c r="AC11" s="203"/>
      <c r="AD11" s="307"/>
      <c r="AE11" s="308"/>
      <c r="AF11" s="309"/>
      <c r="AG11" s="310"/>
      <c r="AH11" s="303" t="s">
        <v>810</v>
      </c>
      <c r="AI11" s="203">
        <v>46168</v>
      </c>
      <c r="AJ11" s="311"/>
      <c r="AK11" s="451"/>
      <c r="AL11" s="329"/>
      <c r="AM11" s="60"/>
      <c r="AO11" s="137" t="e">
        <f t="shared" si="1"/>
        <v>#N/A</v>
      </c>
      <c r="AP11" s="138" t="e">
        <f t="shared" si="2"/>
        <v>#N/A</v>
      </c>
      <c r="AQ11" s="138" t="e">
        <f t="shared" si="3"/>
        <v>#N/A</v>
      </c>
      <c r="AR11" s="138" t="e">
        <f t="shared" si="4"/>
        <v>#N/A</v>
      </c>
      <c r="AS11" s="138" t="e">
        <f t="shared" si="5"/>
        <v>#N/A</v>
      </c>
      <c r="AT11" s="139" t="e">
        <f t="shared" si="6"/>
        <v>#N/A</v>
      </c>
      <c r="BB11" s="16" t="s">
        <v>596</v>
      </c>
    </row>
    <row r="12" spans="1:57" ht="72" customHeight="1">
      <c r="A12" s="428">
        <f t="shared" ref="A12:A75" si="7">A11+1</f>
        <v>4</v>
      </c>
      <c r="B12" s="447">
        <v>4</v>
      </c>
      <c r="C12" s="203">
        <v>46160</v>
      </c>
      <c r="D12" s="301" t="s">
        <v>795</v>
      </c>
      <c r="E12" s="301" t="s">
        <v>754</v>
      </c>
      <c r="F12" s="301" t="s">
        <v>769</v>
      </c>
      <c r="G12" s="301" t="s">
        <v>797</v>
      </c>
      <c r="H12" s="302" t="s">
        <v>482</v>
      </c>
      <c r="I12" s="292" t="s">
        <v>857</v>
      </c>
      <c r="J12" s="61" t="s">
        <v>188</v>
      </c>
      <c r="K12" s="303" t="s">
        <v>190</v>
      </c>
      <c r="L12" s="303"/>
      <c r="M12" s="203">
        <v>46163</v>
      </c>
      <c r="N12" s="84" t="str">
        <f>IF($AI12&lt;&gt;"",Master!$N$37,IF($AC12&lt;&gt;"",Master!$N$38,IF($S12&lt;&gt;"",Master!$N$39,IF($C12&lt;&gt;"",Master!$N$40,Master!$N$41))))</f>
        <v>完了</v>
      </c>
      <c r="O12" s="202" t="s">
        <v>596</v>
      </c>
      <c r="P12" s="65" t="s">
        <v>836</v>
      </c>
      <c r="Q12" s="203"/>
      <c r="R12" s="301"/>
      <c r="S12" s="203"/>
      <c r="T12" s="310" t="s">
        <v>651</v>
      </c>
      <c r="U12" s="304" t="s">
        <v>721</v>
      </c>
      <c r="V12" s="303" t="s">
        <v>727</v>
      </c>
      <c r="W12" s="306" t="s">
        <v>804</v>
      </c>
      <c r="X12" s="306"/>
      <c r="Y12" s="305" t="s">
        <v>877</v>
      </c>
      <c r="Z12" s="306" t="s">
        <v>882</v>
      </c>
      <c r="AA12" s="203">
        <v>46164</v>
      </c>
      <c r="AB12" s="306"/>
      <c r="AC12" s="203"/>
      <c r="AD12" s="307"/>
      <c r="AE12" s="308" t="s">
        <v>883</v>
      </c>
      <c r="AF12" s="309"/>
      <c r="AG12" s="310"/>
      <c r="AH12" s="303" t="s">
        <v>810</v>
      </c>
      <c r="AI12" s="203">
        <v>46168</v>
      </c>
      <c r="AJ12" s="311"/>
      <c r="AK12" s="451"/>
      <c r="AL12" s="329"/>
      <c r="AM12" s="60"/>
      <c r="AO12" s="137" t="e">
        <f t="shared" si="1"/>
        <v>#N/A</v>
      </c>
      <c r="AP12" s="138" t="e">
        <f t="shared" si="2"/>
        <v>#N/A</v>
      </c>
      <c r="AQ12" s="138" t="e">
        <f t="shared" si="3"/>
        <v>#N/A</v>
      </c>
      <c r="AR12" s="138" t="e">
        <f t="shared" si="4"/>
        <v>#N/A</v>
      </c>
      <c r="AS12" s="138" t="e">
        <f t="shared" si="5"/>
        <v>#N/A</v>
      </c>
      <c r="AT12" s="139" t="e">
        <f t="shared" si="6"/>
        <v>#N/A</v>
      </c>
      <c r="BB12" s="16" t="s">
        <v>596</v>
      </c>
    </row>
    <row r="13" spans="1:57" ht="102.75" customHeight="1">
      <c r="A13" s="428">
        <f t="shared" si="7"/>
        <v>5</v>
      </c>
      <c r="B13" s="447">
        <v>5</v>
      </c>
      <c r="C13" s="203">
        <v>46160</v>
      </c>
      <c r="D13" s="301" t="s">
        <v>795</v>
      </c>
      <c r="E13" s="301" t="s">
        <v>754</v>
      </c>
      <c r="F13" s="301" t="s">
        <v>769</v>
      </c>
      <c r="G13" s="301" t="s">
        <v>786</v>
      </c>
      <c r="H13" s="302" t="s">
        <v>482</v>
      </c>
      <c r="I13" s="292" t="s">
        <v>855</v>
      </c>
      <c r="J13" s="61" t="s">
        <v>188</v>
      </c>
      <c r="K13" s="303" t="s">
        <v>190</v>
      </c>
      <c r="L13" s="303"/>
      <c r="M13" s="203">
        <v>46164</v>
      </c>
      <c r="N13" s="84" t="str">
        <f>IF($AI13&lt;&gt;"",Master!$N$37,IF($AC13&lt;&gt;"",Master!$N$38,IF($S13&lt;&gt;"",Master!$N$39,IF($C13&lt;&gt;"",Master!$N$40,Master!$N$41))))</f>
        <v>完了</v>
      </c>
      <c r="O13" s="202" t="s">
        <v>596</v>
      </c>
      <c r="P13" s="65" t="s">
        <v>836</v>
      </c>
      <c r="Q13" s="203"/>
      <c r="R13" s="301"/>
      <c r="S13" s="203"/>
      <c r="T13" s="310" t="s">
        <v>651</v>
      </c>
      <c r="U13" s="304"/>
      <c r="V13" s="303"/>
      <c r="W13" s="306"/>
      <c r="X13" s="306"/>
      <c r="Y13" s="305" t="s">
        <v>880</v>
      </c>
      <c r="Z13" s="303" t="s">
        <v>836</v>
      </c>
      <c r="AA13" s="203">
        <v>46164</v>
      </c>
      <c r="AB13" s="306"/>
      <c r="AC13" s="203"/>
      <c r="AD13" s="307"/>
      <c r="AE13" s="308"/>
      <c r="AF13" s="309"/>
      <c r="AG13" s="310"/>
      <c r="AH13" s="303" t="s">
        <v>810</v>
      </c>
      <c r="AI13" s="203">
        <v>46168</v>
      </c>
      <c r="AJ13" s="311"/>
      <c r="AK13" s="451"/>
      <c r="AL13" s="329"/>
      <c r="AM13" s="60"/>
      <c r="AO13" s="137" t="e">
        <f t="shared" si="1"/>
        <v>#N/A</v>
      </c>
      <c r="AP13" s="138" t="e">
        <f t="shared" si="2"/>
        <v>#N/A</v>
      </c>
      <c r="AQ13" s="138" t="e">
        <f t="shared" si="3"/>
        <v>#N/A</v>
      </c>
      <c r="AR13" s="138" t="e">
        <f t="shared" si="4"/>
        <v>#N/A</v>
      </c>
      <c r="AS13" s="138" t="e">
        <f t="shared" si="5"/>
        <v>#N/A</v>
      </c>
      <c r="AT13" s="139" t="e">
        <f t="shared" si="6"/>
        <v>#N/A</v>
      </c>
      <c r="BB13" s="16" t="s">
        <v>596</v>
      </c>
    </row>
    <row r="14" spans="1:57" ht="125.25" customHeight="1">
      <c r="A14" s="428">
        <f t="shared" si="7"/>
        <v>6</v>
      </c>
      <c r="B14" s="447">
        <v>6</v>
      </c>
      <c r="C14" s="203">
        <v>46160</v>
      </c>
      <c r="D14" s="301" t="s">
        <v>795</v>
      </c>
      <c r="E14" s="301" t="s">
        <v>754</v>
      </c>
      <c r="F14" s="301" t="s">
        <v>811</v>
      </c>
      <c r="G14" s="301" t="s">
        <v>798</v>
      </c>
      <c r="H14" s="302" t="s">
        <v>482</v>
      </c>
      <c r="I14" s="292" t="s">
        <v>854</v>
      </c>
      <c r="J14" s="61" t="s">
        <v>188</v>
      </c>
      <c r="K14" s="303" t="s">
        <v>190</v>
      </c>
      <c r="L14" s="303"/>
      <c r="M14" s="203">
        <v>46163</v>
      </c>
      <c r="N14" s="84" t="str">
        <f>IF($AI14&lt;&gt;"",Master!$N$37,IF($AC14&lt;&gt;"",Master!$N$38,IF($S14&lt;&gt;"",Master!$N$39,IF($C14&lt;&gt;"",Master!$N$40,Master!$N$41))))</f>
        <v>完了</v>
      </c>
      <c r="O14" s="202" t="s">
        <v>596</v>
      </c>
      <c r="P14" s="65" t="s">
        <v>836</v>
      </c>
      <c r="Q14" s="203"/>
      <c r="R14" s="301"/>
      <c r="S14" s="203"/>
      <c r="T14" s="310" t="s">
        <v>651</v>
      </c>
      <c r="U14" s="304" t="s">
        <v>791</v>
      </c>
      <c r="V14" s="303" t="s">
        <v>878</v>
      </c>
      <c r="W14" s="306" t="s">
        <v>804</v>
      </c>
      <c r="X14" s="306"/>
      <c r="Y14" s="305" t="s">
        <v>877</v>
      </c>
      <c r="Z14" s="303" t="s">
        <v>882</v>
      </c>
      <c r="AA14" s="203">
        <v>46164</v>
      </c>
      <c r="AB14" s="306"/>
      <c r="AC14" s="203"/>
      <c r="AD14" s="307"/>
      <c r="AE14" s="308" t="s">
        <v>884</v>
      </c>
      <c r="AF14" s="309"/>
      <c r="AG14" s="310"/>
      <c r="AH14" s="303" t="s">
        <v>810</v>
      </c>
      <c r="AI14" s="203">
        <v>46168</v>
      </c>
      <c r="AJ14" s="311"/>
      <c r="AK14" s="451"/>
      <c r="AL14" s="329"/>
      <c r="AM14" s="60"/>
      <c r="AO14" s="137" t="e">
        <f t="shared" si="1"/>
        <v>#N/A</v>
      </c>
      <c r="AP14" s="138" t="e">
        <f t="shared" si="2"/>
        <v>#N/A</v>
      </c>
      <c r="AQ14" s="138" t="e">
        <f t="shared" si="3"/>
        <v>#N/A</v>
      </c>
      <c r="AR14" s="138" t="e">
        <f t="shared" si="4"/>
        <v>#N/A</v>
      </c>
      <c r="AS14" s="138" t="e">
        <f t="shared" si="5"/>
        <v>#N/A</v>
      </c>
      <c r="AT14" s="139" t="e">
        <f t="shared" si="6"/>
        <v>#N/A</v>
      </c>
      <c r="BB14" s="16" t="s">
        <v>596</v>
      </c>
    </row>
    <row r="15" spans="1:57" ht="102.75" customHeight="1">
      <c r="A15" s="428">
        <f t="shared" si="7"/>
        <v>7</v>
      </c>
      <c r="B15" s="447">
        <v>7</v>
      </c>
      <c r="C15" s="203">
        <v>46160</v>
      </c>
      <c r="D15" s="301" t="s">
        <v>799</v>
      </c>
      <c r="E15" s="301" t="s">
        <v>754</v>
      </c>
      <c r="F15" s="301" t="s">
        <v>769</v>
      </c>
      <c r="G15" s="301"/>
      <c r="H15" s="302" t="s">
        <v>482</v>
      </c>
      <c r="I15" s="292" t="s">
        <v>853</v>
      </c>
      <c r="J15" s="61" t="s">
        <v>189</v>
      </c>
      <c r="K15" s="303" t="s">
        <v>190</v>
      </c>
      <c r="L15" s="303"/>
      <c r="M15" s="203">
        <v>46164</v>
      </c>
      <c r="N15" s="84" t="str">
        <f>IF($AI15&lt;&gt;"",Master!$N$37,IF($AC15&lt;&gt;"",Master!$N$38,IF($S15&lt;&gt;"",Master!$N$39,IF($C15&lt;&gt;"",Master!$N$40,Master!$N$41))))</f>
        <v>完了</v>
      </c>
      <c r="O15" s="202" t="s">
        <v>596</v>
      </c>
      <c r="P15" s="65" t="s">
        <v>836</v>
      </c>
      <c r="Q15" s="203">
        <v>46164</v>
      </c>
      <c r="R15" s="301"/>
      <c r="S15" s="203">
        <v>46162</v>
      </c>
      <c r="T15" s="310" t="s">
        <v>651</v>
      </c>
      <c r="U15" s="304"/>
      <c r="V15" s="303"/>
      <c r="W15" s="306"/>
      <c r="X15" s="306"/>
      <c r="Y15" s="305" t="s">
        <v>879</v>
      </c>
      <c r="Z15" s="303" t="s">
        <v>836</v>
      </c>
      <c r="AA15" s="203">
        <v>46164</v>
      </c>
      <c r="AB15" s="306"/>
      <c r="AC15" s="203"/>
      <c r="AD15" s="307"/>
      <c r="AE15" s="308"/>
      <c r="AF15" s="309"/>
      <c r="AG15" s="310"/>
      <c r="AH15" s="303" t="s">
        <v>810</v>
      </c>
      <c r="AI15" s="203">
        <v>46168</v>
      </c>
      <c r="AJ15" s="311"/>
      <c r="AK15" s="451"/>
      <c r="AL15" s="329"/>
      <c r="AM15" s="60"/>
      <c r="AO15" s="137" t="e">
        <f t="shared" si="1"/>
        <v>#N/A</v>
      </c>
      <c r="AP15" s="138" t="e">
        <f t="shared" si="2"/>
        <v>#N/A</v>
      </c>
      <c r="AQ15" s="138" t="e">
        <f t="shared" si="3"/>
        <v>#N/A</v>
      </c>
      <c r="AR15" s="138" t="e">
        <f t="shared" si="4"/>
        <v>#N/A</v>
      </c>
      <c r="AS15" s="138" t="e">
        <f t="shared" si="5"/>
        <v>#N/A</v>
      </c>
      <c r="AT15" s="139" t="e">
        <f t="shared" si="6"/>
        <v>#N/A</v>
      </c>
      <c r="BB15" s="16" t="s">
        <v>596</v>
      </c>
    </row>
    <row r="16" spans="1:57" ht="167.25" customHeight="1">
      <c r="A16" s="428">
        <f t="shared" si="7"/>
        <v>8</v>
      </c>
      <c r="B16" s="447">
        <v>8</v>
      </c>
      <c r="C16" s="203">
        <v>46160</v>
      </c>
      <c r="D16" s="301" t="s">
        <v>799</v>
      </c>
      <c r="E16" s="301" t="s">
        <v>754</v>
      </c>
      <c r="F16" s="301" t="s">
        <v>769</v>
      </c>
      <c r="G16" s="301"/>
      <c r="H16" s="302" t="s">
        <v>482</v>
      </c>
      <c r="I16" s="292" t="s">
        <v>863</v>
      </c>
      <c r="J16" s="61" t="s">
        <v>187</v>
      </c>
      <c r="K16" s="303" t="s">
        <v>190</v>
      </c>
      <c r="L16" s="303"/>
      <c r="M16" s="203">
        <v>46164</v>
      </c>
      <c r="N16" s="84" t="str">
        <f>IF($AI16&lt;&gt;"",Master!$N$37,IF($AC16&lt;&gt;"",Master!$N$38,IF($S16&lt;&gt;"",Master!$N$39,IF($C16&lt;&gt;"",Master!$N$40,Master!$N$41))))</f>
        <v>検証待ち</v>
      </c>
      <c r="O16" s="202" t="s">
        <v>596</v>
      </c>
      <c r="P16" s="65" t="s">
        <v>865</v>
      </c>
      <c r="Q16" s="203">
        <v>46181</v>
      </c>
      <c r="R16" s="65" t="s">
        <v>865</v>
      </c>
      <c r="S16" s="203">
        <v>46181</v>
      </c>
      <c r="T16" s="310" t="s">
        <v>651</v>
      </c>
      <c r="U16" s="304" t="s">
        <v>803</v>
      </c>
      <c r="V16" s="303" t="s">
        <v>866</v>
      </c>
      <c r="W16" s="306" t="s">
        <v>804</v>
      </c>
      <c r="X16" s="306" t="s">
        <v>867</v>
      </c>
      <c r="Y16" s="305" t="s">
        <v>881</v>
      </c>
      <c r="Z16" s="65" t="s">
        <v>865</v>
      </c>
      <c r="AA16" s="203">
        <v>46182</v>
      </c>
      <c r="AB16" s="65" t="s">
        <v>865</v>
      </c>
      <c r="AC16" s="203">
        <v>46182</v>
      </c>
      <c r="AD16" s="307" t="s">
        <v>806</v>
      </c>
      <c r="AE16" s="308" t="s">
        <v>868</v>
      </c>
      <c r="AF16" s="309"/>
      <c r="AG16" s="310"/>
      <c r="AH16" s="303"/>
      <c r="AI16" s="203"/>
      <c r="AJ16" s="311"/>
      <c r="AK16" s="451"/>
      <c r="AL16" s="329"/>
      <c r="AM16" s="60"/>
      <c r="AO16" s="137" t="e">
        <f t="shared" si="1"/>
        <v>#N/A</v>
      </c>
      <c r="AP16" s="138" t="e">
        <f t="shared" si="2"/>
        <v>#N/A</v>
      </c>
      <c r="AQ16" s="138" t="e">
        <f t="shared" si="3"/>
        <v>#N/A</v>
      </c>
      <c r="AR16" s="138" t="e">
        <f t="shared" si="4"/>
        <v>#N/A</v>
      </c>
      <c r="AS16" s="138" t="e">
        <f t="shared" si="5"/>
        <v>#N/A</v>
      </c>
      <c r="AT16" s="139" t="e">
        <f t="shared" si="6"/>
        <v>#N/A</v>
      </c>
      <c r="BB16" s="16" t="s">
        <v>596</v>
      </c>
    </row>
    <row r="17" spans="1:54" ht="189.75" customHeight="1">
      <c r="A17" s="428">
        <f t="shared" si="7"/>
        <v>9</v>
      </c>
      <c r="B17" s="447">
        <v>9</v>
      </c>
      <c r="C17" s="203">
        <v>46160</v>
      </c>
      <c r="D17" s="301" t="s">
        <v>799</v>
      </c>
      <c r="E17" s="301" t="s">
        <v>754</v>
      </c>
      <c r="F17" s="301" t="s">
        <v>800</v>
      </c>
      <c r="G17" s="301"/>
      <c r="H17" s="302" t="s">
        <v>481</v>
      </c>
      <c r="I17" s="292" t="s">
        <v>801</v>
      </c>
      <c r="J17" s="61" t="s">
        <v>187</v>
      </c>
      <c r="K17" s="303" t="s">
        <v>190</v>
      </c>
      <c r="L17" s="303" t="s">
        <v>812</v>
      </c>
      <c r="M17" s="203">
        <v>46162</v>
      </c>
      <c r="N17" s="84" t="str">
        <f>IF($AI17&lt;&gt;"",Master!$N$37,IF($AC17&lt;&gt;"",Master!$N$38,IF($S17&lt;&gt;"",Master!$N$39,IF($C17&lt;&gt;"",Master!$N$40,Master!$N$41))))</f>
        <v>完了</v>
      </c>
      <c r="O17" s="202">
        <v>46162</v>
      </c>
      <c r="P17" s="65" t="s">
        <v>795</v>
      </c>
      <c r="Q17" s="203">
        <v>46162</v>
      </c>
      <c r="R17" s="303" t="s">
        <v>802</v>
      </c>
      <c r="S17" s="203">
        <v>46162</v>
      </c>
      <c r="T17" s="310" t="s">
        <v>651</v>
      </c>
      <c r="U17" s="304" t="s">
        <v>846</v>
      </c>
      <c r="V17" s="303" t="s">
        <v>871</v>
      </c>
      <c r="W17" s="306" t="s">
        <v>804</v>
      </c>
      <c r="X17" s="306"/>
      <c r="Y17" s="305" t="s">
        <v>872</v>
      </c>
      <c r="Z17" s="303" t="s">
        <v>795</v>
      </c>
      <c r="AA17" s="203">
        <v>46162</v>
      </c>
      <c r="AB17" s="306" t="s">
        <v>837</v>
      </c>
      <c r="AC17" s="203">
        <v>46162</v>
      </c>
      <c r="AD17" s="307" t="s">
        <v>805</v>
      </c>
      <c r="AE17" s="308" t="s">
        <v>835</v>
      </c>
      <c r="AF17" s="309" t="s">
        <v>837</v>
      </c>
      <c r="AG17" s="310">
        <v>46168</v>
      </c>
      <c r="AH17" s="303" t="s">
        <v>802</v>
      </c>
      <c r="AI17" s="203">
        <v>46168</v>
      </c>
      <c r="AJ17" s="311"/>
      <c r="AK17" s="451"/>
      <c r="AL17" s="329"/>
      <c r="AM17" s="60"/>
      <c r="AO17" s="137" t="e">
        <f t="shared" si="1"/>
        <v>#N/A</v>
      </c>
      <c r="AP17" s="138" t="e">
        <f t="shared" si="2"/>
        <v>#N/A</v>
      </c>
      <c r="AQ17" s="138" t="e">
        <f t="shared" si="3"/>
        <v>#N/A</v>
      </c>
      <c r="AR17" s="138" t="e">
        <f t="shared" si="4"/>
        <v>#N/A</v>
      </c>
      <c r="AS17" s="138" t="e">
        <f t="shared" si="5"/>
        <v>#N/A</v>
      </c>
      <c r="AT17" s="139" t="e">
        <f t="shared" si="6"/>
        <v>#N/A</v>
      </c>
      <c r="BB17" s="16" t="s">
        <v>596</v>
      </c>
    </row>
    <row r="18" spans="1:54" ht="129.75" customHeight="1">
      <c r="A18" s="428">
        <f t="shared" si="7"/>
        <v>10</v>
      </c>
      <c r="B18" s="447">
        <v>10</v>
      </c>
      <c r="C18" s="203">
        <v>46167</v>
      </c>
      <c r="D18" s="301" t="s">
        <v>830</v>
      </c>
      <c r="E18" s="301" t="s">
        <v>755</v>
      </c>
      <c r="F18" s="301" t="s">
        <v>842</v>
      </c>
      <c r="G18" s="301"/>
      <c r="H18" s="302" t="s">
        <v>481</v>
      </c>
      <c r="I18" s="292" t="s">
        <v>839</v>
      </c>
      <c r="J18" s="61" t="s">
        <v>187</v>
      </c>
      <c r="K18" s="303" t="s">
        <v>190</v>
      </c>
      <c r="L18" s="303" t="s">
        <v>833</v>
      </c>
      <c r="M18" s="203"/>
      <c r="N18" s="84" t="str">
        <f>IF($AI18&lt;&gt;"",Master!$N$37,IF($AC18&lt;&gt;"",Master!$N$38,IF($S18&lt;&gt;"",Master!$N$39,IF($C18&lt;&gt;"",Master!$N$40,Master!$N$41))))</f>
        <v>完了</v>
      </c>
      <c r="O18" s="202"/>
      <c r="P18" s="65" t="s">
        <v>830</v>
      </c>
      <c r="Q18" s="203">
        <v>46167</v>
      </c>
      <c r="R18" s="303" t="s">
        <v>831</v>
      </c>
      <c r="S18" s="203">
        <v>46167</v>
      </c>
      <c r="T18" s="310" t="s">
        <v>651</v>
      </c>
      <c r="U18" s="304" t="s">
        <v>720</v>
      </c>
      <c r="V18" s="303" t="s">
        <v>871</v>
      </c>
      <c r="W18" s="306" t="s">
        <v>804</v>
      </c>
      <c r="X18" s="306"/>
      <c r="Y18" s="305" t="s">
        <v>838</v>
      </c>
      <c r="Z18" s="303" t="s">
        <v>864</v>
      </c>
      <c r="AA18" s="203">
        <v>46176</v>
      </c>
      <c r="AB18" s="306" t="s">
        <v>864</v>
      </c>
      <c r="AC18" s="203">
        <v>46178</v>
      </c>
      <c r="AD18" s="307" t="s">
        <v>805</v>
      </c>
      <c r="AE18" s="308" t="s">
        <v>834</v>
      </c>
      <c r="AF18" s="309" t="s">
        <v>864</v>
      </c>
      <c r="AG18" s="310"/>
      <c r="AH18" s="303"/>
      <c r="AI18" s="203">
        <v>46176</v>
      </c>
      <c r="AJ18" s="311" t="s">
        <v>483</v>
      </c>
      <c r="AK18" s="451"/>
      <c r="AL18" s="329"/>
      <c r="AM18" s="60"/>
      <c r="AO18" s="137" t="e">
        <f t="shared" ref="AO18" si="8">IF(AND(C18&lt;&gt;"",C18&lt;=$AI$3),IF(E18="","",E18),NA())</f>
        <v>#N/A</v>
      </c>
      <c r="AP18" s="138" t="e">
        <f t="shared" ref="AP18" si="9">IF(AND(C18&lt;&gt;"",C18&lt;=$AI$3),IF(F18="","",F18),NA())</f>
        <v>#N/A</v>
      </c>
      <c r="AQ18" s="138" t="e">
        <f t="shared" ref="AQ18" si="10">IF(AND(C18&lt;&gt;"",C18&lt;=$AI$3),IF(H18="","",H18),NA())</f>
        <v>#N/A</v>
      </c>
      <c r="AR18" s="138" t="e">
        <f t="shared" ref="AR18" si="11">IF(AND(C18&lt;&gt;"",C18&lt;=$AI$3),IF(U18="","",U18),NA())</f>
        <v>#N/A</v>
      </c>
      <c r="AS18" s="138" t="e">
        <f t="shared" ref="AS18" si="12">IF(AND(C18&lt;&gt;"",C18&lt;=$AI$3),IF(V18="","",V18),NA())</f>
        <v>#N/A</v>
      </c>
      <c r="AT18" s="139" t="e">
        <f t="shared" ref="AT18" si="13">IF(AND(C18&lt;&gt;"",C18&lt;=$AI$3),IF(AB18="","",AB18),NA())</f>
        <v>#N/A</v>
      </c>
      <c r="BB18" s="16" t="s">
        <v>596</v>
      </c>
    </row>
    <row r="19" spans="1:54" ht="102.75" customHeight="1">
      <c r="A19" s="428">
        <f t="shared" si="7"/>
        <v>11</v>
      </c>
      <c r="B19" s="447">
        <v>11</v>
      </c>
      <c r="C19" s="203">
        <v>46167</v>
      </c>
      <c r="D19" s="301" t="s">
        <v>795</v>
      </c>
      <c r="E19" s="301" t="s">
        <v>755</v>
      </c>
      <c r="F19" s="301" t="s">
        <v>844</v>
      </c>
      <c r="G19" s="301"/>
      <c r="H19" s="302" t="s">
        <v>481</v>
      </c>
      <c r="I19" s="292" t="s">
        <v>832</v>
      </c>
      <c r="J19" s="61" t="s">
        <v>187</v>
      </c>
      <c r="K19" s="303" t="s">
        <v>190</v>
      </c>
      <c r="L19" s="303" t="s">
        <v>809</v>
      </c>
      <c r="M19" s="203">
        <v>46171</v>
      </c>
      <c r="N19" s="84" t="str">
        <f>IF($AI19&lt;&gt;"",Master!$N$37,IF($AC19&lt;&gt;"",Master!$N$38,IF($S19&lt;&gt;"",Master!$N$39,IF($C19&lt;&gt;"",Master!$N$40,Master!$N$41))))</f>
        <v>完了</v>
      </c>
      <c r="O19" s="202">
        <f>IF($N19=Master!$N$37,MAX($S19,$AC19,$AI19),"")</f>
        <v>46171</v>
      </c>
      <c r="P19" s="301" t="s">
        <v>795</v>
      </c>
      <c r="Q19" s="203">
        <v>46167</v>
      </c>
      <c r="R19" s="303" t="s">
        <v>837</v>
      </c>
      <c r="S19" s="203">
        <v>46167</v>
      </c>
      <c r="T19" s="310" t="s">
        <v>651</v>
      </c>
      <c r="U19" s="304" t="s">
        <v>719</v>
      </c>
      <c r="V19" s="303" t="s">
        <v>725</v>
      </c>
      <c r="W19" s="306" t="s">
        <v>804</v>
      </c>
      <c r="X19" s="306"/>
      <c r="Y19" s="305" t="s">
        <v>858</v>
      </c>
      <c r="Z19" s="303" t="s">
        <v>837</v>
      </c>
      <c r="AA19" s="203"/>
      <c r="AB19" s="306"/>
      <c r="AC19" s="203"/>
      <c r="AD19" s="307" t="s">
        <v>806</v>
      </c>
      <c r="AE19" s="308" t="s">
        <v>859</v>
      </c>
      <c r="AF19" s="309" t="s">
        <v>810</v>
      </c>
      <c r="AG19" s="310">
        <v>46171</v>
      </c>
      <c r="AH19" s="303" t="s">
        <v>810</v>
      </c>
      <c r="AI19" s="203">
        <v>46171</v>
      </c>
      <c r="AJ19" s="311" t="s">
        <v>483</v>
      </c>
      <c r="AK19" s="451" t="s">
        <v>850</v>
      </c>
      <c r="AL19" s="329"/>
      <c r="AM19" s="60"/>
      <c r="AO19" s="137" t="e">
        <f t="shared" si="1"/>
        <v>#N/A</v>
      </c>
      <c r="AP19" s="138" t="e">
        <f t="shared" si="2"/>
        <v>#N/A</v>
      </c>
      <c r="AQ19" s="138" t="e">
        <f t="shared" si="3"/>
        <v>#N/A</v>
      </c>
      <c r="AR19" s="138" t="e">
        <f t="shared" si="4"/>
        <v>#N/A</v>
      </c>
      <c r="AS19" s="138" t="e">
        <f t="shared" si="5"/>
        <v>#N/A</v>
      </c>
      <c r="AT19" s="139" t="e">
        <f t="shared" si="6"/>
        <v>#N/A</v>
      </c>
      <c r="BB19" s="16" t="s">
        <v>596</v>
      </c>
    </row>
    <row r="20" spans="1:54" ht="102.75" customHeight="1">
      <c r="A20" s="428">
        <f t="shared" si="7"/>
        <v>12</v>
      </c>
      <c r="B20" s="447">
        <v>12</v>
      </c>
      <c r="C20" s="203">
        <v>46167</v>
      </c>
      <c r="D20" s="301" t="s">
        <v>840</v>
      </c>
      <c r="E20" s="301" t="s">
        <v>755</v>
      </c>
      <c r="F20" s="301" t="s">
        <v>841</v>
      </c>
      <c r="G20" s="301"/>
      <c r="H20" s="302" t="s">
        <v>481</v>
      </c>
      <c r="I20" s="292" t="s">
        <v>847</v>
      </c>
      <c r="J20" s="61" t="s">
        <v>187</v>
      </c>
      <c r="K20" s="303" t="s">
        <v>190</v>
      </c>
      <c r="L20" s="303" t="s">
        <v>860</v>
      </c>
      <c r="M20" s="203">
        <v>46171</v>
      </c>
      <c r="N20" s="84" t="str">
        <f>IF($AI20&lt;&gt;"",Master!$N$37,IF($AC20&lt;&gt;"",Master!$N$38,IF($S20&lt;&gt;"",Master!$N$39,IF($C20&lt;&gt;"",Master!$N$40,Master!$N$41))))</f>
        <v>完了</v>
      </c>
      <c r="O20" s="202">
        <f>IF($N20=Master!$N$37,MAX($S20,$AC20,$AI20),"")</f>
        <v>46171</v>
      </c>
      <c r="P20" s="65" t="s">
        <v>840</v>
      </c>
      <c r="Q20" s="203">
        <v>46168</v>
      </c>
      <c r="R20" s="303" t="s">
        <v>845</v>
      </c>
      <c r="S20" s="203">
        <v>46168</v>
      </c>
      <c r="T20" s="310" t="s">
        <v>652</v>
      </c>
      <c r="U20" s="304" t="s">
        <v>846</v>
      </c>
      <c r="V20" s="303" t="s">
        <v>735</v>
      </c>
      <c r="W20" s="306" t="s">
        <v>804</v>
      </c>
      <c r="X20" s="306"/>
      <c r="Y20" s="305" t="s">
        <v>848</v>
      </c>
      <c r="Z20" s="303" t="s">
        <v>849</v>
      </c>
      <c r="AA20" s="203"/>
      <c r="AB20" s="306"/>
      <c r="AC20" s="203"/>
      <c r="AD20" s="307" t="s">
        <v>806</v>
      </c>
      <c r="AE20" s="308" t="s">
        <v>862</v>
      </c>
      <c r="AF20" s="309" t="s">
        <v>861</v>
      </c>
      <c r="AG20" s="310">
        <v>46171</v>
      </c>
      <c r="AH20" s="303" t="s">
        <v>861</v>
      </c>
      <c r="AI20" s="203">
        <v>46171</v>
      </c>
      <c r="AJ20" s="311" t="s">
        <v>483</v>
      </c>
      <c r="AK20" s="451" t="s">
        <v>851</v>
      </c>
      <c r="AL20" s="329"/>
      <c r="AM20" s="60"/>
      <c r="AO20" s="137" t="e">
        <f t="shared" si="1"/>
        <v>#N/A</v>
      </c>
      <c r="AP20" s="138" t="e">
        <f t="shared" si="2"/>
        <v>#N/A</v>
      </c>
      <c r="AQ20" s="138" t="e">
        <f t="shared" si="3"/>
        <v>#N/A</v>
      </c>
      <c r="AR20" s="138" t="e">
        <f t="shared" si="4"/>
        <v>#N/A</v>
      </c>
      <c r="AS20" s="138" t="e">
        <f t="shared" si="5"/>
        <v>#N/A</v>
      </c>
      <c r="AT20" s="139" t="e">
        <f t="shared" si="6"/>
        <v>#N/A</v>
      </c>
      <c r="BB20" s="16" t="s">
        <v>596</v>
      </c>
    </row>
    <row r="21" spans="1:54" ht="102.75" customHeight="1">
      <c r="A21" s="428">
        <f t="shared" si="7"/>
        <v>13</v>
      </c>
      <c r="B21" s="447">
        <v>13</v>
      </c>
      <c r="C21" s="203">
        <v>46170</v>
      </c>
      <c r="D21" s="301" t="s">
        <v>795</v>
      </c>
      <c r="E21" s="301" t="s">
        <v>754</v>
      </c>
      <c r="F21" s="301" t="s">
        <v>769</v>
      </c>
      <c r="G21" s="301"/>
      <c r="H21" s="302" t="s">
        <v>481</v>
      </c>
      <c r="I21" s="292" t="s">
        <v>873</v>
      </c>
      <c r="J21" s="61" t="s">
        <v>187</v>
      </c>
      <c r="K21" s="303" t="s">
        <v>190</v>
      </c>
      <c r="L21" s="303" t="s">
        <v>809</v>
      </c>
      <c r="M21" s="203"/>
      <c r="N21" s="84" t="str">
        <f>IF($AI21&lt;&gt;"",Master!$N$37,IF($AC21&lt;&gt;"",Master!$N$38,IF($S21&lt;&gt;"",Master!$N$39,IF($C21&lt;&gt;"",Master!$N$40,Master!$N$41))))</f>
        <v>完了</v>
      </c>
      <c r="O21" s="202">
        <f>IF($N21=Master!$N$37,MAX($S21,$AC21,$AI21),"")</f>
        <v>46170</v>
      </c>
      <c r="P21" s="301" t="s">
        <v>795</v>
      </c>
      <c r="Q21" s="203">
        <v>46170</v>
      </c>
      <c r="R21" s="301" t="s">
        <v>795</v>
      </c>
      <c r="S21" s="203">
        <v>46170</v>
      </c>
      <c r="T21" s="310" t="s">
        <v>651</v>
      </c>
      <c r="U21" s="304" t="s">
        <v>721</v>
      </c>
      <c r="V21" s="303" t="s">
        <v>744</v>
      </c>
      <c r="W21" s="306" t="s">
        <v>804</v>
      </c>
      <c r="X21" s="306"/>
      <c r="Y21" s="305" t="s">
        <v>874</v>
      </c>
      <c r="Z21" s="303" t="s">
        <v>837</v>
      </c>
      <c r="AA21" s="203">
        <v>46170</v>
      </c>
      <c r="AB21" s="301" t="s">
        <v>795</v>
      </c>
      <c r="AC21" s="203" t="s">
        <v>837</v>
      </c>
      <c r="AD21" s="307" t="s">
        <v>806</v>
      </c>
      <c r="AE21" s="308" t="s">
        <v>869</v>
      </c>
      <c r="AF21" s="301" t="s">
        <v>795</v>
      </c>
      <c r="AG21" s="203">
        <v>46170</v>
      </c>
      <c r="AH21" s="301" t="s">
        <v>795</v>
      </c>
      <c r="AI21" s="203">
        <v>46170</v>
      </c>
      <c r="AJ21" s="311" t="s">
        <v>483</v>
      </c>
      <c r="AK21" s="451"/>
      <c r="AL21" s="329"/>
      <c r="AM21" s="60"/>
      <c r="AO21" s="137" t="e">
        <f t="shared" si="1"/>
        <v>#N/A</v>
      </c>
      <c r="AP21" s="138" t="e">
        <f t="shared" si="2"/>
        <v>#N/A</v>
      </c>
      <c r="AQ21" s="138" t="e">
        <f t="shared" si="3"/>
        <v>#N/A</v>
      </c>
      <c r="AR21" s="138" t="e">
        <f t="shared" si="4"/>
        <v>#N/A</v>
      </c>
      <c r="AS21" s="138" t="e">
        <f t="shared" si="5"/>
        <v>#N/A</v>
      </c>
      <c r="AT21" s="139" t="e">
        <f t="shared" si="6"/>
        <v>#N/A</v>
      </c>
      <c r="BB21" s="16" t="s">
        <v>596</v>
      </c>
    </row>
    <row r="22" spans="1:54" ht="102.75" customHeight="1">
      <c r="A22" s="428">
        <f t="shared" si="7"/>
        <v>14</v>
      </c>
      <c r="B22" s="447">
        <v>14</v>
      </c>
      <c r="C22" s="203">
        <v>46170</v>
      </c>
      <c r="D22" s="301" t="s">
        <v>837</v>
      </c>
      <c r="E22" s="301" t="s">
        <v>755</v>
      </c>
      <c r="F22" s="301" t="s">
        <v>844</v>
      </c>
      <c r="G22" s="301"/>
      <c r="H22" s="302" t="s">
        <v>481</v>
      </c>
      <c r="I22" s="292" t="s">
        <v>875</v>
      </c>
      <c r="J22" s="61" t="s">
        <v>187</v>
      </c>
      <c r="K22" s="303" t="s">
        <v>190</v>
      </c>
      <c r="L22" s="303" t="s">
        <v>809</v>
      </c>
      <c r="M22" s="203"/>
      <c r="N22" s="84" t="str">
        <f>IF($AI22&lt;&gt;"",Master!$N$37,IF($AC22&lt;&gt;"",Master!$N$38,IF($S22&lt;&gt;"",Master!$N$39,IF($C22&lt;&gt;"",Master!$N$40,Master!$N$41))))</f>
        <v>修正待ち</v>
      </c>
      <c r="O22" s="202" t="str">
        <f>IF($N22=Master!$N$37,MAX($S22,$AC22,$AI22),"")</f>
        <v/>
      </c>
      <c r="P22" s="65" t="s">
        <v>837</v>
      </c>
      <c r="Q22" s="203">
        <v>46170</v>
      </c>
      <c r="R22" s="303" t="s">
        <v>837</v>
      </c>
      <c r="S22" s="203">
        <v>46170</v>
      </c>
      <c r="T22" s="310" t="s">
        <v>651</v>
      </c>
      <c r="U22" s="304" t="s">
        <v>803</v>
      </c>
      <c r="V22" s="303" t="s">
        <v>722</v>
      </c>
      <c r="W22" s="306" t="s">
        <v>804</v>
      </c>
      <c r="X22" s="306"/>
      <c r="Y22" s="305" t="s">
        <v>876</v>
      </c>
      <c r="Z22" s="303" t="s">
        <v>837</v>
      </c>
      <c r="AA22" s="203"/>
      <c r="AB22" s="306"/>
      <c r="AC22" s="203"/>
      <c r="AD22" s="307"/>
      <c r="AE22" s="308"/>
      <c r="AF22" s="309"/>
      <c r="AG22" s="310"/>
      <c r="AH22" s="303"/>
      <c r="AI22" s="203"/>
      <c r="AJ22" s="311"/>
      <c r="AK22" s="451"/>
      <c r="AL22" s="329"/>
      <c r="AM22" s="60"/>
      <c r="AO22" s="137" t="e">
        <f t="shared" si="1"/>
        <v>#N/A</v>
      </c>
      <c r="AP22" s="138" t="e">
        <f t="shared" si="2"/>
        <v>#N/A</v>
      </c>
      <c r="AQ22" s="138" t="e">
        <f t="shared" si="3"/>
        <v>#N/A</v>
      </c>
      <c r="AR22" s="138" t="e">
        <f t="shared" si="4"/>
        <v>#N/A</v>
      </c>
      <c r="AS22" s="138" t="e">
        <f t="shared" si="5"/>
        <v>#N/A</v>
      </c>
      <c r="AT22" s="139" t="e">
        <f t="shared" si="6"/>
        <v>#N/A</v>
      </c>
      <c r="BB22" s="16" t="s">
        <v>596</v>
      </c>
    </row>
    <row r="23" spans="1:54" ht="102.75" customHeight="1">
      <c r="A23" s="428">
        <f t="shared" si="7"/>
        <v>15</v>
      </c>
      <c r="B23" s="447"/>
      <c r="C23" s="203"/>
      <c r="D23" s="301"/>
      <c r="E23" s="301"/>
      <c r="F23" s="301"/>
      <c r="G23" s="301"/>
      <c r="H23" s="302"/>
      <c r="I23" s="292"/>
      <c r="J23" s="61"/>
      <c r="K23" s="303"/>
      <c r="L23" s="303"/>
      <c r="M23" s="203"/>
      <c r="N23" s="84" t="str">
        <f>IF($AI23&lt;&gt;"",Master!$N$37,IF($AC23&lt;&gt;"",Master!$N$38,IF($S23&lt;&gt;"",Master!$N$39,IF($C23&lt;&gt;"",Master!$N$40,Master!$N$41))))</f>
        <v>起票</v>
      </c>
      <c r="O23" s="202" t="str">
        <f>IF($N23=Master!$N$37,MAX($S23,$AC23,$AI23),"")</f>
        <v/>
      </c>
      <c r="P23" s="65"/>
      <c r="Q23" s="203"/>
      <c r="R23" s="303"/>
      <c r="S23" s="203"/>
      <c r="T23" s="310"/>
      <c r="U23" s="304"/>
      <c r="V23" s="303"/>
      <c r="W23" s="306"/>
      <c r="X23" s="306"/>
      <c r="Y23" s="305"/>
      <c r="Z23" s="303"/>
      <c r="AA23" s="203"/>
      <c r="AB23" s="306"/>
      <c r="AC23" s="203"/>
      <c r="AD23" s="307"/>
      <c r="AE23" s="308"/>
      <c r="AF23" s="309"/>
      <c r="AG23" s="310"/>
      <c r="AH23" s="303"/>
      <c r="AI23" s="203"/>
      <c r="AJ23" s="311"/>
      <c r="AK23" s="451"/>
      <c r="AL23" s="329"/>
      <c r="AM23" s="60"/>
      <c r="AO23" s="137" t="e">
        <f t="shared" si="1"/>
        <v>#N/A</v>
      </c>
      <c r="AP23" s="138" t="e">
        <f t="shared" si="2"/>
        <v>#N/A</v>
      </c>
      <c r="AQ23" s="138" t="e">
        <f t="shared" si="3"/>
        <v>#N/A</v>
      </c>
      <c r="AR23" s="138" t="e">
        <f t="shared" si="4"/>
        <v>#N/A</v>
      </c>
      <c r="AS23" s="138" t="e">
        <f t="shared" si="5"/>
        <v>#N/A</v>
      </c>
      <c r="AT23" s="139" t="e">
        <f t="shared" si="6"/>
        <v>#N/A</v>
      </c>
      <c r="BB23" s="16" t="s">
        <v>596</v>
      </c>
    </row>
    <row r="24" spans="1:54" ht="102.75" customHeight="1">
      <c r="A24" s="428">
        <f t="shared" si="7"/>
        <v>16</v>
      </c>
      <c r="B24" s="447"/>
      <c r="C24" s="203"/>
      <c r="D24" s="301"/>
      <c r="E24" s="301"/>
      <c r="F24" s="301"/>
      <c r="G24" s="301"/>
      <c r="H24" s="302"/>
      <c r="I24" s="292"/>
      <c r="J24" s="61"/>
      <c r="K24" s="303"/>
      <c r="L24" s="303"/>
      <c r="M24" s="203"/>
      <c r="N24" s="84" t="str">
        <f>IF($AI24&lt;&gt;"",Master!$N$37,IF($AC24&lt;&gt;"",Master!$N$38,IF($S24&lt;&gt;"",Master!$N$39,IF($C24&lt;&gt;"",Master!$N$40,Master!$N$41))))</f>
        <v>起票</v>
      </c>
      <c r="O24" s="202" t="str">
        <f>IF($N24=Master!$N$37,MAX($S24,$AC24,$AI24),"")</f>
        <v/>
      </c>
      <c r="P24" s="65"/>
      <c r="Q24" s="203"/>
      <c r="R24" s="303"/>
      <c r="S24" s="203"/>
      <c r="T24" s="310"/>
      <c r="U24" s="304"/>
      <c r="V24" s="303"/>
      <c r="W24" s="306"/>
      <c r="X24" s="306"/>
      <c r="Y24" s="305"/>
      <c r="Z24" s="303"/>
      <c r="AA24" s="203"/>
      <c r="AB24" s="306"/>
      <c r="AC24" s="203"/>
      <c r="AD24" s="307"/>
      <c r="AE24" s="308"/>
      <c r="AF24" s="309"/>
      <c r="AG24" s="310"/>
      <c r="AH24" s="303"/>
      <c r="AI24" s="203"/>
      <c r="AJ24" s="311"/>
      <c r="AK24" s="451"/>
      <c r="AL24" s="329"/>
      <c r="AM24" s="60"/>
      <c r="AO24" s="137" t="e">
        <f t="shared" si="1"/>
        <v>#N/A</v>
      </c>
      <c r="AP24" s="138" t="e">
        <f t="shared" si="2"/>
        <v>#N/A</v>
      </c>
      <c r="AQ24" s="138" t="e">
        <f t="shared" si="3"/>
        <v>#N/A</v>
      </c>
      <c r="AR24" s="138" t="e">
        <f t="shared" si="4"/>
        <v>#N/A</v>
      </c>
      <c r="AS24" s="138" t="e">
        <f t="shared" si="5"/>
        <v>#N/A</v>
      </c>
      <c r="AT24" s="139" t="e">
        <f t="shared" si="6"/>
        <v>#N/A</v>
      </c>
      <c r="BB24" s="16" t="s">
        <v>596</v>
      </c>
    </row>
    <row r="25" spans="1:54" ht="102.75" customHeight="1">
      <c r="A25" s="428">
        <f t="shared" si="7"/>
        <v>17</v>
      </c>
      <c r="B25" s="447"/>
      <c r="C25" s="203"/>
      <c r="D25" s="301"/>
      <c r="E25" s="301"/>
      <c r="F25" s="301"/>
      <c r="G25" s="301"/>
      <c r="H25" s="302"/>
      <c r="I25" s="292"/>
      <c r="J25" s="61"/>
      <c r="K25" s="303"/>
      <c r="L25" s="303"/>
      <c r="M25" s="203"/>
      <c r="N25" s="84" t="str">
        <f>IF($AI25&lt;&gt;"",Master!$N$37,IF($AC25&lt;&gt;"",Master!$N$38,IF($S25&lt;&gt;"",Master!$N$39,IF($C25&lt;&gt;"",Master!$N$40,Master!$N$41))))</f>
        <v>起票</v>
      </c>
      <c r="O25" s="202" t="str">
        <f>IF($N25=Master!$N$37,MAX($S25,$AC25,$AI25),"")</f>
        <v/>
      </c>
      <c r="P25" s="65"/>
      <c r="Q25" s="203"/>
      <c r="R25" s="303"/>
      <c r="S25" s="203"/>
      <c r="T25" s="310"/>
      <c r="U25" s="304"/>
      <c r="V25" s="303"/>
      <c r="W25" s="306"/>
      <c r="X25" s="306"/>
      <c r="Y25" s="305"/>
      <c r="Z25" s="303"/>
      <c r="AA25" s="203"/>
      <c r="AB25" s="306"/>
      <c r="AC25" s="203"/>
      <c r="AD25" s="307"/>
      <c r="AE25" s="308"/>
      <c r="AF25" s="309"/>
      <c r="AG25" s="310"/>
      <c r="AH25" s="330"/>
      <c r="AI25" s="203"/>
      <c r="AJ25" s="311"/>
      <c r="AK25" s="451"/>
      <c r="AL25" s="329"/>
      <c r="AM25" s="60"/>
      <c r="AO25" s="137" t="e">
        <f t="shared" si="1"/>
        <v>#N/A</v>
      </c>
      <c r="AP25" s="138" t="e">
        <f t="shared" si="2"/>
        <v>#N/A</v>
      </c>
      <c r="AQ25" s="138" t="e">
        <f t="shared" si="3"/>
        <v>#N/A</v>
      </c>
      <c r="AR25" s="138" t="e">
        <f t="shared" si="4"/>
        <v>#N/A</v>
      </c>
      <c r="AS25" s="138" t="e">
        <f t="shared" si="5"/>
        <v>#N/A</v>
      </c>
      <c r="AT25" s="139" t="e">
        <f t="shared" si="6"/>
        <v>#N/A</v>
      </c>
      <c r="BB25" s="16" t="s">
        <v>596</v>
      </c>
    </row>
    <row r="26" spans="1:54" ht="102.75" customHeight="1">
      <c r="A26" s="428">
        <f t="shared" si="7"/>
        <v>18</v>
      </c>
      <c r="B26" s="447"/>
      <c r="C26" s="203"/>
      <c r="D26" s="301"/>
      <c r="E26" s="301"/>
      <c r="F26" s="301"/>
      <c r="G26" s="301"/>
      <c r="H26" s="302"/>
      <c r="I26" s="292"/>
      <c r="J26" s="61"/>
      <c r="K26" s="303"/>
      <c r="L26" s="303"/>
      <c r="M26" s="203"/>
      <c r="N26" s="84" t="str">
        <f>IF($AI26&lt;&gt;"",Master!$N$37,IF($AC26&lt;&gt;"",Master!$N$38,IF($S26&lt;&gt;"",Master!$N$39,IF($C26&lt;&gt;"",Master!$N$40,Master!$N$41))))</f>
        <v>起票</v>
      </c>
      <c r="O26" s="202" t="str">
        <f>IF($N26=Master!$N$37,MAX($S26,$AC26,$AI26),"")</f>
        <v/>
      </c>
      <c r="P26" s="65"/>
      <c r="Q26" s="203"/>
      <c r="R26" s="303"/>
      <c r="S26" s="203"/>
      <c r="T26" s="310"/>
      <c r="U26" s="304"/>
      <c r="V26" s="303"/>
      <c r="W26" s="306"/>
      <c r="X26" s="306"/>
      <c r="Y26" s="305"/>
      <c r="Z26" s="303"/>
      <c r="AA26" s="203"/>
      <c r="AB26" s="306"/>
      <c r="AC26" s="203"/>
      <c r="AD26" s="307"/>
      <c r="AE26" s="308"/>
      <c r="AF26" s="309"/>
      <c r="AG26" s="310"/>
      <c r="AH26" s="303"/>
      <c r="AI26" s="203"/>
      <c r="AJ26" s="311"/>
      <c r="AK26" s="451"/>
      <c r="AL26" s="329"/>
      <c r="AM26" s="60"/>
      <c r="AO26" s="137" t="e">
        <f t="shared" si="1"/>
        <v>#N/A</v>
      </c>
      <c r="AP26" s="138" t="e">
        <f t="shared" si="2"/>
        <v>#N/A</v>
      </c>
      <c r="AQ26" s="138" t="e">
        <f t="shared" si="3"/>
        <v>#N/A</v>
      </c>
      <c r="AR26" s="138" t="e">
        <f t="shared" si="4"/>
        <v>#N/A</v>
      </c>
      <c r="AS26" s="138" t="e">
        <f t="shared" si="5"/>
        <v>#N/A</v>
      </c>
      <c r="AT26" s="139" t="e">
        <f t="shared" si="6"/>
        <v>#N/A</v>
      </c>
      <c r="BB26" s="16" t="s">
        <v>596</v>
      </c>
    </row>
    <row r="27" spans="1:54" ht="102.75" customHeight="1">
      <c r="A27" s="428">
        <f t="shared" si="7"/>
        <v>19</v>
      </c>
      <c r="B27" s="447"/>
      <c r="C27" s="203"/>
      <c r="D27" s="301"/>
      <c r="E27" s="301"/>
      <c r="F27" s="301"/>
      <c r="G27" s="301"/>
      <c r="H27" s="302"/>
      <c r="I27" s="292"/>
      <c r="J27" s="61"/>
      <c r="K27" s="303"/>
      <c r="L27" s="303"/>
      <c r="M27" s="203"/>
      <c r="N27" s="84" t="str">
        <f>IF($AI27&lt;&gt;"",Master!$N$37,IF($AC27&lt;&gt;"",Master!$N$38,IF($S27&lt;&gt;"",Master!$N$39,IF($C27&lt;&gt;"",Master!$N$40,Master!$N$41))))</f>
        <v>起票</v>
      </c>
      <c r="O27" s="202" t="str">
        <f>IF($N27=Master!$N$37,MAX($S27,$AC27,$AI27),"")</f>
        <v/>
      </c>
      <c r="P27" s="65"/>
      <c r="Q27" s="203"/>
      <c r="R27" s="303"/>
      <c r="S27" s="203"/>
      <c r="T27" s="310"/>
      <c r="U27" s="304"/>
      <c r="V27" s="303"/>
      <c r="W27" s="306"/>
      <c r="X27" s="306"/>
      <c r="Y27" s="305"/>
      <c r="Z27" s="303"/>
      <c r="AA27" s="203"/>
      <c r="AB27" s="306"/>
      <c r="AC27" s="203"/>
      <c r="AD27" s="307"/>
      <c r="AE27" s="308"/>
      <c r="AF27" s="309"/>
      <c r="AG27" s="310"/>
      <c r="AH27" s="303"/>
      <c r="AI27" s="203"/>
      <c r="AJ27" s="311"/>
      <c r="AK27" s="451"/>
      <c r="AL27" s="329"/>
      <c r="AM27" s="60"/>
      <c r="AO27" s="137" t="e">
        <f t="shared" si="1"/>
        <v>#N/A</v>
      </c>
      <c r="AP27" s="138" t="e">
        <f t="shared" si="2"/>
        <v>#N/A</v>
      </c>
      <c r="AQ27" s="138" t="e">
        <f t="shared" si="3"/>
        <v>#N/A</v>
      </c>
      <c r="AR27" s="138" t="e">
        <f t="shared" si="4"/>
        <v>#N/A</v>
      </c>
      <c r="AS27" s="138" t="e">
        <f t="shared" si="5"/>
        <v>#N/A</v>
      </c>
      <c r="AT27" s="139" t="e">
        <f t="shared" si="6"/>
        <v>#N/A</v>
      </c>
      <c r="BB27" s="16" t="s">
        <v>596</v>
      </c>
    </row>
    <row r="28" spans="1:54" ht="102.75" customHeight="1">
      <c r="A28" s="428">
        <f t="shared" si="7"/>
        <v>20</v>
      </c>
      <c r="B28" s="447"/>
      <c r="C28" s="203"/>
      <c r="D28" s="301"/>
      <c r="E28" s="301"/>
      <c r="F28" s="301"/>
      <c r="G28" s="301"/>
      <c r="H28" s="302"/>
      <c r="I28" s="292"/>
      <c r="J28" s="61"/>
      <c r="K28" s="303"/>
      <c r="L28" s="303"/>
      <c r="M28" s="203"/>
      <c r="N28" s="84" t="str">
        <f>IF($AI28&lt;&gt;"",Master!$N$37,IF($AC28&lt;&gt;"",Master!$N$38,IF($S28&lt;&gt;"",Master!$N$39,IF($C28&lt;&gt;"",Master!$N$40,Master!$N$41))))</f>
        <v>起票</v>
      </c>
      <c r="O28" s="202" t="str">
        <f>IF($N28=Master!$N$37,MAX($S28,$AC28,$AI28),"")</f>
        <v/>
      </c>
      <c r="P28" s="65"/>
      <c r="Q28" s="203"/>
      <c r="R28" s="303"/>
      <c r="S28" s="203"/>
      <c r="T28" s="310"/>
      <c r="U28" s="304"/>
      <c r="V28" s="303"/>
      <c r="W28" s="306"/>
      <c r="X28" s="306"/>
      <c r="Y28" s="305"/>
      <c r="Z28" s="303"/>
      <c r="AA28" s="203"/>
      <c r="AB28" s="306"/>
      <c r="AC28" s="203"/>
      <c r="AD28" s="307"/>
      <c r="AE28" s="308"/>
      <c r="AF28" s="309"/>
      <c r="AG28" s="310"/>
      <c r="AH28" s="330"/>
      <c r="AI28" s="203"/>
      <c r="AJ28" s="311"/>
      <c r="AK28" s="451"/>
      <c r="AL28" s="329"/>
      <c r="AM28" s="60"/>
      <c r="AO28" s="137" t="e">
        <f t="shared" si="1"/>
        <v>#N/A</v>
      </c>
      <c r="AP28" s="138" t="e">
        <f t="shared" si="2"/>
        <v>#N/A</v>
      </c>
      <c r="AQ28" s="138" t="e">
        <f t="shared" si="3"/>
        <v>#N/A</v>
      </c>
      <c r="AR28" s="138" t="e">
        <f t="shared" si="4"/>
        <v>#N/A</v>
      </c>
      <c r="AS28" s="138" t="e">
        <f t="shared" si="5"/>
        <v>#N/A</v>
      </c>
      <c r="AT28" s="139" t="e">
        <f t="shared" si="6"/>
        <v>#N/A</v>
      </c>
      <c r="BB28" s="16" t="s">
        <v>596</v>
      </c>
    </row>
    <row r="29" spans="1:54" ht="102.75" customHeight="1">
      <c r="A29" s="428">
        <f t="shared" si="7"/>
        <v>21</v>
      </c>
      <c r="B29" s="447"/>
      <c r="C29" s="203"/>
      <c r="D29" s="301"/>
      <c r="E29" s="301"/>
      <c r="F29" s="301"/>
      <c r="G29" s="301"/>
      <c r="H29" s="302"/>
      <c r="I29" s="292"/>
      <c r="J29" s="61"/>
      <c r="K29" s="303"/>
      <c r="L29" s="303"/>
      <c r="M29" s="203"/>
      <c r="N29" s="84" t="str">
        <f>IF($AI29&lt;&gt;"",Master!$N$37,IF($AC29&lt;&gt;"",Master!$N$38,IF($S29&lt;&gt;"",Master!$N$39,IF($C29&lt;&gt;"",Master!$N$40,Master!$N$41))))</f>
        <v>起票</v>
      </c>
      <c r="O29" s="202" t="str">
        <f>IF($N29=Master!$N$37,MAX($S29,$AC29,$AI29),"")</f>
        <v/>
      </c>
      <c r="P29" s="65"/>
      <c r="Q29" s="203"/>
      <c r="R29" s="303"/>
      <c r="S29" s="203"/>
      <c r="T29" s="310"/>
      <c r="U29" s="304"/>
      <c r="V29" s="303"/>
      <c r="W29" s="306"/>
      <c r="X29" s="306"/>
      <c r="Y29" s="305"/>
      <c r="Z29" s="303"/>
      <c r="AA29" s="203"/>
      <c r="AB29" s="306"/>
      <c r="AC29" s="203"/>
      <c r="AD29" s="307"/>
      <c r="AE29" s="308"/>
      <c r="AF29" s="309"/>
      <c r="AG29" s="310"/>
      <c r="AH29" s="303"/>
      <c r="AI29" s="203"/>
      <c r="AJ29" s="311"/>
      <c r="AK29" s="451"/>
      <c r="AL29" s="329"/>
      <c r="AM29" s="60"/>
      <c r="AO29" s="137" t="e">
        <f t="shared" si="1"/>
        <v>#N/A</v>
      </c>
      <c r="AP29" s="138" t="e">
        <f t="shared" si="2"/>
        <v>#N/A</v>
      </c>
      <c r="AQ29" s="138" t="e">
        <f t="shared" si="3"/>
        <v>#N/A</v>
      </c>
      <c r="AR29" s="138" t="e">
        <f t="shared" si="4"/>
        <v>#N/A</v>
      </c>
      <c r="AS29" s="138" t="e">
        <f t="shared" si="5"/>
        <v>#N/A</v>
      </c>
      <c r="AT29" s="139" t="e">
        <f t="shared" si="6"/>
        <v>#N/A</v>
      </c>
      <c r="BB29" s="16" t="s">
        <v>596</v>
      </c>
    </row>
    <row r="30" spans="1:54" ht="102.75" customHeight="1">
      <c r="A30" s="428">
        <f t="shared" si="7"/>
        <v>22</v>
      </c>
      <c r="B30" s="447"/>
      <c r="C30" s="203"/>
      <c r="D30" s="301"/>
      <c r="E30" s="301"/>
      <c r="F30" s="301"/>
      <c r="G30" s="301"/>
      <c r="H30" s="302"/>
      <c r="I30" s="292"/>
      <c r="J30" s="61"/>
      <c r="K30" s="303"/>
      <c r="L30" s="303"/>
      <c r="M30" s="203"/>
      <c r="N30" s="84" t="str">
        <f>IF($AI30&lt;&gt;"",Master!$N$37,IF($AC30&lt;&gt;"",Master!$N$38,IF($S30&lt;&gt;"",Master!$N$39,IF($C30&lt;&gt;"",Master!$N$40,Master!$N$41))))</f>
        <v>起票</v>
      </c>
      <c r="O30" s="202" t="str">
        <f>IF($N30=Master!$N$37,MAX($S30,$AC30,$AI30),"")</f>
        <v/>
      </c>
      <c r="P30" s="65"/>
      <c r="Q30" s="203"/>
      <c r="R30" s="303"/>
      <c r="S30" s="203"/>
      <c r="T30" s="310"/>
      <c r="U30" s="304"/>
      <c r="V30" s="303"/>
      <c r="W30" s="306"/>
      <c r="X30" s="306"/>
      <c r="Y30" s="305"/>
      <c r="Z30" s="303"/>
      <c r="AA30" s="203"/>
      <c r="AB30" s="306"/>
      <c r="AC30" s="203"/>
      <c r="AD30" s="307"/>
      <c r="AE30" s="308"/>
      <c r="AF30" s="309"/>
      <c r="AG30" s="310"/>
      <c r="AH30" s="303"/>
      <c r="AI30" s="203"/>
      <c r="AJ30" s="311"/>
      <c r="AK30" s="451"/>
      <c r="AL30" s="329"/>
      <c r="AM30" s="60"/>
      <c r="AO30" s="137" t="e">
        <f t="shared" si="1"/>
        <v>#N/A</v>
      </c>
      <c r="AP30" s="138" t="e">
        <f t="shared" si="2"/>
        <v>#N/A</v>
      </c>
      <c r="AQ30" s="138" t="e">
        <f t="shared" si="3"/>
        <v>#N/A</v>
      </c>
      <c r="AR30" s="138" t="e">
        <f t="shared" si="4"/>
        <v>#N/A</v>
      </c>
      <c r="AS30" s="138" t="e">
        <f t="shared" si="5"/>
        <v>#N/A</v>
      </c>
      <c r="AT30" s="139" t="e">
        <f t="shared" si="6"/>
        <v>#N/A</v>
      </c>
      <c r="BB30" s="16" t="s">
        <v>596</v>
      </c>
    </row>
    <row r="31" spans="1:54" ht="102.75" customHeight="1">
      <c r="A31" s="428">
        <f t="shared" si="7"/>
        <v>23</v>
      </c>
      <c r="B31" s="447"/>
      <c r="C31" s="203"/>
      <c r="D31" s="301"/>
      <c r="E31" s="301"/>
      <c r="F31" s="301"/>
      <c r="G31" s="301"/>
      <c r="H31" s="302"/>
      <c r="I31" s="292"/>
      <c r="J31" s="61"/>
      <c r="K31" s="303"/>
      <c r="L31" s="303"/>
      <c r="M31" s="203"/>
      <c r="N31" s="84" t="str">
        <f>IF($AI31&lt;&gt;"",Master!$N$37,IF($AC31&lt;&gt;"",Master!$N$38,IF($S31&lt;&gt;"",Master!$N$39,IF($C31&lt;&gt;"",Master!$N$40,Master!$N$41))))</f>
        <v>起票</v>
      </c>
      <c r="O31" s="202" t="str">
        <f>IF($N31=Master!$N$37,MAX($S31,$AC31,$AI31),"")</f>
        <v/>
      </c>
      <c r="P31" s="65"/>
      <c r="Q31" s="203"/>
      <c r="R31" s="303"/>
      <c r="S31" s="203"/>
      <c r="T31" s="310"/>
      <c r="U31" s="304"/>
      <c r="V31" s="303"/>
      <c r="W31" s="306"/>
      <c r="X31" s="306"/>
      <c r="Y31" s="305"/>
      <c r="Z31" s="303"/>
      <c r="AA31" s="203"/>
      <c r="AB31" s="306"/>
      <c r="AC31" s="203"/>
      <c r="AD31" s="307"/>
      <c r="AE31" s="308"/>
      <c r="AF31" s="309"/>
      <c r="AG31" s="310"/>
      <c r="AH31" s="303"/>
      <c r="AI31" s="203"/>
      <c r="AJ31" s="311"/>
      <c r="AK31" s="451"/>
      <c r="AL31" s="329"/>
      <c r="AM31" s="60"/>
      <c r="AO31" s="137" t="e">
        <f t="shared" si="1"/>
        <v>#N/A</v>
      </c>
      <c r="AP31" s="138" t="e">
        <f t="shared" si="2"/>
        <v>#N/A</v>
      </c>
      <c r="AQ31" s="138" t="e">
        <f t="shared" si="3"/>
        <v>#N/A</v>
      </c>
      <c r="AR31" s="138" t="e">
        <f t="shared" si="4"/>
        <v>#N/A</v>
      </c>
      <c r="AS31" s="138" t="e">
        <f t="shared" si="5"/>
        <v>#N/A</v>
      </c>
      <c r="AT31" s="139" t="e">
        <f t="shared" si="6"/>
        <v>#N/A</v>
      </c>
      <c r="BB31" s="16" t="s">
        <v>596</v>
      </c>
    </row>
    <row r="32" spans="1:54" ht="102.75" customHeight="1">
      <c r="A32" s="428">
        <f t="shared" si="7"/>
        <v>24</v>
      </c>
      <c r="B32" s="447"/>
      <c r="C32" s="203"/>
      <c r="D32" s="301"/>
      <c r="E32" s="301"/>
      <c r="F32" s="301"/>
      <c r="G32" s="301"/>
      <c r="H32" s="302"/>
      <c r="I32" s="292"/>
      <c r="J32" s="61"/>
      <c r="K32" s="303"/>
      <c r="L32" s="303"/>
      <c r="M32" s="203"/>
      <c r="N32" s="84" t="str">
        <f>IF($AI32&lt;&gt;"",Master!$N$37,IF($AC32&lt;&gt;"",Master!$N$38,IF($S32&lt;&gt;"",Master!$N$39,IF($C32&lt;&gt;"",Master!$N$40,Master!$N$41))))</f>
        <v>起票</v>
      </c>
      <c r="O32" s="202" t="str">
        <f>IF($N32=Master!$N$37,MAX($S32,$AC32,$AI32),"")</f>
        <v/>
      </c>
      <c r="P32" s="65"/>
      <c r="Q32" s="203"/>
      <c r="R32" s="303"/>
      <c r="S32" s="203"/>
      <c r="T32" s="310"/>
      <c r="U32" s="304"/>
      <c r="V32" s="303"/>
      <c r="W32" s="306"/>
      <c r="X32" s="306"/>
      <c r="Y32" s="305"/>
      <c r="Z32" s="303"/>
      <c r="AA32" s="203"/>
      <c r="AB32" s="306"/>
      <c r="AC32" s="203"/>
      <c r="AD32" s="307"/>
      <c r="AE32" s="308"/>
      <c r="AF32" s="309"/>
      <c r="AG32" s="310"/>
      <c r="AH32" s="303"/>
      <c r="AI32" s="203"/>
      <c r="AJ32" s="311"/>
      <c r="AK32" s="451"/>
      <c r="AL32" s="329"/>
      <c r="AM32" s="60"/>
      <c r="AO32" s="137" t="e">
        <f t="shared" si="1"/>
        <v>#N/A</v>
      </c>
      <c r="AP32" s="138" t="e">
        <f t="shared" si="2"/>
        <v>#N/A</v>
      </c>
      <c r="AQ32" s="138" t="e">
        <f t="shared" si="3"/>
        <v>#N/A</v>
      </c>
      <c r="AR32" s="138" t="e">
        <f t="shared" si="4"/>
        <v>#N/A</v>
      </c>
      <c r="AS32" s="138" t="e">
        <f t="shared" si="5"/>
        <v>#N/A</v>
      </c>
      <c r="AT32" s="139" t="e">
        <f t="shared" si="6"/>
        <v>#N/A</v>
      </c>
      <c r="BB32" s="16" t="s">
        <v>596</v>
      </c>
    </row>
    <row r="33" spans="1:54" ht="102.75" customHeight="1">
      <c r="A33" s="428">
        <f t="shared" si="7"/>
        <v>25</v>
      </c>
      <c r="B33" s="447"/>
      <c r="C33" s="203"/>
      <c r="D33" s="301"/>
      <c r="E33" s="301"/>
      <c r="F33" s="301"/>
      <c r="G33" s="301"/>
      <c r="H33" s="302"/>
      <c r="I33" s="292"/>
      <c r="J33" s="61"/>
      <c r="K33" s="303"/>
      <c r="L33" s="303"/>
      <c r="M33" s="203"/>
      <c r="N33" s="84" t="str">
        <f>IF($AI33&lt;&gt;"",Master!$N$37,IF($AC33&lt;&gt;"",Master!$N$38,IF($S33&lt;&gt;"",Master!$N$39,IF($C33&lt;&gt;"",Master!$N$40,Master!$N$41))))</f>
        <v>起票</v>
      </c>
      <c r="O33" s="202" t="str">
        <f>IF($N33=Master!$N$37,MAX($S33,$AC33,$AI33),"")</f>
        <v/>
      </c>
      <c r="P33" s="65"/>
      <c r="Q33" s="203"/>
      <c r="R33" s="303"/>
      <c r="S33" s="203"/>
      <c r="T33" s="310"/>
      <c r="U33" s="304"/>
      <c r="V33" s="303"/>
      <c r="W33" s="306"/>
      <c r="X33" s="306"/>
      <c r="Y33" s="305"/>
      <c r="Z33" s="303"/>
      <c r="AA33" s="203"/>
      <c r="AB33" s="306"/>
      <c r="AC33" s="203"/>
      <c r="AD33" s="307"/>
      <c r="AE33" s="308"/>
      <c r="AF33" s="309"/>
      <c r="AG33" s="310"/>
      <c r="AH33" s="303"/>
      <c r="AI33" s="203"/>
      <c r="AJ33" s="311"/>
      <c r="AK33" s="451"/>
      <c r="AL33" s="329"/>
      <c r="AM33" s="60"/>
      <c r="AO33" s="137" t="e">
        <f t="shared" si="1"/>
        <v>#N/A</v>
      </c>
      <c r="AP33" s="138" t="e">
        <f t="shared" si="2"/>
        <v>#N/A</v>
      </c>
      <c r="AQ33" s="138" t="e">
        <f t="shared" si="3"/>
        <v>#N/A</v>
      </c>
      <c r="AR33" s="138" t="e">
        <f t="shared" si="4"/>
        <v>#N/A</v>
      </c>
      <c r="AS33" s="138" t="e">
        <f t="shared" si="5"/>
        <v>#N/A</v>
      </c>
      <c r="AT33" s="139" t="e">
        <f t="shared" si="6"/>
        <v>#N/A</v>
      </c>
      <c r="BB33" s="16" t="s">
        <v>596</v>
      </c>
    </row>
    <row r="34" spans="1:54" ht="102.75" customHeight="1">
      <c r="A34" s="428">
        <f t="shared" si="7"/>
        <v>26</v>
      </c>
      <c r="B34" s="447"/>
      <c r="C34" s="203"/>
      <c r="D34" s="301"/>
      <c r="E34" s="301"/>
      <c r="F34" s="301"/>
      <c r="G34" s="301"/>
      <c r="H34" s="302"/>
      <c r="I34" s="292"/>
      <c r="J34" s="61"/>
      <c r="K34" s="303"/>
      <c r="L34" s="303"/>
      <c r="M34" s="203"/>
      <c r="N34" s="84" t="str">
        <f>IF($AI34&lt;&gt;"",Master!$N$37,IF($AC34&lt;&gt;"",Master!$N$38,IF($S34&lt;&gt;"",Master!$N$39,IF($C34&lt;&gt;"",Master!$N$40,Master!$N$41))))</f>
        <v>起票</v>
      </c>
      <c r="O34" s="202" t="str">
        <f>IF($N34=Master!$N$37,MAX($S34,$AC34,$AI34),"")</f>
        <v/>
      </c>
      <c r="P34" s="65"/>
      <c r="Q34" s="203"/>
      <c r="R34" s="303"/>
      <c r="S34" s="203"/>
      <c r="T34" s="310"/>
      <c r="U34" s="304"/>
      <c r="V34" s="303"/>
      <c r="W34" s="306"/>
      <c r="X34" s="306"/>
      <c r="Y34" s="305"/>
      <c r="Z34" s="303"/>
      <c r="AA34" s="203"/>
      <c r="AB34" s="306"/>
      <c r="AC34" s="203"/>
      <c r="AD34" s="307"/>
      <c r="AE34" s="308"/>
      <c r="AF34" s="309"/>
      <c r="AG34" s="310"/>
      <c r="AH34" s="303"/>
      <c r="AI34" s="203"/>
      <c r="AJ34" s="311"/>
      <c r="AK34" s="451"/>
      <c r="AL34" s="329"/>
      <c r="AM34" s="60"/>
      <c r="AO34" s="137" t="e">
        <f t="shared" si="1"/>
        <v>#N/A</v>
      </c>
      <c r="AP34" s="138" t="e">
        <f t="shared" si="2"/>
        <v>#N/A</v>
      </c>
      <c r="AQ34" s="138" t="e">
        <f t="shared" si="3"/>
        <v>#N/A</v>
      </c>
      <c r="AR34" s="138" t="e">
        <f t="shared" si="4"/>
        <v>#N/A</v>
      </c>
      <c r="AS34" s="138" t="e">
        <f t="shared" si="5"/>
        <v>#N/A</v>
      </c>
      <c r="AT34" s="139" t="e">
        <f t="shared" si="6"/>
        <v>#N/A</v>
      </c>
      <c r="BB34" s="16" t="s">
        <v>596</v>
      </c>
    </row>
    <row r="35" spans="1:54" ht="102.75" customHeight="1">
      <c r="A35" s="428">
        <f t="shared" si="7"/>
        <v>27</v>
      </c>
      <c r="B35" s="447"/>
      <c r="C35" s="203"/>
      <c r="D35" s="301"/>
      <c r="E35" s="301"/>
      <c r="F35" s="301"/>
      <c r="G35" s="301"/>
      <c r="H35" s="302"/>
      <c r="I35" s="292"/>
      <c r="J35" s="61"/>
      <c r="K35" s="303"/>
      <c r="L35" s="303"/>
      <c r="M35" s="203"/>
      <c r="N35" s="84" t="str">
        <f>IF($AI35&lt;&gt;"",Master!$N$37,IF($AC35&lt;&gt;"",Master!$N$38,IF($S35&lt;&gt;"",Master!$N$39,IF($C35&lt;&gt;"",Master!$N$40,Master!$N$41))))</f>
        <v>起票</v>
      </c>
      <c r="O35" s="202" t="str">
        <f>IF($N35=Master!$N$37,MAX($S35,$AC35,$AI35),"")</f>
        <v/>
      </c>
      <c r="P35" s="65"/>
      <c r="Q35" s="203"/>
      <c r="R35" s="303"/>
      <c r="S35" s="203"/>
      <c r="T35" s="310"/>
      <c r="U35" s="304"/>
      <c r="V35" s="303"/>
      <c r="W35" s="306"/>
      <c r="X35" s="306"/>
      <c r="Y35" s="305"/>
      <c r="Z35" s="303"/>
      <c r="AA35" s="203"/>
      <c r="AB35" s="306"/>
      <c r="AC35" s="203"/>
      <c r="AD35" s="307"/>
      <c r="AE35" s="308"/>
      <c r="AF35" s="309"/>
      <c r="AG35" s="310"/>
      <c r="AH35" s="303"/>
      <c r="AI35" s="203"/>
      <c r="AJ35" s="311"/>
      <c r="AK35" s="451"/>
      <c r="AL35" s="329"/>
      <c r="AM35" s="60"/>
      <c r="AO35" s="137" t="e">
        <f t="shared" si="1"/>
        <v>#N/A</v>
      </c>
      <c r="AP35" s="138" t="e">
        <f t="shared" si="2"/>
        <v>#N/A</v>
      </c>
      <c r="AQ35" s="138" t="e">
        <f t="shared" si="3"/>
        <v>#N/A</v>
      </c>
      <c r="AR35" s="138" t="e">
        <f t="shared" si="4"/>
        <v>#N/A</v>
      </c>
      <c r="AS35" s="138" t="e">
        <f t="shared" si="5"/>
        <v>#N/A</v>
      </c>
      <c r="AT35" s="139" t="e">
        <f t="shared" si="6"/>
        <v>#N/A</v>
      </c>
      <c r="BB35" s="16" t="s">
        <v>596</v>
      </c>
    </row>
    <row r="36" spans="1:54" ht="102.75" customHeight="1">
      <c r="A36" s="428">
        <f t="shared" si="7"/>
        <v>28</v>
      </c>
      <c r="B36" s="447"/>
      <c r="C36" s="203"/>
      <c r="D36" s="301"/>
      <c r="E36" s="301"/>
      <c r="F36" s="301"/>
      <c r="G36" s="301"/>
      <c r="H36" s="302"/>
      <c r="I36" s="292"/>
      <c r="J36" s="61"/>
      <c r="K36" s="303"/>
      <c r="L36" s="303"/>
      <c r="M36" s="203"/>
      <c r="N36" s="84" t="str">
        <f>IF($AI36&lt;&gt;"",Master!$N$37,IF($AC36&lt;&gt;"",Master!$N$38,IF($S36&lt;&gt;"",Master!$N$39,IF($C36&lt;&gt;"",Master!$N$40,Master!$N$41))))</f>
        <v>起票</v>
      </c>
      <c r="O36" s="202" t="str">
        <f>IF($N36=Master!$N$37,MAX($S36,$AC36,$AI36),"")</f>
        <v/>
      </c>
      <c r="P36" s="65"/>
      <c r="Q36" s="203"/>
      <c r="R36" s="303"/>
      <c r="S36" s="203"/>
      <c r="T36" s="310"/>
      <c r="U36" s="304"/>
      <c r="V36" s="303"/>
      <c r="W36" s="306"/>
      <c r="X36" s="306"/>
      <c r="Y36" s="305"/>
      <c r="Z36" s="303"/>
      <c r="AA36" s="203"/>
      <c r="AB36" s="306"/>
      <c r="AC36" s="203"/>
      <c r="AD36" s="307"/>
      <c r="AE36" s="308"/>
      <c r="AF36" s="309"/>
      <c r="AG36" s="310"/>
      <c r="AH36" s="303"/>
      <c r="AI36" s="203"/>
      <c r="AJ36" s="311"/>
      <c r="AK36" s="451"/>
      <c r="AL36" s="329"/>
      <c r="AM36" s="60"/>
      <c r="AO36" s="137" t="e">
        <f t="shared" si="1"/>
        <v>#N/A</v>
      </c>
      <c r="AP36" s="138" t="e">
        <f t="shared" si="2"/>
        <v>#N/A</v>
      </c>
      <c r="AQ36" s="138" t="e">
        <f t="shared" si="3"/>
        <v>#N/A</v>
      </c>
      <c r="AR36" s="138" t="e">
        <f t="shared" si="4"/>
        <v>#N/A</v>
      </c>
      <c r="AS36" s="138" t="e">
        <f t="shared" si="5"/>
        <v>#N/A</v>
      </c>
      <c r="AT36" s="139" t="e">
        <f t="shared" si="6"/>
        <v>#N/A</v>
      </c>
      <c r="BB36" s="16" t="s">
        <v>596</v>
      </c>
    </row>
    <row r="37" spans="1:54" ht="102.75" customHeight="1">
      <c r="A37" s="428">
        <f t="shared" si="7"/>
        <v>29</v>
      </c>
      <c r="B37" s="447"/>
      <c r="C37" s="203"/>
      <c r="D37" s="301"/>
      <c r="E37" s="301"/>
      <c r="F37" s="301"/>
      <c r="G37" s="301"/>
      <c r="H37" s="302"/>
      <c r="I37" s="292"/>
      <c r="J37" s="61"/>
      <c r="K37" s="303"/>
      <c r="L37" s="303"/>
      <c r="M37" s="203"/>
      <c r="N37" s="84" t="str">
        <f>IF($AI37&lt;&gt;"",Master!$N$37,IF($AC37&lt;&gt;"",Master!$N$38,IF($S37&lt;&gt;"",Master!$N$39,IF($C37&lt;&gt;"",Master!$N$40,Master!$N$41))))</f>
        <v>起票</v>
      </c>
      <c r="O37" s="202" t="str">
        <f>IF($N37=Master!$N$37,MAX($S37,$AC37,$AI37),"")</f>
        <v/>
      </c>
      <c r="P37" s="65"/>
      <c r="Q37" s="203"/>
      <c r="R37" s="303"/>
      <c r="S37" s="203"/>
      <c r="T37" s="310"/>
      <c r="U37" s="304"/>
      <c r="V37" s="303"/>
      <c r="W37" s="306"/>
      <c r="X37" s="306"/>
      <c r="Y37" s="305"/>
      <c r="Z37" s="303"/>
      <c r="AA37" s="203"/>
      <c r="AB37" s="306"/>
      <c r="AC37" s="203"/>
      <c r="AD37" s="307"/>
      <c r="AE37" s="308"/>
      <c r="AF37" s="309"/>
      <c r="AG37" s="310"/>
      <c r="AH37" s="303"/>
      <c r="AI37" s="203"/>
      <c r="AJ37" s="311"/>
      <c r="AK37" s="451"/>
      <c r="AL37" s="329"/>
      <c r="AM37" s="60"/>
      <c r="AO37" s="137" t="e">
        <f t="shared" si="1"/>
        <v>#N/A</v>
      </c>
      <c r="AP37" s="138" t="e">
        <f t="shared" si="2"/>
        <v>#N/A</v>
      </c>
      <c r="AQ37" s="138" t="e">
        <f t="shared" si="3"/>
        <v>#N/A</v>
      </c>
      <c r="AR37" s="138" t="e">
        <f t="shared" si="4"/>
        <v>#N/A</v>
      </c>
      <c r="AS37" s="138" t="e">
        <f t="shared" si="5"/>
        <v>#N/A</v>
      </c>
      <c r="AT37" s="139" t="e">
        <f t="shared" si="6"/>
        <v>#N/A</v>
      </c>
      <c r="BB37" s="16" t="s">
        <v>596</v>
      </c>
    </row>
    <row r="38" spans="1:54" ht="102.75" customHeight="1">
      <c r="A38" s="428">
        <f t="shared" si="7"/>
        <v>30</v>
      </c>
      <c r="B38" s="447"/>
      <c r="C38" s="203"/>
      <c r="D38" s="301"/>
      <c r="E38" s="301"/>
      <c r="F38" s="301"/>
      <c r="G38" s="301"/>
      <c r="H38" s="302"/>
      <c r="I38" s="292"/>
      <c r="J38" s="61"/>
      <c r="K38" s="303"/>
      <c r="L38" s="303"/>
      <c r="M38" s="203"/>
      <c r="N38" s="84" t="str">
        <f>IF($AI38&lt;&gt;"",Master!$N$37,IF($AC38&lt;&gt;"",Master!$N$38,IF($S38&lt;&gt;"",Master!$N$39,IF($C38&lt;&gt;"",Master!$N$40,Master!$N$41))))</f>
        <v>起票</v>
      </c>
      <c r="O38" s="202" t="str">
        <f>IF($N38=Master!$N$37,MAX($S38,$AC38,$AI38),"")</f>
        <v/>
      </c>
      <c r="P38" s="65"/>
      <c r="Q38" s="203"/>
      <c r="R38" s="303"/>
      <c r="S38" s="203"/>
      <c r="T38" s="310"/>
      <c r="U38" s="304"/>
      <c r="V38" s="303"/>
      <c r="W38" s="306"/>
      <c r="X38" s="306"/>
      <c r="Y38" s="305"/>
      <c r="Z38" s="303"/>
      <c r="AA38" s="203"/>
      <c r="AB38" s="306"/>
      <c r="AC38" s="203"/>
      <c r="AD38" s="307"/>
      <c r="AE38" s="308"/>
      <c r="AF38" s="309"/>
      <c r="AG38" s="310"/>
      <c r="AH38" s="303"/>
      <c r="AI38" s="203"/>
      <c r="AJ38" s="311"/>
      <c r="AK38" s="451"/>
      <c r="AL38" s="329"/>
      <c r="AM38" s="60"/>
      <c r="AO38" s="137" t="e">
        <f t="shared" si="1"/>
        <v>#N/A</v>
      </c>
      <c r="AP38" s="138" t="e">
        <f t="shared" si="2"/>
        <v>#N/A</v>
      </c>
      <c r="AQ38" s="138" t="e">
        <f t="shared" si="3"/>
        <v>#N/A</v>
      </c>
      <c r="AR38" s="138" t="e">
        <f t="shared" si="4"/>
        <v>#N/A</v>
      </c>
      <c r="AS38" s="138" t="e">
        <f t="shared" si="5"/>
        <v>#N/A</v>
      </c>
      <c r="AT38" s="139" t="e">
        <f t="shared" si="6"/>
        <v>#N/A</v>
      </c>
      <c r="BB38" s="16" t="s">
        <v>596</v>
      </c>
    </row>
    <row r="39" spans="1:54" ht="102.75" customHeight="1">
      <c r="A39" s="428">
        <f t="shared" si="7"/>
        <v>31</v>
      </c>
      <c r="B39" s="447"/>
      <c r="C39" s="203"/>
      <c r="D39" s="301"/>
      <c r="E39" s="301"/>
      <c r="F39" s="301"/>
      <c r="G39" s="301"/>
      <c r="H39" s="302"/>
      <c r="I39" s="292"/>
      <c r="J39" s="61"/>
      <c r="K39" s="303"/>
      <c r="L39" s="303"/>
      <c r="M39" s="203"/>
      <c r="N39" s="84" t="str">
        <f>IF($AI39&lt;&gt;"",Master!$N$37,IF($AC39&lt;&gt;"",Master!$N$38,IF($S39&lt;&gt;"",Master!$N$39,IF($C39&lt;&gt;"",Master!$N$40,Master!$N$41))))</f>
        <v>起票</v>
      </c>
      <c r="O39" s="202" t="str">
        <f>IF($N39=Master!$N$37,MAX($S39,$AC39,$AI39),"")</f>
        <v/>
      </c>
      <c r="P39" s="65"/>
      <c r="Q39" s="203"/>
      <c r="R39" s="303"/>
      <c r="S39" s="203"/>
      <c r="T39" s="310"/>
      <c r="U39" s="304"/>
      <c r="V39" s="303"/>
      <c r="W39" s="306"/>
      <c r="X39" s="306"/>
      <c r="Y39" s="305"/>
      <c r="Z39" s="303"/>
      <c r="AA39" s="203"/>
      <c r="AB39" s="306"/>
      <c r="AC39" s="203"/>
      <c r="AD39" s="307"/>
      <c r="AE39" s="308"/>
      <c r="AF39" s="309"/>
      <c r="AG39" s="310"/>
      <c r="AH39" s="303"/>
      <c r="AI39" s="203"/>
      <c r="AJ39" s="311"/>
      <c r="AK39" s="451"/>
      <c r="AL39" s="329"/>
      <c r="AM39" s="60"/>
      <c r="AO39" s="137" t="e">
        <f t="shared" si="1"/>
        <v>#N/A</v>
      </c>
      <c r="AP39" s="138" t="e">
        <f t="shared" si="2"/>
        <v>#N/A</v>
      </c>
      <c r="AQ39" s="138" t="e">
        <f t="shared" si="3"/>
        <v>#N/A</v>
      </c>
      <c r="AR39" s="138" t="e">
        <f t="shared" si="4"/>
        <v>#N/A</v>
      </c>
      <c r="AS39" s="138" t="e">
        <f t="shared" si="5"/>
        <v>#N/A</v>
      </c>
      <c r="AT39" s="139" t="e">
        <f t="shared" si="6"/>
        <v>#N/A</v>
      </c>
      <c r="BB39" s="16" t="s">
        <v>596</v>
      </c>
    </row>
    <row r="40" spans="1:54" ht="102.75" customHeight="1">
      <c r="A40" s="428">
        <f t="shared" si="7"/>
        <v>32</v>
      </c>
      <c r="B40" s="447"/>
      <c r="C40" s="203"/>
      <c r="D40" s="301"/>
      <c r="E40" s="301"/>
      <c r="F40" s="301"/>
      <c r="G40" s="301"/>
      <c r="H40" s="302"/>
      <c r="I40" s="292"/>
      <c r="J40" s="61"/>
      <c r="K40" s="303"/>
      <c r="L40" s="303"/>
      <c r="M40" s="203"/>
      <c r="N40" s="84" t="str">
        <f>IF($AI40&lt;&gt;"",Master!$N$37,IF($AC40&lt;&gt;"",Master!$N$38,IF($S40&lt;&gt;"",Master!$N$39,IF($C40&lt;&gt;"",Master!$N$40,Master!$N$41))))</f>
        <v>起票</v>
      </c>
      <c r="O40" s="202" t="str">
        <f>IF($N40=Master!$N$37,MAX($S40,$AC40,$AI40),"")</f>
        <v/>
      </c>
      <c r="P40" s="65"/>
      <c r="Q40" s="203"/>
      <c r="R40" s="303"/>
      <c r="S40" s="203"/>
      <c r="T40" s="310"/>
      <c r="U40" s="304"/>
      <c r="V40" s="303"/>
      <c r="W40" s="306"/>
      <c r="X40" s="306"/>
      <c r="Y40" s="305"/>
      <c r="Z40" s="303"/>
      <c r="AA40" s="203"/>
      <c r="AB40" s="306"/>
      <c r="AC40" s="203"/>
      <c r="AD40" s="307"/>
      <c r="AE40" s="308"/>
      <c r="AF40" s="309"/>
      <c r="AG40" s="310"/>
      <c r="AH40" s="303"/>
      <c r="AI40" s="203"/>
      <c r="AJ40" s="311"/>
      <c r="AK40" s="451"/>
      <c r="AL40" s="329"/>
      <c r="AM40" s="60"/>
      <c r="AO40" s="137" t="e">
        <f t="shared" si="1"/>
        <v>#N/A</v>
      </c>
      <c r="AP40" s="138" t="e">
        <f t="shared" si="2"/>
        <v>#N/A</v>
      </c>
      <c r="AQ40" s="138" t="e">
        <f t="shared" si="3"/>
        <v>#N/A</v>
      </c>
      <c r="AR40" s="138" t="e">
        <f t="shared" si="4"/>
        <v>#N/A</v>
      </c>
      <c r="AS40" s="138" t="e">
        <f t="shared" si="5"/>
        <v>#N/A</v>
      </c>
      <c r="AT40" s="139" t="e">
        <f t="shared" si="6"/>
        <v>#N/A</v>
      </c>
      <c r="BB40" s="16" t="s">
        <v>596</v>
      </c>
    </row>
    <row r="41" spans="1:54" ht="102.75" customHeight="1">
      <c r="A41" s="428">
        <f t="shared" si="7"/>
        <v>33</v>
      </c>
      <c r="B41" s="447"/>
      <c r="C41" s="203"/>
      <c r="D41" s="301"/>
      <c r="E41" s="301"/>
      <c r="F41" s="301"/>
      <c r="G41" s="301"/>
      <c r="H41" s="302"/>
      <c r="I41" s="292"/>
      <c r="J41" s="61"/>
      <c r="K41" s="303"/>
      <c r="L41" s="303"/>
      <c r="M41" s="203"/>
      <c r="N41" s="84" t="str">
        <f>IF($AI41&lt;&gt;"",Master!$N$37,IF($AC41&lt;&gt;"",Master!$N$38,IF($S41&lt;&gt;"",Master!$N$39,IF($C41&lt;&gt;"",Master!$N$40,Master!$N$41))))</f>
        <v>起票</v>
      </c>
      <c r="O41" s="202" t="str">
        <f>IF($N41=Master!$N$37,MAX($S41,$AC41,$AI41),"")</f>
        <v/>
      </c>
      <c r="P41" s="65"/>
      <c r="Q41" s="203"/>
      <c r="R41" s="303"/>
      <c r="S41" s="203"/>
      <c r="T41" s="310"/>
      <c r="U41" s="304"/>
      <c r="V41" s="303"/>
      <c r="W41" s="306"/>
      <c r="X41" s="306"/>
      <c r="Y41" s="305"/>
      <c r="Z41" s="303"/>
      <c r="AA41" s="203"/>
      <c r="AB41" s="306"/>
      <c r="AC41" s="203"/>
      <c r="AD41" s="307"/>
      <c r="AE41" s="308"/>
      <c r="AF41" s="309"/>
      <c r="AG41" s="310"/>
      <c r="AH41" s="303"/>
      <c r="AI41" s="203"/>
      <c r="AJ41" s="311"/>
      <c r="AK41" s="451"/>
      <c r="AL41" s="329"/>
      <c r="AM41" s="60"/>
      <c r="AO41" s="137" t="e">
        <f t="shared" si="1"/>
        <v>#N/A</v>
      </c>
      <c r="AP41" s="138" t="e">
        <f t="shared" si="2"/>
        <v>#N/A</v>
      </c>
      <c r="AQ41" s="138" t="e">
        <f t="shared" si="3"/>
        <v>#N/A</v>
      </c>
      <c r="AR41" s="138" t="e">
        <f t="shared" si="4"/>
        <v>#N/A</v>
      </c>
      <c r="AS41" s="138" t="e">
        <f t="shared" si="5"/>
        <v>#N/A</v>
      </c>
      <c r="AT41" s="139" t="e">
        <f t="shared" si="6"/>
        <v>#N/A</v>
      </c>
      <c r="BB41" s="16" t="s">
        <v>596</v>
      </c>
    </row>
    <row r="42" spans="1:54" ht="102.75" customHeight="1">
      <c r="A42" s="428">
        <f t="shared" si="7"/>
        <v>34</v>
      </c>
      <c r="B42" s="447"/>
      <c r="C42" s="203"/>
      <c r="D42" s="301"/>
      <c r="E42" s="301"/>
      <c r="F42" s="301"/>
      <c r="G42" s="301"/>
      <c r="H42" s="302"/>
      <c r="I42" s="292"/>
      <c r="J42" s="61"/>
      <c r="K42" s="303"/>
      <c r="L42" s="303"/>
      <c r="M42" s="203"/>
      <c r="N42" s="84" t="str">
        <f>IF($AI42&lt;&gt;"",Master!$N$37,IF($AC42&lt;&gt;"",Master!$N$38,IF($S42&lt;&gt;"",Master!$N$39,IF($C42&lt;&gt;"",Master!$N$40,Master!$N$41))))</f>
        <v>起票</v>
      </c>
      <c r="O42" s="202" t="str">
        <f>IF($N42=Master!$N$37,MAX($S42,$AC42,$AI42),"")</f>
        <v/>
      </c>
      <c r="P42" s="65"/>
      <c r="Q42" s="203"/>
      <c r="R42" s="303"/>
      <c r="S42" s="203"/>
      <c r="T42" s="310"/>
      <c r="U42" s="304"/>
      <c r="V42" s="303"/>
      <c r="W42" s="306"/>
      <c r="X42" s="306"/>
      <c r="Y42" s="305"/>
      <c r="Z42" s="303"/>
      <c r="AA42" s="203"/>
      <c r="AB42" s="306"/>
      <c r="AC42" s="203"/>
      <c r="AD42" s="307"/>
      <c r="AE42" s="308"/>
      <c r="AF42" s="309"/>
      <c r="AG42" s="310"/>
      <c r="AH42" s="337"/>
      <c r="AI42" s="203"/>
      <c r="AJ42" s="311"/>
      <c r="AK42" s="451"/>
      <c r="AL42" s="329"/>
      <c r="AM42" s="60"/>
      <c r="AO42" s="137" t="e">
        <f t="shared" si="1"/>
        <v>#N/A</v>
      </c>
      <c r="AP42" s="138" t="e">
        <f t="shared" si="2"/>
        <v>#N/A</v>
      </c>
      <c r="AQ42" s="138" t="e">
        <f t="shared" si="3"/>
        <v>#N/A</v>
      </c>
      <c r="AR42" s="138" t="e">
        <f t="shared" si="4"/>
        <v>#N/A</v>
      </c>
      <c r="AS42" s="138" t="e">
        <f t="shared" si="5"/>
        <v>#N/A</v>
      </c>
      <c r="AT42" s="139" t="e">
        <f t="shared" si="6"/>
        <v>#N/A</v>
      </c>
      <c r="BB42" s="16" t="s">
        <v>596</v>
      </c>
    </row>
    <row r="43" spans="1:54" ht="102.75" customHeight="1">
      <c r="A43" s="428">
        <f t="shared" si="7"/>
        <v>35</v>
      </c>
      <c r="B43" s="447"/>
      <c r="C43" s="203"/>
      <c r="D43" s="301"/>
      <c r="E43" s="301"/>
      <c r="F43" s="301"/>
      <c r="G43" s="301"/>
      <c r="H43" s="302"/>
      <c r="I43" s="292"/>
      <c r="J43" s="61"/>
      <c r="K43" s="303"/>
      <c r="L43" s="303"/>
      <c r="M43" s="203"/>
      <c r="N43" s="84" t="str">
        <f>IF($AI43&lt;&gt;"",Master!$N$37,IF($AC43&lt;&gt;"",Master!$N$38,IF($S43&lt;&gt;"",Master!$N$39,IF($C43&lt;&gt;"",Master!$N$40,Master!$N$41))))</f>
        <v>起票</v>
      </c>
      <c r="O43" s="202" t="str">
        <f>IF($N43=Master!$N$37,MAX($S43,$AC43,$AI43),"")</f>
        <v/>
      </c>
      <c r="P43" s="65"/>
      <c r="Q43" s="203"/>
      <c r="R43" s="303"/>
      <c r="S43" s="203"/>
      <c r="T43" s="310"/>
      <c r="U43" s="304"/>
      <c r="V43" s="303"/>
      <c r="W43" s="306"/>
      <c r="X43" s="306"/>
      <c r="Y43" s="305"/>
      <c r="Z43" s="303"/>
      <c r="AA43" s="203"/>
      <c r="AB43" s="306"/>
      <c r="AC43" s="203"/>
      <c r="AD43" s="336"/>
      <c r="AE43" s="308"/>
      <c r="AF43" s="309"/>
      <c r="AG43" s="310"/>
      <c r="AH43" s="303"/>
      <c r="AI43" s="203"/>
      <c r="AJ43" s="311"/>
      <c r="AK43" s="451"/>
      <c r="AL43" s="329"/>
      <c r="AM43" s="60"/>
      <c r="AO43" s="137" t="e">
        <f t="shared" si="1"/>
        <v>#N/A</v>
      </c>
      <c r="AP43" s="138" t="e">
        <f t="shared" si="2"/>
        <v>#N/A</v>
      </c>
      <c r="AQ43" s="138" t="e">
        <f t="shared" si="3"/>
        <v>#N/A</v>
      </c>
      <c r="AR43" s="138" t="e">
        <f t="shared" si="4"/>
        <v>#N/A</v>
      </c>
      <c r="AS43" s="138" t="e">
        <f t="shared" si="5"/>
        <v>#N/A</v>
      </c>
      <c r="AT43" s="139" t="e">
        <f t="shared" si="6"/>
        <v>#N/A</v>
      </c>
      <c r="BB43" s="16" t="s">
        <v>596</v>
      </c>
    </row>
    <row r="44" spans="1:54" ht="102.75" customHeight="1">
      <c r="A44" s="428">
        <f t="shared" si="7"/>
        <v>36</v>
      </c>
      <c r="B44" s="447"/>
      <c r="C44" s="203"/>
      <c r="D44" s="301"/>
      <c r="E44" s="301"/>
      <c r="F44" s="301"/>
      <c r="G44" s="301"/>
      <c r="H44" s="302"/>
      <c r="I44" s="292"/>
      <c r="J44" s="61"/>
      <c r="K44" s="303"/>
      <c r="L44" s="303"/>
      <c r="M44" s="203"/>
      <c r="N44" s="84" t="str">
        <f>IF($AI44&lt;&gt;"",Master!$N$37,IF($AC44&lt;&gt;"",Master!$N$38,IF($S44&lt;&gt;"",Master!$N$39,IF($C44&lt;&gt;"",Master!$N$40,Master!$N$41))))</f>
        <v>起票</v>
      </c>
      <c r="O44" s="202" t="str">
        <f>IF($N44=Master!$N$37,MAX($S44,$AC44,$AI44),"")</f>
        <v/>
      </c>
      <c r="P44" s="65"/>
      <c r="Q44" s="203"/>
      <c r="R44" s="303"/>
      <c r="S44" s="203"/>
      <c r="T44" s="310"/>
      <c r="U44" s="304"/>
      <c r="V44" s="303"/>
      <c r="W44" s="306"/>
      <c r="X44" s="306"/>
      <c r="Y44" s="305"/>
      <c r="Z44" s="303"/>
      <c r="AA44" s="203"/>
      <c r="AB44" s="306"/>
      <c r="AC44" s="203"/>
      <c r="AD44" s="307"/>
      <c r="AE44" s="308"/>
      <c r="AF44" s="309"/>
      <c r="AG44" s="310"/>
      <c r="AH44" s="303"/>
      <c r="AI44" s="203"/>
      <c r="AJ44" s="311"/>
      <c r="AK44" s="451"/>
      <c r="AL44" s="329"/>
      <c r="AM44" s="60"/>
      <c r="AO44" s="137" t="e">
        <f t="shared" si="1"/>
        <v>#N/A</v>
      </c>
      <c r="AP44" s="138" t="e">
        <f t="shared" si="2"/>
        <v>#N/A</v>
      </c>
      <c r="AQ44" s="138" t="e">
        <f t="shared" si="3"/>
        <v>#N/A</v>
      </c>
      <c r="AR44" s="138" t="e">
        <f t="shared" si="4"/>
        <v>#N/A</v>
      </c>
      <c r="AS44" s="138" t="e">
        <f t="shared" si="5"/>
        <v>#N/A</v>
      </c>
      <c r="AT44" s="139" t="e">
        <f t="shared" si="6"/>
        <v>#N/A</v>
      </c>
      <c r="BB44" s="16" t="s">
        <v>596</v>
      </c>
    </row>
    <row r="45" spans="1:54" ht="129" customHeight="1">
      <c r="A45" s="428">
        <f t="shared" si="7"/>
        <v>37</v>
      </c>
      <c r="B45" s="447"/>
      <c r="C45" s="203"/>
      <c r="D45" s="301"/>
      <c r="E45" s="301"/>
      <c r="F45" s="301"/>
      <c r="G45" s="301"/>
      <c r="H45" s="302"/>
      <c r="I45" s="292"/>
      <c r="J45" s="61"/>
      <c r="K45" s="303"/>
      <c r="L45" s="303"/>
      <c r="M45" s="203"/>
      <c r="N45" s="84" t="str">
        <f>IF($AI45&lt;&gt;"",Master!$N$37,IF($AC45&lt;&gt;"",Master!$N$38,IF($S45&lt;&gt;"",Master!$N$39,IF($C45&lt;&gt;"",Master!$N$40,Master!$N$41))))</f>
        <v>起票</v>
      </c>
      <c r="O45" s="202" t="str">
        <f>IF($N45=Master!$N$37,MAX($S45,$AC45,$AI45),"")</f>
        <v/>
      </c>
      <c r="P45" s="65"/>
      <c r="Q45" s="203"/>
      <c r="R45" s="303"/>
      <c r="S45" s="203"/>
      <c r="T45" s="310"/>
      <c r="U45" s="304"/>
      <c r="V45" s="303"/>
      <c r="W45" s="306"/>
      <c r="X45" s="306"/>
      <c r="Y45" s="305"/>
      <c r="Z45" s="303"/>
      <c r="AA45" s="203"/>
      <c r="AB45" s="306"/>
      <c r="AC45" s="203"/>
      <c r="AD45" s="307"/>
      <c r="AE45" s="308"/>
      <c r="AF45" s="309"/>
      <c r="AG45" s="310"/>
      <c r="AH45" s="303"/>
      <c r="AI45" s="203"/>
      <c r="AJ45" s="311"/>
      <c r="AK45" s="451"/>
      <c r="AL45" s="329"/>
      <c r="AM45" s="60"/>
      <c r="AO45" s="137" t="e">
        <f t="shared" si="1"/>
        <v>#N/A</v>
      </c>
      <c r="AP45" s="138" t="e">
        <f t="shared" si="2"/>
        <v>#N/A</v>
      </c>
      <c r="AQ45" s="138" t="e">
        <f t="shared" si="3"/>
        <v>#N/A</v>
      </c>
      <c r="AR45" s="138" t="e">
        <f t="shared" si="4"/>
        <v>#N/A</v>
      </c>
      <c r="AS45" s="138" t="e">
        <f t="shared" si="5"/>
        <v>#N/A</v>
      </c>
      <c r="AT45" s="139" t="e">
        <f t="shared" si="6"/>
        <v>#N/A</v>
      </c>
      <c r="BB45" s="16" t="s">
        <v>596</v>
      </c>
    </row>
    <row r="46" spans="1:54" ht="102.75" customHeight="1">
      <c r="A46" s="428">
        <f t="shared" si="7"/>
        <v>38</v>
      </c>
      <c r="B46" s="447"/>
      <c r="C46" s="203"/>
      <c r="D46" s="301"/>
      <c r="E46" s="301"/>
      <c r="F46" s="301"/>
      <c r="G46" s="301"/>
      <c r="H46" s="302"/>
      <c r="I46" s="292"/>
      <c r="J46" s="61"/>
      <c r="K46" s="303"/>
      <c r="L46" s="303"/>
      <c r="M46" s="203"/>
      <c r="N46" s="84" t="str">
        <f>IF($AI46&lt;&gt;"",Master!$N$37,IF($AC46&lt;&gt;"",Master!$N$38,IF($S46&lt;&gt;"",Master!$N$39,IF($C46&lt;&gt;"",Master!$N$40,Master!$N$41))))</f>
        <v>起票</v>
      </c>
      <c r="O46" s="202" t="str">
        <f>IF($N46=Master!$N$37,MAX($S46,$AC46,$AI46),"")</f>
        <v/>
      </c>
      <c r="P46" s="65"/>
      <c r="Q46" s="203"/>
      <c r="R46" s="303"/>
      <c r="S46" s="203"/>
      <c r="T46" s="310"/>
      <c r="U46" s="304"/>
      <c r="V46" s="303"/>
      <c r="W46" s="306"/>
      <c r="X46" s="306"/>
      <c r="Y46" s="305"/>
      <c r="Z46" s="303"/>
      <c r="AA46" s="203"/>
      <c r="AB46" s="306"/>
      <c r="AC46" s="203"/>
      <c r="AD46" s="307"/>
      <c r="AE46" s="308"/>
      <c r="AF46" s="309"/>
      <c r="AG46" s="310"/>
      <c r="AH46" s="303"/>
      <c r="AI46" s="203"/>
      <c r="AJ46" s="311"/>
      <c r="AK46" s="451"/>
      <c r="AL46" s="329"/>
      <c r="AM46" s="60"/>
      <c r="AO46" s="137" t="e">
        <f t="shared" si="1"/>
        <v>#N/A</v>
      </c>
      <c r="AP46" s="138" t="e">
        <f t="shared" si="2"/>
        <v>#N/A</v>
      </c>
      <c r="AQ46" s="138" t="e">
        <f t="shared" si="3"/>
        <v>#N/A</v>
      </c>
      <c r="AR46" s="138" t="e">
        <f t="shared" si="4"/>
        <v>#N/A</v>
      </c>
      <c r="AS46" s="138" t="e">
        <f t="shared" si="5"/>
        <v>#N/A</v>
      </c>
      <c r="AT46" s="139" t="e">
        <f t="shared" si="6"/>
        <v>#N/A</v>
      </c>
      <c r="BB46" s="16" t="s">
        <v>596</v>
      </c>
    </row>
    <row r="47" spans="1:54" ht="102.75" customHeight="1">
      <c r="A47" s="428">
        <f t="shared" si="7"/>
        <v>39</v>
      </c>
      <c r="B47" s="447"/>
      <c r="C47" s="203"/>
      <c r="D47" s="301"/>
      <c r="E47" s="301"/>
      <c r="F47" s="301"/>
      <c r="G47" s="301"/>
      <c r="H47" s="302"/>
      <c r="I47" s="292"/>
      <c r="J47" s="61"/>
      <c r="K47" s="303"/>
      <c r="L47" s="303"/>
      <c r="M47" s="203"/>
      <c r="N47" s="84" t="str">
        <f>IF($AI47&lt;&gt;"",Master!$N$37,IF($AC47&lt;&gt;"",Master!$N$38,IF($S47&lt;&gt;"",Master!$N$39,IF($C47&lt;&gt;"",Master!$N$40,Master!$N$41))))</f>
        <v>起票</v>
      </c>
      <c r="O47" s="202" t="str">
        <f>IF($N47=Master!$N$37,MAX($S47,$AC47,$AI47),"")</f>
        <v/>
      </c>
      <c r="P47" s="65"/>
      <c r="Q47" s="203"/>
      <c r="R47" s="303"/>
      <c r="S47" s="203"/>
      <c r="T47" s="310"/>
      <c r="U47" s="304"/>
      <c r="V47" s="303"/>
      <c r="W47" s="306"/>
      <c r="X47" s="306"/>
      <c r="Y47" s="305"/>
      <c r="Z47" s="303"/>
      <c r="AA47" s="203"/>
      <c r="AB47" s="306"/>
      <c r="AC47" s="203"/>
      <c r="AD47" s="307"/>
      <c r="AE47" s="308"/>
      <c r="AF47" s="309"/>
      <c r="AG47" s="310"/>
      <c r="AH47" s="303"/>
      <c r="AI47" s="203"/>
      <c r="AJ47" s="311"/>
      <c r="AK47" s="451"/>
      <c r="AL47" s="329"/>
      <c r="AM47" s="60"/>
      <c r="AO47" s="137" t="e">
        <f t="shared" si="1"/>
        <v>#N/A</v>
      </c>
      <c r="AP47" s="138" t="e">
        <f t="shared" si="2"/>
        <v>#N/A</v>
      </c>
      <c r="AQ47" s="138" t="e">
        <f t="shared" si="3"/>
        <v>#N/A</v>
      </c>
      <c r="AR47" s="138" t="e">
        <f t="shared" si="4"/>
        <v>#N/A</v>
      </c>
      <c r="AS47" s="138" t="e">
        <f t="shared" si="5"/>
        <v>#N/A</v>
      </c>
      <c r="AT47" s="139" t="e">
        <f t="shared" si="6"/>
        <v>#N/A</v>
      </c>
      <c r="BB47" s="16" t="s">
        <v>596</v>
      </c>
    </row>
    <row r="48" spans="1:54" ht="102.75" customHeight="1">
      <c r="A48" s="428">
        <f t="shared" si="7"/>
        <v>40</v>
      </c>
      <c r="B48" s="447"/>
      <c r="C48" s="203"/>
      <c r="D48" s="301"/>
      <c r="E48" s="301"/>
      <c r="F48" s="301"/>
      <c r="G48" s="301"/>
      <c r="H48" s="302"/>
      <c r="I48" s="292"/>
      <c r="J48" s="61"/>
      <c r="K48" s="303"/>
      <c r="L48" s="303"/>
      <c r="M48" s="203"/>
      <c r="N48" s="84" t="str">
        <f>IF($AI48&lt;&gt;"",Master!$N$37,IF($AC48&lt;&gt;"",Master!$N$38,IF($S48&lt;&gt;"",Master!$N$39,IF($C48&lt;&gt;"",Master!$N$40,Master!$N$41))))</f>
        <v>起票</v>
      </c>
      <c r="O48" s="202" t="str">
        <f>IF($N48=Master!$N$37,MAX($S48,$AC48,$AI48),"")</f>
        <v/>
      </c>
      <c r="P48" s="65"/>
      <c r="Q48" s="203"/>
      <c r="R48" s="303"/>
      <c r="S48" s="203"/>
      <c r="T48" s="310"/>
      <c r="U48" s="304"/>
      <c r="V48" s="303"/>
      <c r="W48" s="306"/>
      <c r="X48" s="306"/>
      <c r="Y48" s="305"/>
      <c r="Z48" s="303"/>
      <c r="AA48" s="203"/>
      <c r="AB48" s="306"/>
      <c r="AC48" s="203"/>
      <c r="AD48" s="307"/>
      <c r="AE48" s="308"/>
      <c r="AF48" s="309"/>
      <c r="AG48" s="310"/>
      <c r="AH48" s="303"/>
      <c r="AI48" s="203"/>
      <c r="AJ48" s="311"/>
      <c r="AK48" s="451"/>
      <c r="AL48" s="59"/>
      <c r="AM48" s="60"/>
      <c r="AO48" s="137" t="e">
        <f t="shared" si="1"/>
        <v>#N/A</v>
      </c>
      <c r="AP48" s="138" t="e">
        <f t="shared" si="2"/>
        <v>#N/A</v>
      </c>
      <c r="AQ48" s="138" t="e">
        <f t="shared" si="3"/>
        <v>#N/A</v>
      </c>
      <c r="AR48" s="138" t="e">
        <f t="shared" si="4"/>
        <v>#N/A</v>
      </c>
      <c r="AS48" s="138" t="e">
        <f t="shared" si="5"/>
        <v>#N/A</v>
      </c>
      <c r="AT48" s="139" t="e">
        <f t="shared" si="6"/>
        <v>#N/A</v>
      </c>
      <c r="BB48" s="16" t="s">
        <v>596</v>
      </c>
    </row>
    <row r="49" spans="1:54" ht="102.75" customHeight="1">
      <c r="A49" s="428">
        <f t="shared" si="7"/>
        <v>41</v>
      </c>
      <c r="B49" s="447"/>
      <c r="C49" s="203"/>
      <c r="D49" s="301"/>
      <c r="E49" s="301"/>
      <c r="F49" s="301"/>
      <c r="G49" s="301"/>
      <c r="H49" s="302"/>
      <c r="I49" s="292"/>
      <c r="J49" s="61"/>
      <c r="K49" s="303"/>
      <c r="L49" s="303"/>
      <c r="M49" s="203"/>
      <c r="N49" s="84" t="str">
        <f>IF($AI49&lt;&gt;"",Master!$N$37,IF($AC49&lt;&gt;"",Master!$N$38,IF($S49&lt;&gt;"",Master!$N$39,IF($C49&lt;&gt;"",Master!$N$40,Master!$N$41))))</f>
        <v>起票</v>
      </c>
      <c r="O49" s="202" t="str">
        <f>IF($N49=Master!$N$37,MAX($S49,$AC49,$AI49),"")</f>
        <v/>
      </c>
      <c r="P49" s="65"/>
      <c r="Q49" s="203"/>
      <c r="R49" s="303"/>
      <c r="S49" s="203"/>
      <c r="T49" s="310"/>
      <c r="U49" s="304"/>
      <c r="V49" s="303"/>
      <c r="W49" s="306"/>
      <c r="X49" s="306"/>
      <c r="Y49" s="305"/>
      <c r="Z49" s="303"/>
      <c r="AA49" s="203"/>
      <c r="AB49" s="306"/>
      <c r="AC49" s="203"/>
      <c r="AD49" s="307"/>
      <c r="AE49" s="308"/>
      <c r="AF49" s="309"/>
      <c r="AG49" s="310"/>
      <c r="AH49" s="303"/>
      <c r="AI49" s="203"/>
      <c r="AJ49" s="311"/>
      <c r="AK49" s="451"/>
      <c r="AL49" s="59"/>
      <c r="AM49" s="60"/>
      <c r="AO49" s="137" t="e">
        <f t="shared" si="1"/>
        <v>#N/A</v>
      </c>
      <c r="AP49" s="138" t="e">
        <f t="shared" si="2"/>
        <v>#N/A</v>
      </c>
      <c r="AQ49" s="138" t="e">
        <f t="shared" si="3"/>
        <v>#N/A</v>
      </c>
      <c r="AR49" s="138" t="e">
        <f t="shared" si="4"/>
        <v>#N/A</v>
      </c>
      <c r="AS49" s="138" t="e">
        <f t="shared" si="5"/>
        <v>#N/A</v>
      </c>
      <c r="AT49" s="139" t="e">
        <f t="shared" si="6"/>
        <v>#N/A</v>
      </c>
      <c r="BB49" s="16" t="s">
        <v>596</v>
      </c>
    </row>
    <row r="50" spans="1:54" ht="102.75" customHeight="1">
      <c r="A50" s="428">
        <f t="shared" si="7"/>
        <v>42</v>
      </c>
      <c r="B50" s="447"/>
      <c r="C50" s="203"/>
      <c r="D50" s="301"/>
      <c r="E50" s="301"/>
      <c r="F50" s="301"/>
      <c r="G50" s="301"/>
      <c r="H50" s="302"/>
      <c r="I50" s="292"/>
      <c r="J50" s="61"/>
      <c r="K50" s="303"/>
      <c r="L50" s="303"/>
      <c r="M50" s="203"/>
      <c r="N50" s="84" t="str">
        <f>IF($AI50&lt;&gt;"",Master!$N$37,IF($AC50&lt;&gt;"",Master!$N$38,IF($S50&lt;&gt;"",Master!$N$39,IF($C50&lt;&gt;"",Master!$N$40,Master!$N$41))))</f>
        <v>起票</v>
      </c>
      <c r="O50" s="202" t="str">
        <f>IF($N50=Master!$N$37,MAX($S50,$AC50,$AI50),"")</f>
        <v/>
      </c>
      <c r="P50" s="65"/>
      <c r="Q50" s="203"/>
      <c r="R50" s="303"/>
      <c r="S50" s="203"/>
      <c r="T50" s="310"/>
      <c r="U50" s="304"/>
      <c r="V50" s="303"/>
      <c r="W50" s="306"/>
      <c r="X50" s="306"/>
      <c r="Y50" s="305"/>
      <c r="Z50" s="303"/>
      <c r="AA50" s="203"/>
      <c r="AB50" s="306"/>
      <c r="AC50" s="203"/>
      <c r="AD50" s="307"/>
      <c r="AE50" s="308"/>
      <c r="AF50" s="309"/>
      <c r="AG50" s="310"/>
      <c r="AH50" s="303"/>
      <c r="AI50" s="203"/>
      <c r="AJ50" s="311"/>
      <c r="AK50" s="451"/>
      <c r="AL50" s="329"/>
      <c r="AM50" s="60"/>
      <c r="AO50" s="137" t="e">
        <f t="shared" si="1"/>
        <v>#N/A</v>
      </c>
      <c r="AP50" s="138" t="e">
        <f t="shared" si="2"/>
        <v>#N/A</v>
      </c>
      <c r="AQ50" s="138" t="e">
        <f t="shared" si="3"/>
        <v>#N/A</v>
      </c>
      <c r="AR50" s="138" t="e">
        <f t="shared" si="4"/>
        <v>#N/A</v>
      </c>
      <c r="AS50" s="138" t="e">
        <f t="shared" si="5"/>
        <v>#N/A</v>
      </c>
      <c r="AT50" s="139" t="e">
        <f t="shared" si="6"/>
        <v>#N/A</v>
      </c>
      <c r="BB50" s="16" t="s">
        <v>596</v>
      </c>
    </row>
    <row r="51" spans="1:54" ht="102.75" customHeight="1">
      <c r="A51" s="428">
        <f t="shared" si="7"/>
        <v>43</v>
      </c>
      <c r="B51" s="447"/>
      <c r="C51" s="203"/>
      <c r="D51" s="301"/>
      <c r="E51" s="301"/>
      <c r="F51" s="301"/>
      <c r="G51" s="301"/>
      <c r="H51" s="302"/>
      <c r="I51" s="292"/>
      <c r="J51" s="61"/>
      <c r="K51" s="303"/>
      <c r="L51" s="303"/>
      <c r="M51" s="203"/>
      <c r="N51" s="84" t="str">
        <f>IF($AI51&lt;&gt;"",Master!$N$37,IF($AC51&lt;&gt;"",Master!$N$38,IF($S51&lt;&gt;"",Master!$N$39,IF($C51&lt;&gt;"",Master!$N$40,Master!$N$41))))</f>
        <v>起票</v>
      </c>
      <c r="O51" s="202" t="str">
        <f>IF($N51=Master!$N$37,MAX($S51,$AC51,$AI51),"")</f>
        <v/>
      </c>
      <c r="P51" s="65"/>
      <c r="Q51" s="203"/>
      <c r="R51" s="303"/>
      <c r="S51" s="203"/>
      <c r="T51" s="310"/>
      <c r="U51" s="304"/>
      <c r="V51" s="303"/>
      <c r="W51" s="306"/>
      <c r="X51" s="306"/>
      <c r="Y51" s="305"/>
      <c r="Z51" s="303"/>
      <c r="AA51" s="203"/>
      <c r="AB51" s="306"/>
      <c r="AC51" s="203"/>
      <c r="AD51" s="307"/>
      <c r="AE51" s="308"/>
      <c r="AF51" s="309"/>
      <c r="AG51" s="310"/>
      <c r="AH51" s="303"/>
      <c r="AI51" s="203"/>
      <c r="AJ51" s="311"/>
      <c r="AK51" s="451"/>
      <c r="AL51" s="329"/>
      <c r="AM51" s="60"/>
      <c r="AO51" s="137" t="e">
        <f t="shared" si="1"/>
        <v>#N/A</v>
      </c>
      <c r="AP51" s="138" t="e">
        <f t="shared" si="2"/>
        <v>#N/A</v>
      </c>
      <c r="AQ51" s="138" t="e">
        <f t="shared" si="3"/>
        <v>#N/A</v>
      </c>
      <c r="AR51" s="138" t="e">
        <f t="shared" si="4"/>
        <v>#N/A</v>
      </c>
      <c r="AS51" s="138" t="e">
        <f t="shared" si="5"/>
        <v>#N/A</v>
      </c>
      <c r="AT51" s="139" t="e">
        <f t="shared" si="6"/>
        <v>#N/A</v>
      </c>
      <c r="BB51" s="16" t="s">
        <v>596</v>
      </c>
    </row>
    <row r="52" spans="1:54" ht="102.75" customHeight="1">
      <c r="A52" s="428">
        <f t="shared" si="7"/>
        <v>44</v>
      </c>
      <c r="B52" s="447"/>
      <c r="C52" s="203"/>
      <c r="D52" s="301"/>
      <c r="E52" s="301"/>
      <c r="F52" s="301"/>
      <c r="G52" s="301"/>
      <c r="H52" s="302"/>
      <c r="I52" s="292"/>
      <c r="J52" s="61"/>
      <c r="K52" s="303"/>
      <c r="L52" s="303"/>
      <c r="M52" s="203"/>
      <c r="N52" s="84" t="str">
        <f>IF($AI52&lt;&gt;"",Master!$N$37,IF($AC52&lt;&gt;"",Master!$N$38,IF($S52&lt;&gt;"",Master!$N$39,IF($C52&lt;&gt;"",Master!$N$40,Master!$N$41))))</f>
        <v>起票</v>
      </c>
      <c r="O52" s="202" t="str">
        <f>IF($N52=Master!$N$37,MAX($S52,$AC52,$AI52),"")</f>
        <v/>
      </c>
      <c r="P52" s="65"/>
      <c r="Q52" s="203"/>
      <c r="R52" s="65"/>
      <c r="S52" s="203"/>
      <c r="T52" s="310"/>
      <c r="U52" s="304"/>
      <c r="V52" s="303"/>
      <c r="W52" s="306"/>
      <c r="X52" s="306"/>
      <c r="Y52" s="305"/>
      <c r="Z52" s="303"/>
      <c r="AA52" s="203"/>
      <c r="AB52" s="306"/>
      <c r="AC52" s="203"/>
      <c r="AD52" s="307"/>
      <c r="AE52" s="308"/>
      <c r="AF52" s="309"/>
      <c r="AG52" s="310"/>
      <c r="AH52" s="303"/>
      <c r="AI52" s="203"/>
      <c r="AJ52" s="311"/>
      <c r="AK52" s="451"/>
      <c r="AL52" s="329"/>
      <c r="AM52" s="60"/>
      <c r="AO52" s="137" t="e">
        <f t="shared" si="1"/>
        <v>#N/A</v>
      </c>
      <c r="AP52" s="138" t="e">
        <f t="shared" si="2"/>
        <v>#N/A</v>
      </c>
      <c r="AQ52" s="138" t="e">
        <f t="shared" si="3"/>
        <v>#N/A</v>
      </c>
      <c r="AR52" s="138" t="e">
        <f t="shared" si="4"/>
        <v>#N/A</v>
      </c>
      <c r="AS52" s="138" t="e">
        <f t="shared" si="5"/>
        <v>#N/A</v>
      </c>
      <c r="AT52" s="139" t="e">
        <f t="shared" si="6"/>
        <v>#N/A</v>
      </c>
      <c r="BB52" s="16" t="s">
        <v>596</v>
      </c>
    </row>
    <row r="53" spans="1:54" ht="102.75" customHeight="1">
      <c r="A53" s="428">
        <f t="shared" si="7"/>
        <v>45</v>
      </c>
      <c r="B53" s="447"/>
      <c r="C53" s="203"/>
      <c r="D53" s="301"/>
      <c r="E53" s="301"/>
      <c r="F53" s="301"/>
      <c r="G53" s="301"/>
      <c r="H53" s="302"/>
      <c r="I53" s="292"/>
      <c r="J53" s="61"/>
      <c r="K53" s="303"/>
      <c r="L53" s="303"/>
      <c r="M53" s="203"/>
      <c r="N53" s="84" t="str">
        <f>IF($AI53&lt;&gt;"",Master!$N$37,IF($AC53&lt;&gt;"",Master!$N$38,IF($S53&lt;&gt;"",Master!$N$39,IF($C53&lt;&gt;"",Master!$N$40,Master!$N$41))))</f>
        <v>起票</v>
      </c>
      <c r="O53" s="202" t="str">
        <f>IF($N53=Master!$N$37,MAX($S53,$AC53,$AI53),"")</f>
        <v/>
      </c>
      <c r="P53" s="303"/>
      <c r="Q53" s="203"/>
      <c r="R53" s="303"/>
      <c r="S53" s="203"/>
      <c r="T53" s="310"/>
      <c r="U53" s="304"/>
      <c r="V53" s="303"/>
      <c r="W53" s="306"/>
      <c r="X53" s="306"/>
      <c r="Y53" s="305"/>
      <c r="Z53" s="303"/>
      <c r="AA53" s="203"/>
      <c r="AB53" s="303"/>
      <c r="AC53" s="203"/>
      <c r="AD53" s="307"/>
      <c r="AE53" s="308"/>
      <c r="AF53" s="309"/>
      <c r="AG53" s="310"/>
      <c r="AH53" s="303"/>
      <c r="AI53" s="310"/>
      <c r="AJ53" s="311"/>
      <c r="AK53" s="451"/>
      <c r="AL53" s="329"/>
      <c r="AM53" s="60"/>
      <c r="AO53" s="137" t="e">
        <f t="shared" si="1"/>
        <v>#N/A</v>
      </c>
      <c r="AP53" s="138" t="e">
        <f t="shared" si="2"/>
        <v>#N/A</v>
      </c>
      <c r="AQ53" s="138" t="e">
        <f t="shared" si="3"/>
        <v>#N/A</v>
      </c>
      <c r="AR53" s="138" t="e">
        <f t="shared" si="4"/>
        <v>#N/A</v>
      </c>
      <c r="AS53" s="138" t="e">
        <f t="shared" si="5"/>
        <v>#N/A</v>
      </c>
      <c r="AT53" s="139" t="e">
        <f t="shared" si="6"/>
        <v>#N/A</v>
      </c>
      <c r="BB53" s="16" t="s">
        <v>596</v>
      </c>
    </row>
    <row r="54" spans="1:54" ht="102.75" customHeight="1">
      <c r="A54" s="428">
        <f t="shared" si="7"/>
        <v>46</v>
      </c>
      <c r="B54" s="447"/>
      <c r="C54" s="203"/>
      <c r="D54" s="301"/>
      <c r="E54" s="301"/>
      <c r="F54" s="301"/>
      <c r="G54" s="301"/>
      <c r="H54" s="302"/>
      <c r="I54" s="292"/>
      <c r="J54" s="61"/>
      <c r="K54" s="303"/>
      <c r="L54" s="303"/>
      <c r="M54" s="203"/>
      <c r="N54" s="84" t="str">
        <f>IF($AI54&lt;&gt;"",Master!$N$37,IF($AC54&lt;&gt;"",Master!$N$38,IF($S54&lt;&gt;"",Master!$N$39,IF($C54&lt;&gt;"",Master!$N$40,Master!$N$41))))</f>
        <v>起票</v>
      </c>
      <c r="O54" s="202" t="str">
        <f>IF($N54=Master!$N$37,MAX($S54,$AC54,$AI54),"")</f>
        <v/>
      </c>
      <c r="P54" s="65"/>
      <c r="Q54" s="203"/>
      <c r="R54" s="303"/>
      <c r="S54" s="203"/>
      <c r="T54" s="310"/>
      <c r="U54" s="304"/>
      <c r="V54" s="303"/>
      <c r="W54" s="306"/>
      <c r="X54" s="306"/>
      <c r="Y54" s="305"/>
      <c r="Z54" s="303"/>
      <c r="AA54" s="203"/>
      <c r="AB54" s="306"/>
      <c r="AC54" s="203"/>
      <c r="AD54" s="307"/>
      <c r="AE54" s="308"/>
      <c r="AF54" s="309"/>
      <c r="AG54" s="310"/>
      <c r="AH54" s="303"/>
      <c r="AI54" s="203"/>
      <c r="AJ54" s="311"/>
      <c r="AK54" s="451"/>
      <c r="AL54" s="329"/>
      <c r="AM54" s="60"/>
      <c r="AO54" s="137" t="e">
        <f t="shared" si="1"/>
        <v>#N/A</v>
      </c>
      <c r="AP54" s="138" t="e">
        <f t="shared" si="2"/>
        <v>#N/A</v>
      </c>
      <c r="AQ54" s="138" t="e">
        <f t="shared" si="3"/>
        <v>#N/A</v>
      </c>
      <c r="AR54" s="138" t="e">
        <f t="shared" si="4"/>
        <v>#N/A</v>
      </c>
      <c r="AS54" s="138" t="e">
        <f t="shared" si="5"/>
        <v>#N/A</v>
      </c>
      <c r="AT54" s="139" t="e">
        <f t="shared" si="6"/>
        <v>#N/A</v>
      </c>
      <c r="BB54" s="16" t="s">
        <v>596</v>
      </c>
    </row>
    <row r="55" spans="1:54" ht="102.75" customHeight="1">
      <c r="A55" s="428">
        <f t="shared" si="7"/>
        <v>47</v>
      </c>
      <c r="B55" s="447"/>
      <c r="C55" s="203"/>
      <c r="D55" s="301"/>
      <c r="E55" s="301"/>
      <c r="F55" s="301"/>
      <c r="G55" s="301"/>
      <c r="H55" s="302"/>
      <c r="I55" s="292"/>
      <c r="J55" s="61"/>
      <c r="K55" s="303"/>
      <c r="L55" s="303"/>
      <c r="M55" s="203"/>
      <c r="N55" s="84" t="str">
        <f>IF($AI55&lt;&gt;"",Master!$N$37,IF($AC55&lt;&gt;"",Master!$N$38,IF($S55&lt;&gt;"",Master!$N$39,IF($C55&lt;&gt;"",Master!$N$40,Master!$N$41))))</f>
        <v>起票</v>
      </c>
      <c r="O55" s="202" t="str">
        <f>IF($N55=Master!$N$37,MAX($S55,$AC55,$AI55),"")</f>
        <v/>
      </c>
      <c r="P55" s="65"/>
      <c r="Q55" s="203"/>
      <c r="R55" s="65"/>
      <c r="S55" s="203"/>
      <c r="T55" s="310"/>
      <c r="U55" s="304"/>
      <c r="V55" s="303"/>
      <c r="W55" s="306"/>
      <c r="X55" s="306"/>
      <c r="Y55" s="305"/>
      <c r="Z55" s="303"/>
      <c r="AA55" s="203"/>
      <c r="AB55" s="306"/>
      <c r="AC55" s="203"/>
      <c r="AD55" s="307"/>
      <c r="AE55" s="308"/>
      <c r="AF55" s="309"/>
      <c r="AG55" s="310"/>
      <c r="AH55" s="303"/>
      <c r="AI55" s="203"/>
      <c r="AJ55" s="311"/>
      <c r="AK55" s="451"/>
      <c r="AL55" s="329"/>
      <c r="AM55" s="60"/>
      <c r="AO55" s="137" t="e">
        <f t="shared" si="1"/>
        <v>#N/A</v>
      </c>
      <c r="AP55" s="138" t="e">
        <f t="shared" si="2"/>
        <v>#N/A</v>
      </c>
      <c r="AQ55" s="138" t="e">
        <f t="shared" si="3"/>
        <v>#N/A</v>
      </c>
      <c r="AR55" s="138" t="e">
        <f t="shared" si="4"/>
        <v>#N/A</v>
      </c>
      <c r="AS55" s="138" t="e">
        <f t="shared" si="5"/>
        <v>#N/A</v>
      </c>
      <c r="AT55" s="139" t="e">
        <f t="shared" si="6"/>
        <v>#N/A</v>
      </c>
      <c r="BB55" s="16" t="s">
        <v>596</v>
      </c>
    </row>
    <row r="56" spans="1:54" ht="102.75" customHeight="1">
      <c r="A56" s="428">
        <f t="shared" si="7"/>
        <v>48</v>
      </c>
      <c r="B56" s="447"/>
      <c r="C56" s="203"/>
      <c r="D56" s="301"/>
      <c r="E56" s="301"/>
      <c r="F56" s="301"/>
      <c r="G56" s="301"/>
      <c r="H56" s="302"/>
      <c r="I56" s="292"/>
      <c r="J56" s="61"/>
      <c r="K56" s="303"/>
      <c r="L56" s="303"/>
      <c r="M56" s="203"/>
      <c r="N56" s="84" t="str">
        <f>IF($AI56&lt;&gt;"",Master!$N$37,IF($AC56&lt;&gt;"",Master!$N$38,IF($S56&lt;&gt;"",Master!$N$39,IF($C56&lt;&gt;"",Master!$N$40,Master!$N$41))))</f>
        <v>起票</v>
      </c>
      <c r="O56" s="202" t="str">
        <f>IF($N56=Master!$N$37,MAX($S56,$AC56,$AI56),"")</f>
        <v/>
      </c>
      <c r="P56" s="65"/>
      <c r="Q56" s="203"/>
      <c r="R56" s="65"/>
      <c r="S56" s="203"/>
      <c r="T56" s="310"/>
      <c r="U56" s="304"/>
      <c r="V56" s="303"/>
      <c r="W56" s="306"/>
      <c r="X56" s="306"/>
      <c r="Y56" s="305"/>
      <c r="Z56" s="303"/>
      <c r="AA56" s="203"/>
      <c r="AB56" s="303"/>
      <c r="AC56" s="203"/>
      <c r="AD56" s="307"/>
      <c r="AE56" s="308"/>
      <c r="AF56" s="309"/>
      <c r="AG56" s="310"/>
      <c r="AH56" s="303"/>
      <c r="AI56" s="203"/>
      <c r="AJ56" s="311"/>
      <c r="AK56" s="451"/>
      <c r="AL56" s="329"/>
      <c r="AM56" s="60"/>
      <c r="AO56" s="137" t="e">
        <f t="shared" si="1"/>
        <v>#N/A</v>
      </c>
      <c r="AP56" s="138" t="e">
        <f t="shared" si="2"/>
        <v>#N/A</v>
      </c>
      <c r="AQ56" s="138" t="e">
        <f t="shared" si="3"/>
        <v>#N/A</v>
      </c>
      <c r="AR56" s="138" t="e">
        <f t="shared" si="4"/>
        <v>#N/A</v>
      </c>
      <c r="AS56" s="138" t="e">
        <f t="shared" si="5"/>
        <v>#N/A</v>
      </c>
      <c r="AT56" s="139" t="e">
        <f t="shared" si="6"/>
        <v>#N/A</v>
      </c>
      <c r="BB56" s="16" t="s">
        <v>596</v>
      </c>
    </row>
    <row r="57" spans="1:54" ht="102.75" customHeight="1">
      <c r="A57" s="428">
        <f t="shared" si="7"/>
        <v>49</v>
      </c>
      <c r="B57" s="447"/>
      <c r="C57" s="203"/>
      <c r="D57" s="301"/>
      <c r="E57" s="301"/>
      <c r="F57" s="301"/>
      <c r="G57" s="301"/>
      <c r="H57" s="302"/>
      <c r="I57" s="292"/>
      <c r="J57" s="61"/>
      <c r="K57" s="303"/>
      <c r="L57" s="303"/>
      <c r="M57" s="203"/>
      <c r="N57" s="84" t="str">
        <f>IF($AI57&lt;&gt;"",Master!$N$37,IF($AC57&lt;&gt;"",Master!$N$38,IF($S57&lt;&gt;"",Master!$N$39,IF($C57&lt;&gt;"",Master!$N$40,Master!$N$41))))</f>
        <v>起票</v>
      </c>
      <c r="O57" s="202" t="str">
        <f>IF($N57=Master!$N$37,MAX($S57,$AC57,$AI57),"")</f>
        <v/>
      </c>
      <c r="P57" s="65"/>
      <c r="Q57" s="203"/>
      <c r="R57" s="65"/>
      <c r="S57" s="203"/>
      <c r="T57" s="310"/>
      <c r="U57" s="304"/>
      <c r="V57" s="303"/>
      <c r="W57" s="306"/>
      <c r="X57" s="306"/>
      <c r="Y57" s="305"/>
      <c r="Z57" s="303"/>
      <c r="AA57" s="203"/>
      <c r="AB57" s="303"/>
      <c r="AC57" s="203"/>
      <c r="AD57" s="307"/>
      <c r="AE57" s="308"/>
      <c r="AF57" s="303"/>
      <c r="AG57" s="310"/>
      <c r="AH57" s="303"/>
      <c r="AI57" s="203"/>
      <c r="AJ57" s="311"/>
      <c r="AK57" s="451"/>
      <c r="AL57" s="329"/>
      <c r="AM57" s="60"/>
      <c r="AO57" s="137" t="e">
        <f t="shared" si="1"/>
        <v>#N/A</v>
      </c>
      <c r="AP57" s="138" t="e">
        <f t="shared" si="2"/>
        <v>#N/A</v>
      </c>
      <c r="AQ57" s="138" t="e">
        <f t="shared" si="3"/>
        <v>#N/A</v>
      </c>
      <c r="AR57" s="138" t="e">
        <f t="shared" si="4"/>
        <v>#N/A</v>
      </c>
      <c r="AS57" s="138" t="e">
        <f t="shared" si="5"/>
        <v>#N/A</v>
      </c>
      <c r="AT57" s="139" t="e">
        <f t="shared" si="6"/>
        <v>#N/A</v>
      </c>
      <c r="BB57" s="16" t="s">
        <v>596</v>
      </c>
    </row>
    <row r="58" spans="1:54" ht="102.75" customHeight="1">
      <c r="A58" s="428">
        <f t="shared" si="7"/>
        <v>50</v>
      </c>
      <c r="B58" s="447"/>
      <c r="C58" s="203"/>
      <c r="D58" s="301"/>
      <c r="E58" s="301"/>
      <c r="F58" s="301"/>
      <c r="G58" s="301"/>
      <c r="H58" s="302"/>
      <c r="I58" s="292"/>
      <c r="J58" s="61"/>
      <c r="K58" s="303"/>
      <c r="L58" s="303"/>
      <c r="M58" s="203"/>
      <c r="N58" s="84" t="str">
        <f>IF($AI58&lt;&gt;"",Master!$N$37,IF($AC58&lt;&gt;"",Master!$N$38,IF($S58&lt;&gt;"",Master!$N$39,IF($C58&lt;&gt;"",Master!$N$40,Master!$N$41))))</f>
        <v>起票</v>
      </c>
      <c r="O58" s="202" t="str">
        <f>IF($N58=Master!$N$37,MAX($S58,$AC58,$AI58),"")</f>
        <v/>
      </c>
      <c r="P58" s="65"/>
      <c r="Q58" s="203"/>
      <c r="R58" s="303"/>
      <c r="S58" s="203"/>
      <c r="T58" s="310"/>
      <c r="U58" s="304"/>
      <c r="V58" s="303"/>
      <c r="W58" s="306"/>
      <c r="X58" s="306"/>
      <c r="Y58" s="305"/>
      <c r="Z58" s="303"/>
      <c r="AA58" s="203"/>
      <c r="AB58" s="303"/>
      <c r="AC58" s="203"/>
      <c r="AD58" s="307"/>
      <c r="AE58" s="308"/>
      <c r="AF58" s="309"/>
      <c r="AG58" s="310"/>
      <c r="AH58" s="303"/>
      <c r="AI58" s="203"/>
      <c r="AJ58" s="311"/>
      <c r="AK58" s="451"/>
      <c r="AL58" s="329"/>
      <c r="AM58" s="60"/>
      <c r="AO58" s="137" t="e">
        <f t="shared" si="1"/>
        <v>#N/A</v>
      </c>
      <c r="AP58" s="138" t="e">
        <f t="shared" si="2"/>
        <v>#N/A</v>
      </c>
      <c r="AQ58" s="138" t="e">
        <f t="shared" si="3"/>
        <v>#N/A</v>
      </c>
      <c r="AR58" s="138" t="e">
        <f t="shared" si="4"/>
        <v>#N/A</v>
      </c>
      <c r="AS58" s="138" t="e">
        <f t="shared" si="5"/>
        <v>#N/A</v>
      </c>
      <c r="AT58" s="139" t="e">
        <f t="shared" si="6"/>
        <v>#N/A</v>
      </c>
      <c r="BB58" s="16" t="s">
        <v>596</v>
      </c>
    </row>
    <row r="59" spans="1:54" ht="102.75" customHeight="1">
      <c r="A59" s="428">
        <f t="shared" si="7"/>
        <v>51</v>
      </c>
      <c r="B59" s="294"/>
      <c r="C59" s="203"/>
      <c r="D59" s="301"/>
      <c r="E59" s="301"/>
      <c r="F59" s="301"/>
      <c r="G59" s="301"/>
      <c r="H59" s="302"/>
      <c r="I59" s="292"/>
      <c r="J59" s="61"/>
      <c r="K59" s="303"/>
      <c r="L59" s="303"/>
      <c r="M59" s="203"/>
      <c r="N59" s="84" t="str">
        <f>IF($AI59&lt;&gt;"",Master!$N$37,IF($AC59&lt;&gt;"",Master!$N$38,IF($S59&lt;&gt;"",Master!$N$39,IF($C59&lt;&gt;"",Master!$N$40,Master!$N$41))))</f>
        <v>起票</v>
      </c>
      <c r="O59" s="202" t="str">
        <f>IF($N59=Master!$N$37,MAX($S59,$AC59,$AI59),"")</f>
        <v/>
      </c>
      <c r="P59" s="65"/>
      <c r="Q59" s="203"/>
      <c r="R59" s="65"/>
      <c r="S59" s="203"/>
      <c r="T59" s="310"/>
      <c r="U59" s="304"/>
      <c r="V59" s="303"/>
      <c r="W59" s="306"/>
      <c r="X59" s="306"/>
      <c r="Y59" s="305"/>
      <c r="Z59" s="303"/>
      <c r="AA59" s="203"/>
      <c r="AB59" s="303"/>
      <c r="AC59" s="203"/>
      <c r="AD59" s="307"/>
      <c r="AE59" s="308"/>
      <c r="AF59" s="309"/>
      <c r="AG59" s="310"/>
      <c r="AH59" s="303"/>
      <c r="AI59" s="203"/>
      <c r="AJ59" s="311"/>
      <c r="AK59" s="451"/>
      <c r="AL59" s="329"/>
      <c r="AM59" s="60"/>
      <c r="AO59" s="137" t="e">
        <f t="shared" si="1"/>
        <v>#N/A</v>
      </c>
      <c r="AP59" s="138" t="e">
        <f t="shared" si="2"/>
        <v>#N/A</v>
      </c>
      <c r="AQ59" s="138" t="e">
        <f t="shared" si="3"/>
        <v>#N/A</v>
      </c>
      <c r="AR59" s="138" t="e">
        <f t="shared" si="4"/>
        <v>#N/A</v>
      </c>
      <c r="AS59" s="138" t="e">
        <f t="shared" si="5"/>
        <v>#N/A</v>
      </c>
      <c r="AT59" s="139" t="e">
        <f t="shared" si="6"/>
        <v>#N/A</v>
      </c>
      <c r="BB59" s="16" t="s">
        <v>596</v>
      </c>
    </row>
    <row r="60" spans="1:54" ht="102.75" customHeight="1">
      <c r="A60" s="428">
        <f t="shared" si="7"/>
        <v>52</v>
      </c>
      <c r="B60" s="294"/>
      <c r="C60" s="203"/>
      <c r="D60" s="301"/>
      <c r="E60" s="301"/>
      <c r="F60" s="301"/>
      <c r="G60" s="301"/>
      <c r="H60" s="302"/>
      <c r="I60" s="292"/>
      <c r="J60" s="61"/>
      <c r="K60" s="303"/>
      <c r="L60" s="303"/>
      <c r="M60" s="203"/>
      <c r="N60" s="84" t="str">
        <f>IF($AI60&lt;&gt;"",Master!$N$37,IF($AC60&lt;&gt;"",Master!$N$38,IF($S60&lt;&gt;"",Master!$N$39,IF($C60&lt;&gt;"",Master!$N$40,Master!$N$41))))</f>
        <v>起票</v>
      </c>
      <c r="O60" s="202" t="str">
        <f>IF($N60=Master!$N$37,MAX($S60,$AC60,$AI60),"")</f>
        <v/>
      </c>
      <c r="P60" s="65"/>
      <c r="Q60" s="203"/>
      <c r="R60" s="65"/>
      <c r="S60" s="203"/>
      <c r="T60" s="310"/>
      <c r="U60" s="304"/>
      <c r="V60" s="303"/>
      <c r="W60" s="306"/>
      <c r="X60" s="306"/>
      <c r="Y60" s="305"/>
      <c r="Z60" s="303"/>
      <c r="AA60" s="203"/>
      <c r="AB60" s="303"/>
      <c r="AC60" s="203"/>
      <c r="AD60" s="307"/>
      <c r="AE60" s="308"/>
      <c r="AF60" s="309"/>
      <c r="AG60" s="310"/>
      <c r="AH60" s="303"/>
      <c r="AI60" s="203"/>
      <c r="AJ60" s="311"/>
      <c r="AK60" s="451"/>
      <c r="AL60" s="329"/>
      <c r="AM60" s="60"/>
      <c r="AO60" s="137" t="e">
        <f t="shared" si="1"/>
        <v>#N/A</v>
      </c>
      <c r="AP60" s="138" t="e">
        <f t="shared" si="2"/>
        <v>#N/A</v>
      </c>
      <c r="AQ60" s="138" t="e">
        <f t="shared" si="3"/>
        <v>#N/A</v>
      </c>
      <c r="AR60" s="138" t="e">
        <f t="shared" si="4"/>
        <v>#N/A</v>
      </c>
      <c r="AS60" s="138" t="e">
        <f t="shared" si="5"/>
        <v>#N/A</v>
      </c>
      <c r="AT60" s="139" t="e">
        <f t="shared" si="6"/>
        <v>#N/A</v>
      </c>
      <c r="BB60" s="16" t="s">
        <v>596</v>
      </c>
    </row>
    <row r="61" spans="1:54" ht="102.75" customHeight="1">
      <c r="A61" s="428">
        <f t="shared" si="7"/>
        <v>53</v>
      </c>
      <c r="B61" s="294"/>
      <c r="C61" s="203"/>
      <c r="D61" s="301"/>
      <c r="E61" s="301"/>
      <c r="F61" s="301"/>
      <c r="G61" s="301"/>
      <c r="H61" s="302"/>
      <c r="I61" s="292"/>
      <c r="J61" s="61"/>
      <c r="K61" s="303"/>
      <c r="L61" s="303"/>
      <c r="M61" s="203"/>
      <c r="N61" s="84" t="str">
        <f>IF($AI61&lt;&gt;"",Master!$N$37,IF($AC61&lt;&gt;"",Master!$N$38,IF($S61&lt;&gt;"",Master!$N$39,IF($C61&lt;&gt;"",Master!$N$40,Master!$N$41))))</f>
        <v>起票</v>
      </c>
      <c r="O61" s="202" t="str">
        <f>IF($N61=Master!$N$37,MAX($S61,$AC61,$AI61),"")</f>
        <v/>
      </c>
      <c r="P61" s="65"/>
      <c r="Q61" s="203"/>
      <c r="R61" s="303"/>
      <c r="S61" s="203"/>
      <c r="T61" s="310"/>
      <c r="U61" s="304"/>
      <c r="V61" s="303"/>
      <c r="W61" s="306"/>
      <c r="X61" s="306"/>
      <c r="Y61" s="305"/>
      <c r="Z61" s="303"/>
      <c r="AA61" s="203"/>
      <c r="AB61" s="306"/>
      <c r="AC61" s="203"/>
      <c r="AD61" s="307"/>
      <c r="AE61" s="308"/>
      <c r="AF61" s="309"/>
      <c r="AG61" s="310"/>
      <c r="AH61" s="303"/>
      <c r="AI61" s="203"/>
      <c r="AJ61" s="311"/>
      <c r="AK61" s="451"/>
      <c r="AL61" s="329"/>
      <c r="AM61" s="60"/>
      <c r="AO61" s="137" t="e">
        <f t="shared" si="1"/>
        <v>#N/A</v>
      </c>
      <c r="AP61" s="138" t="e">
        <f t="shared" si="2"/>
        <v>#N/A</v>
      </c>
      <c r="AQ61" s="138" t="e">
        <f t="shared" si="3"/>
        <v>#N/A</v>
      </c>
      <c r="AR61" s="138" t="e">
        <f t="shared" si="4"/>
        <v>#N/A</v>
      </c>
      <c r="AS61" s="138" t="e">
        <f t="shared" si="5"/>
        <v>#N/A</v>
      </c>
      <c r="AT61" s="139" t="e">
        <f t="shared" si="6"/>
        <v>#N/A</v>
      </c>
      <c r="BB61" s="16" t="s">
        <v>596</v>
      </c>
    </row>
    <row r="62" spans="1:54" ht="102.75" customHeight="1">
      <c r="A62" s="428">
        <f t="shared" si="7"/>
        <v>54</v>
      </c>
      <c r="B62" s="294"/>
      <c r="C62" s="203"/>
      <c r="D62" s="301"/>
      <c r="E62" s="301"/>
      <c r="F62" s="301"/>
      <c r="G62" s="301"/>
      <c r="H62" s="302"/>
      <c r="I62" s="292"/>
      <c r="J62" s="61"/>
      <c r="K62" s="303"/>
      <c r="L62" s="303"/>
      <c r="M62" s="203"/>
      <c r="N62" s="84" t="str">
        <f>IF($AI62&lt;&gt;"",Master!$N$37,IF($AC62&lt;&gt;"",Master!$N$38,IF($S62&lt;&gt;"",Master!$N$39,IF($C62&lt;&gt;"",Master!$N$40,Master!$N$41))))</f>
        <v>起票</v>
      </c>
      <c r="O62" s="202" t="str">
        <f>IF($N62=Master!$N$37,MAX($S62,$AC62,$AI62),"")</f>
        <v/>
      </c>
      <c r="P62" s="65"/>
      <c r="Q62" s="203"/>
      <c r="R62" s="303"/>
      <c r="S62" s="203"/>
      <c r="T62" s="310"/>
      <c r="U62" s="304"/>
      <c r="V62" s="303"/>
      <c r="W62" s="306"/>
      <c r="X62" s="306"/>
      <c r="Y62" s="305"/>
      <c r="Z62" s="303"/>
      <c r="AA62" s="203"/>
      <c r="AB62" s="306"/>
      <c r="AC62" s="203"/>
      <c r="AD62" s="307"/>
      <c r="AE62" s="308"/>
      <c r="AF62" s="309"/>
      <c r="AG62" s="310"/>
      <c r="AH62" s="303"/>
      <c r="AI62" s="203"/>
      <c r="AJ62" s="311"/>
      <c r="AK62" s="451"/>
      <c r="AL62" s="329"/>
      <c r="AM62" s="60"/>
      <c r="AO62" s="137" t="e">
        <f t="shared" si="1"/>
        <v>#N/A</v>
      </c>
      <c r="AP62" s="138" t="e">
        <f t="shared" si="2"/>
        <v>#N/A</v>
      </c>
      <c r="AQ62" s="138" t="e">
        <f t="shared" si="3"/>
        <v>#N/A</v>
      </c>
      <c r="AR62" s="138" t="e">
        <f t="shared" si="4"/>
        <v>#N/A</v>
      </c>
      <c r="AS62" s="138" t="e">
        <f t="shared" si="5"/>
        <v>#N/A</v>
      </c>
      <c r="AT62" s="139" t="e">
        <f t="shared" si="6"/>
        <v>#N/A</v>
      </c>
      <c r="BB62" s="16" t="s">
        <v>596</v>
      </c>
    </row>
    <row r="63" spans="1:54" ht="102.75" customHeight="1">
      <c r="A63" s="428">
        <f t="shared" si="7"/>
        <v>55</v>
      </c>
      <c r="B63" s="294"/>
      <c r="C63" s="203"/>
      <c r="D63" s="301"/>
      <c r="E63" s="301"/>
      <c r="F63" s="301"/>
      <c r="G63" s="301"/>
      <c r="H63" s="302"/>
      <c r="I63" s="292"/>
      <c r="J63" s="61"/>
      <c r="K63" s="303"/>
      <c r="L63" s="303"/>
      <c r="M63" s="203"/>
      <c r="N63" s="84" t="str">
        <f>IF($AI63&lt;&gt;"",Master!$N$37,IF($AC63&lt;&gt;"",Master!$N$38,IF($S63&lt;&gt;"",Master!$N$39,IF($C63&lt;&gt;"",Master!$N$40,Master!$N$41))))</f>
        <v>起票</v>
      </c>
      <c r="O63" s="202" t="s">
        <v>596</v>
      </c>
      <c r="P63" s="65"/>
      <c r="Q63" s="203"/>
      <c r="R63" s="303"/>
      <c r="S63" s="203"/>
      <c r="T63" s="310"/>
      <c r="U63" s="304"/>
      <c r="V63" s="303"/>
      <c r="W63" s="306"/>
      <c r="X63" s="306"/>
      <c r="Y63" s="305"/>
      <c r="Z63" s="303"/>
      <c r="AA63" s="203"/>
      <c r="AB63" s="306"/>
      <c r="AC63" s="203"/>
      <c r="AD63" s="307"/>
      <c r="AE63" s="308"/>
      <c r="AF63" s="309"/>
      <c r="AG63" s="310"/>
      <c r="AH63" s="303"/>
      <c r="AI63" s="203"/>
      <c r="AJ63" s="311"/>
      <c r="AK63" s="451"/>
      <c r="AL63" s="59"/>
      <c r="AM63" s="60"/>
      <c r="AO63" s="137" t="e">
        <f t="shared" si="1"/>
        <v>#N/A</v>
      </c>
      <c r="AP63" s="138" t="e">
        <f t="shared" si="2"/>
        <v>#N/A</v>
      </c>
      <c r="AQ63" s="138" t="e">
        <f t="shared" si="3"/>
        <v>#N/A</v>
      </c>
      <c r="AR63" s="138" t="e">
        <f t="shared" si="4"/>
        <v>#N/A</v>
      </c>
      <c r="AS63" s="138" t="e">
        <f t="shared" si="5"/>
        <v>#N/A</v>
      </c>
      <c r="AT63" s="139" t="e">
        <f t="shared" si="6"/>
        <v>#N/A</v>
      </c>
      <c r="BB63" s="16" t="s">
        <v>596</v>
      </c>
    </row>
    <row r="64" spans="1:54" ht="102.75" customHeight="1">
      <c r="A64" s="428">
        <f t="shared" si="7"/>
        <v>56</v>
      </c>
      <c r="B64" s="294"/>
      <c r="C64" s="203"/>
      <c r="D64" s="301"/>
      <c r="E64" s="301"/>
      <c r="F64" s="301"/>
      <c r="G64" s="301"/>
      <c r="H64" s="302"/>
      <c r="I64" s="292"/>
      <c r="J64" s="61"/>
      <c r="K64" s="303"/>
      <c r="L64" s="303"/>
      <c r="M64" s="203"/>
      <c r="N64" s="84" t="str">
        <f>IF($AI64&lt;&gt;"",Master!$N$37,IF($AC64&lt;&gt;"",Master!$N$38,IF($S64&lt;&gt;"",Master!$N$39,IF($C64&lt;&gt;"",Master!$N$40,Master!$N$41))))</f>
        <v>起票</v>
      </c>
      <c r="O64" s="202" t="s">
        <v>596</v>
      </c>
      <c r="P64" s="65"/>
      <c r="Q64" s="203"/>
      <c r="R64" s="65"/>
      <c r="S64" s="203"/>
      <c r="T64" s="310"/>
      <c r="U64" s="304"/>
      <c r="V64" s="303"/>
      <c r="W64" s="306"/>
      <c r="X64" s="306"/>
      <c r="Y64" s="305"/>
      <c r="Z64" s="303"/>
      <c r="AA64" s="203"/>
      <c r="AB64" s="306"/>
      <c r="AC64" s="203"/>
      <c r="AD64" s="307"/>
      <c r="AE64" s="308"/>
      <c r="AF64" s="309"/>
      <c r="AG64" s="310"/>
      <c r="AH64" s="303"/>
      <c r="AI64" s="203"/>
      <c r="AJ64" s="311"/>
      <c r="AK64" s="451"/>
      <c r="AL64" s="329"/>
      <c r="AM64" s="60"/>
      <c r="AO64" s="137" t="e">
        <f t="shared" si="1"/>
        <v>#N/A</v>
      </c>
      <c r="AP64" s="138" t="e">
        <f t="shared" si="2"/>
        <v>#N/A</v>
      </c>
      <c r="AQ64" s="138" t="e">
        <f t="shared" si="3"/>
        <v>#N/A</v>
      </c>
      <c r="AR64" s="138" t="e">
        <f t="shared" si="4"/>
        <v>#N/A</v>
      </c>
      <c r="AS64" s="138" t="e">
        <f t="shared" si="5"/>
        <v>#N/A</v>
      </c>
      <c r="AT64" s="139" t="e">
        <f t="shared" si="6"/>
        <v>#N/A</v>
      </c>
      <c r="BB64" s="16" t="s">
        <v>596</v>
      </c>
    </row>
    <row r="65" spans="1:54" ht="102.75" customHeight="1">
      <c r="A65" s="428">
        <f t="shared" si="7"/>
        <v>57</v>
      </c>
      <c r="B65" s="294"/>
      <c r="C65" s="203"/>
      <c r="D65" s="301"/>
      <c r="E65" s="301"/>
      <c r="F65" s="301"/>
      <c r="G65" s="301"/>
      <c r="H65" s="302"/>
      <c r="I65" s="292"/>
      <c r="J65" s="61"/>
      <c r="K65" s="303"/>
      <c r="L65" s="303"/>
      <c r="M65" s="203"/>
      <c r="N65" s="84" t="str">
        <f>IF($AI65&lt;&gt;"",Master!$N$37,IF($AC65&lt;&gt;"",Master!$N$38,IF($S65&lt;&gt;"",Master!$N$39,IF($C65&lt;&gt;"",Master!$N$40,Master!$N$41))))</f>
        <v>起票</v>
      </c>
      <c r="O65" s="202" t="s">
        <v>596</v>
      </c>
      <c r="P65" s="65"/>
      <c r="Q65" s="203"/>
      <c r="R65" s="65"/>
      <c r="S65" s="203"/>
      <c r="T65" s="310"/>
      <c r="U65" s="304"/>
      <c r="V65" s="303"/>
      <c r="W65" s="306"/>
      <c r="X65" s="306"/>
      <c r="Y65" s="305"/>
      <c r="Z65" s="303"/>
      <c r="AA65" s="203"/>
      <c r="AB65" s="306"/>
      <c r="AC65" s="203"/>
      <c r="AD65" s="307"/>
      <c r="AE65" s="308"/>
      <c r="AF65" s="309"/>
      <c r="AG65" s="310"/>
      <c r="AH65" s="303"/>
      <c r="AI65" s="203"/>
      <c r="AJ65" s="311"/>
      <c r="AK65" s="451"/>
      <c r="AL65" s="329"/>
      <c r="AM65" s="60"/>
      <c r="AO65" s="137" t="e">
        <f t="shared" si="1"/>
        <v>#N/A</v>
      </c>
      <c r="AP65" s="138" t="e">
        <f t="shared" si="2"/>
        <v>#N/A</v>
      </c>
      <c r="AQ65" s="138" t="e">
        <f t="shared" si="3"/>
        <v>#N/A</v>
      </c>
      <c r="AR65" s="138" t="e">
        <f t="shared" si="4"/>
        <v>#N/A</v>
      </c>
      <c r="AS65" s="138" t="e">
        <f t="shared" si="5"/>
        <v>#N/A</v>
      </c>
      <c r="AT65" s="139" t="e">
        <f t="shared" si="6"/>
        <v>#N/A</v>
      </c>
      <c r="BB65" s="16" t="s">
        <v>596</v>
      </c>
    </row>
    <row r="66" spans="1:54" ht="102.75" customHeight="1">
      <c r="A66" s="428">
        <f t="shared" si="7"/>
        <v>58</v>
      </c>
      <c r="B66" s="294"/>
      <c r="C66" s="203"/>
      <c r="D66" s="301"/>
      <c r="E66" s="301"/>
      <c r="F66" s="301"/>
      <c r="G66" s="301"/>
      <c r="H66" s="302"/>
      <c r="I66" s="292"/>
      <c r="J66" s="61"/>
      <c r="K66" s="303"/>
      <c r="L66" s="303"/>
      <c r="M66" s="203"/>
      <c r="N66" s="84" t="str">
        <f>IF($AI66&lt;&gt;"",Master!$N$37,IF($AC66&lt;&gt;"",Master!$N$38,IF($S66&lt;&gt;"",Master!$N$39,IF($C66&lt;&gt;"",Master!$N$40,Master!$N$41))))</f>
        <v>起票</v>
      </c>
      <c r="O66" s="202" t="s">
        <v>596</v>
      </c>
      <c r="P66" s="65"/>
      <c r="Q66" s="203"/>
      <c r="R66" s="65"/>
      <c r="S66" s="203"/>
      <c r="T66" s="310"/>
      <c r="U66" s="304"/>
      <c r="V66" s="303"/>
      <c r="W66" s="306"/>
      <c r="X66" s="306"/>
      <c r="Y66" s="305"/>
      <c r="Z66" s="303"/>
      <c r="AA66" s="203"/>
      <c r="AB66" s="306"/>
      <c r="AC66" s="203"/>
      <c r="AD66" s="307"/>
      <c r="AE66" s="308"/>
      <c r="AF66" s="309"/>
      <c r="AG66" s="310"/>
      <c r="AH66" s="303"/>
      <c r="AI66" s="203"/>
      <c r="AJ66" s="311"/>
      <c r="AK66" s="451"/>
      <c r="AL66" s="329"/>
      <c r="AM66" s="60"/>
      <c r="AO66" s="137" t="e">
        <f t="shared" si="1"/>
        <v>#N/A</v>
      </c>
      <c r="AP66" s="138" t="e">
        <f t="shared" si="2"/>
        <v>#N/A</v>
      </c>
      <c r="AQ66" s="138" t="e">
        <f t="shared" si="3"/>
        <v>#N/A</v>
      </c>
      <c r="AR66" s="138" t="e">
        <f t="shared" si="4"/>
        <v>#N/A</v>
      </c>
      <c r="AS66" s="138" t="e">
        <f t="shared" si="5"/>
        <v>#N/A</v>
      </c>
      <c r="AT66" s="139" t="e">
        <f t="shared" si="6"/>
        <v>#N/A</v>
      </c>
      <c r="BB66" s="16" t="s">
        <v>596</v>
      </c>
    </row>
    <row r="67" spans="1:54" ht="102.75" customHeight="1">
      <c r="A67" s="428">
        <f t="shared" si="7"/>
        <v>59</v>
      </c>
      <c r="B67" s="294"/>
      <c r="C67" s="203"/>
      <c r="D67" s="301"/>
      <c r="E67" s="301"/>
      <c r="F67" s="301"/>
      <c r="G67" s="301"/>
      <c r="H67" s="302"/>
      <c r="I67" s="292"/>
      <c r="J67" s="61"/>
      <c r="K67" s="303"/>
      <c r="L67" s="303"/>
      <c r="M67" s="203"/>
      <c r="N67" s="84" t="str">
        <f>IF($AI67&lt;&gt;"",Master!$N$37,IF($AC67&lt;&gt;"",Master!$N$38,IF($S67&lt;&gt;"",Master!$N$39,IF($C67&lt;&gt;"",Master!$N$40,Master!$N$41))))</f>
        <v>起票</v>
      </c>
      <c r="O67" s="202" t="s">
        <v>596</v>
      </c>
      <c r="P67" s="65"/>
      <c r="Q67" s="203"/>
      <c r="R67" s="65"/>
      <c r="S67" s="203"/>
      <c r="T67" s="310"/>
      <c r="U67" s="304"/>
      <c r="V67" s="303"/>
      <c r="W67" s="306"/>
      <c r="X67" s="306"/>
      <c r="Y67" s="305"/>
      <c r="Z67" s="303"/>
      <c r="AA67" s="203"/>
      <c r="AB67" s="306"/>
      <c r="AC67" s="203"/>
      <c r="AD67" s="307"/>
      <c r="AE67" s="308"/>
      <c r="AF67" s="309"/>
      <c r="AG67" s="310"/>
      <c r="AH67" s="303"/>
      <c r="AI67" s="203"/>
      <c r="AJ67" s="311"/>
      <c r="AK67" s="451"/>
      <c r="AL67" s="329"/>
      <c r="AM67" s="60"/>
      <c r="AO67" s="137" t="e">
        <f t="shared" si="1"/>
        <v>#N/A</v>
      </c>
      <c r="AP67" s="138" t="e">
        <f t="shared" si="2"/>
        <v>#N/A</v>
      </c>
      <c r="AQ67" s="138" t="e">
        <f t="shared" si="3"/>
        <v>#N/A</v>
      </c>
      <c r="AR67" s="138" t="e">
        <f t="shared" si="4"/>
        <v>#N/A</v>
      </c>
      <c r="AS67" s="138" t="e">
        <f t="shared" si="5"/>
        <v>#N/A</v>
      </c>
      <c r="AT67" s="139" t="e">
        <f t="shared" si="6"/>
        <v>#N/A</v>
      </c>
      <c r="BB67" s="16" t="s">
        <v>596</v>
      </c>
    </row>
    <row r="68" spans="1:54" ht="102.75" customHeight="1">
      <c r="A68" s="428">
        <f t="shared" si="7"/>
        <v>60</v>
      </c>
      <c r="B68" s="294"/>
      <c r="C68" s="203"/>
      <c r="D68" s="301"/>
      <c r="E68" s="301"/>
      <c r="F68" s="301"/>
      <c r="G68" s="301"/>
      <c r="H68" s="302"/>
      <c r="I68" s="292"/>
      <c r="J68" s="61"/>
      <c r="K68" s="303"/>
      <c r="L68" s="303"/>
      <c r="M68" s="203"/>
      <c r="N68" s="84" t="str">
        <f>IF($AI68&lt;&gt;"",Master!$N$37,IF($AC68&lt;&gt;"",Master!$N$38,IF($S68&lt;&gt;"",Master!$N$39,IF($C68&lt;&gt;"",Master!$N$40,Master!$N$41))))</f>
        <v>起票</v>
      </c>
      <c r="O68" s="202" t="str">
        <f>IF($N68=Master!$N$37,MAX($S68,$AC68,$AI68),"")</f>
        <v/>
      </c>
      <c r="P68" s="65"/>
      <c r="Q68" s="203"/>
      <c r="R68" s="303"/>
      <c r="S68" s="203"/>
      <c r="T68" s="310"/>
      <c r="U68" s="304"/>
      <c r="V68" s="303"/>
      <c r="W68" s="306"/>
      <c r="X68" s="306"/>
      <c r="Y68" s="305"/>
      <c r="Z68" s="303"/>
      <c r="AA68" s="203"/>
      <c r="AB68" s="306"/>
      <c r="AC68" s="203"/>
      <c r="AD68" s="307"/>
      <c r="AE68" s="308"/>
      <c r="AF68" s="309"/>
      <c r="AG68" s="310"/>
      <c r="AH68" s="303"/>
      <c r="AI68" s="203"/>
      <c r="AJ68" s="311"/>
      <c r="AK68" s="451"/>
      <c r="AL68" s="329"/>
      <c r="AM68" s="60"/>
      <c r="AO68" s="137" t="e">
        <f t="shared" si="1"/>
        <v>#N/A</v>
      </c>
      <c r="AP68" s="138" t="e">
        <f t="shared" si="2"/>
        <v>#N/A</v>
      </c>
      <c r="AQ68" s="138" t="e">
        <f t="shared" si="3"/>
        <v>#N/A</v>
      </c>
      <c r="AR68" s="138" t="e">
        <f t="shared" si="4"/>
        <v>#N/A</v>
      </c>
      <c r="AS68" s="138" t="e">
        <f t="shared" si="5"/>
        <v>#N/A</v>
      </c>
      <c r="AT68" s="139" t="e">
        <f t="shared" si="6"/>
        <v>#N/A</v>
      </c>
      <c r="BB68" s="16" t="s">
        <v>596</v>
      </c>
    </row>
    <row r="69" spans="1:54" ht="102.75" customHeight="1">
      <c r="A69" s="428">
        <f t="shared" si="7"/>
        <v>61</v>
      </c>
      <c r="B69" s="294"/>
      <c r="C69" s="203"/>
      <c r="D69" s="301"/>
      <c r="E69" s="301"/>
      <c r="F69" s="301"/>
      <c r="G69" s="301"/>
      <c r="H69" s="302"/>
      <c r="I69" s="292"/>
      <c r="J69" s="61"/>
      <c r="K69" s="303"/>
      <c r="L69" s="303"/>
      <c r="M69" s="203"/>
      <c r="N69" s="84" t="str">
        <f>IF($AI69&lt;&gt;"",Master!$N$37,IF($AC69&lt;&gt;"",Master!$N$38,IF($S69&lt;&gt;"",Master!$N$39,IF($C69&lt;&gt;"",Master!$N$40,Master!$N$41))))</f>
        <v>起票</v>
      </c>
      <c r="O69" s="202" t="s">
        <v>596</v>
      </c>
      <c r="P69" s="65"/>
      <c r="Q69" s="203"/>
      <c r="R69" s="65"/>
      <c r="S69" s="203"/>
      <c r="T69" s="310"/>
      <c r="U69" s="304"/>
      <c r="V69" s="303"/>
      <c r="W69" s="306"/>
      <c r="X69" s="306"/>
      <c r="Y69" s="305"/>
      <c r="Z69" s="303"/>
      <c r="AA69" s="203"/>
      <c r="AB69" s="303"/>
      <c r="AC69" s="203"/>
      <c r="AD69" s="307"/>
      <c r="AE69" s="308"/>
      <c r="AF69" s="309"/>
      <c r="AG69" s="310"/>
      <c r="AH69" s="303"/>
      <c r="AI69" s="203"/>
      <c r="AJ69" s="311"/>
      <c r="AK69" s="451"/>
      <c r="AL69" s="329"/>
      <c r="AM69" s="60"/>
      <c r="AO69" s="137" t="e">
        <f t="shared" si="1"/>
        <v>#N/A</v>
      </c>
      <c r="AP69" s="138" t="e">
        <f t="shared" si="2"/>
        <v>#N/A</v>
      </c>
      <c r="AQ69" s="138" t="e">
        <f t="shared" si="3"/>
        <v>#N/A</v>
      </c>
      <c r="AR69" s="138" t="e">
        <f t="shared" si="4"/>
        <v>#N/A</v>
      </c>
      <c r="AS69" s="138" t="e">
        <f t="shared" si="5"/>
        <v>#N/A</v>
      </c>
      <c r="AT69" s="139" t="e">
        <f t="shared" si="6"/>
        <v>#N/A</v>
      </c>
      <c r="BB69" s="16" t="s">
        <v>596</v>
      </c>
    </row>
    <row r="70" spans="1:54" ht="102.75" customHeight="1">
      <c r="A70" s="428">
        <f t="shared" si="7"/>
        <v>62</v>
      </c>
      <c r="B70" s="294"/>
      <c r="C70" s="203"/>
      <c r="D70" s="301"/>
      <c r="E70" s="301"/>
      <c r="F70" s="301"/>
      <c r="G70" s="301"/>
      <c r="H70" s="302"/>
      <c r="I70" s="292"/>
      <c r="J70" s="61"/>
      <c r="K70" s="303"/>
      <c r="L70" s="303"/>
      <c r="M70" s="203"/>
      <c r="N70" s="84" t="str">
        <f>IF($AI70&lt;&gt;"",Master!$N$37,IF($AC70&lt;&gt;"",Master!$N$38,IF($S70&lt;&gt;"",Master!$N$39,IF($C70&lt;&gt;"",Master!$N$40,Master!$N$41))))</f>
        <v>起票</v>
      </c>
      <c r="O70" s="202" t="str">
        <f>IF($N70=Master!$N$37,MAX($S70,$AC70,$AI70),"")</f>
        <v/>
      </c>
      <c r="P70" s="65"/>
      <c r="Q70" s="203"/>
      <c r="R70" s="65"/>
      <c r="S70" s="203"/>
      <c r="T70" s="310"/>
      <c r="U70" s="304"/>
      <c r="V70" s="303"/>
      <c r="W70" s="306"/>
      <c r="X70" s="306"/>
      <c r="Y70" s="305"/>
      <c r="Z70" s="303"/>
      <c r="AA70" s="203"/>
      <c r="AB70" s="303"/>
      <c r="AC70" s="203"/>
      <c r="AD70" s="307"/>
      <c r="AE70" s="308"/>
      <c r="AF70" s="309"/>
      <c r="AG70" s="310"/>
      <c r="AH70" s="303"/>
      <c r="AI70" s="203"/>
      <c r="AJ70" s="311"/>
      <c r="AK70" s="451"/>
      <c r="AL70" s="329"/>
      <c r="AM70" s="60"/>
      <c r="AO70" s="137" t="e">
        <f t="shared" si="1"/>
        <v>#N/A</v>
      </c>
      <c r="AP70" s="138" t="e">
        <f t="shared" si="2"/>
        <v>#N/A</v>
      </c>
      <c r="AQ70" s="138" t="e">
        <f t="shared" si="3"/>
        <v>#N/A</v>
      </c>
      <c r="AR70" s="138" t="e">
        <f t="shared" si="4"/>
        <v>#N/A</v>
      </c>
      <c r="AS70" s="138" t="e">
        <f t="shared" si="5"/>
        <v>#N/A</v>
      </c>
      <c r="AT70" s="139" t="e">
        <f t="shared" si="6"/>
        <v>#N/A</v>
      </c>
      <c r="BB70" s="16" t="s">
        <v>596</v>
      </c>
    </row>
    <row r="71" spans="1:54" ht="102.75" customHeight="1">
      <c r="A71" s="428">
        <f t="shared" si="7"/>
        <v>63</v>
      </c>
      <c r="B71" s="294"/>
      <c r="C71" s="203"/>
      <c r="D71" s="301"/>
      <c r="E71" s="301"/>
      <c r="F71" s="301"/>
      <c r="G71" s="301"/>
      <c r="H71" s="302"/>
      <c r="I71" s="292"/>
      <c r="J71" s="61"/>
      <c r="K71" s="303"/>
      <c r="L71" s="303"/>
      <c r="M71" s="203"/>
      <c r="N71" s="84" t="str">
        <f>IF($AI71&lt;&gt;"",Master!$N$37,IF($AC71&lt;&gt;"",Master!$N$38,IF($S71&lt;&gt;"",Master!$N$39,IF($C71&lt;&gt;"",Master!$N$40,Master!$N$41))))</f>
        <v>起票</v>
      </c>
      <c r="O71" s="202" t="str">
        <f>IF($N71=Master!$N$37,MAX($S71,$AC71,$AI71),"")</f>
        <v/>
      </c>
      <c r="P71" s="65"/>
      <c r="Q71" s="203"/>
      <c r="R71" s="303"/>
      <c r="S71" s="203"/>
      <c r="T71" s="310"/>
      <c r="U71" s="304"/>
      <c r="V71" s="303"/>
      <c r="W71" s="306"/>
      <c r="X71" s="306"/>
      <c r="Y71" s="305"/>
      <c r="Z71" s="303"/>
      <c r="AA71" s="203"/>
      <c r="AB71" s="306"/>
      <c r="AC71" s="203"/>
      <c r="AD71" s="307"/>
      <c r="AE71" s="308"/>
      <c r="AF71" s="309"/>
      <c r="AG71" s="310"/>
      <c r="AH71" s="303"/>
      <c r="AI71" s="203"/>
      <c r="AJ71" s="311"/>
      <c r="AK71" s="451"/>
      <c r="AL71" s="329"/>
      <c r="AM71" s="60"/>
      <c r="AO71" s="137" t="e">
        <f t="shared" si="1"/>
        <v>#N/A</v>
      </c>
      <c r="AP71" s="138" t="e">
        <f t="shared" si="2"/>
        <v>#N/A</v>
      </c>
      <c r="AQ71" s="138" t="e">
        <f t="shared" si="3"/>
        <v>#N/A</v>
      </c>
      <c r="AR71" s="138" t="e">
        <f t="shared" si="4"/>
        <v>#N/A</v>
      </c>
      <c r="AS71" s="138" t="e">
        <f t="shared" si="5"/>
        <v>#N/A</v>
      </c>
      <c r="AT71" s="139" t="e">
        <f t="shared" si="6"/>
        <v>#N/A</v>
      </c>
      <c r="BB71" s="16" t="s">
        <v>596</v>
      </c>
    </row>
    <row r="72" spans="1:54" ht="102.75" customHeight="1">
      <c r="A72" s="428">
        <f t="shared" si="7"/>
        <v>64</v>
      </c>
      <c r="B72" s="294"/>
      <c r="C72" s="203"/>
      <c r="D72" s="301"/>
      <c r="E72" s="301"/>
      <c r="F72" s="301"/>
      <c r="G72" s="301"/>
      <c r="H72" s="302"/>
      <c r="I72" s="292"/>
      <c r="J72" s="61"/>
      <c r="K72" s="303"/>
      <c r="L72" s="303"/>
      <c r="M72" s="203"/>
      <c r="N72" s="84" t="str">
        <f>IF($AI72&lt;&gt;"",Master!$N$37,IF($AC72&lt;&gt;"",Master!$N$38,IF($S72&lt;&gt;"",Master!$N$39,IF($C72&lt;&gt;"",Master!$N$40,Master!$N$41))))</f>
        <v>起票</v>
      </c>
      <c r="O72" s="202" t="str">
        <f>IF($N72=Master!$N$37,MAX($S72,$AC72,$AI72),"")</f>
        <v/>
      </c>
      <c r="P72" s="65"/>
      <c r="Q72" s="203"/>
      <c r="R72" s="303"/>
      <c r="S72" s="203"/>
      <c r="T72" s="310"/>
      <c r="U72" s="304"/>
      <c r="V72" s="303"/>
      <c r="W72" s="306"/>
      <c r="X72" s="306"/>
      <c r="Y72" s="305"/>
      <c r="Z72" s="303"/>
      <c r="AA72" s="203"/>
      <c r="AB72" s="306"/>
      <c r="AC72" s="203"/>
      <c r="AD72" s="307"/>
      <c r="AE72" s="308"/>
      <c r="AF72" s="309"/>
      <c r="AG72" s="310"/>
      <c r="AH72" s="303"/>
      <c r="AI72" s="203"/>
      <c r="AJ72" s="311"/>
      <c r="AK72" s="451"/>
      <c r="AL72" s="329"/>
      <c r="AM72" s="60"/>
      <c r="AO72" s="137" t="e">
        <f t="shared" si="1"/>
        <v>#N/A</v>
      </c>
      <c r="AP72" s="138" t="e">
        <f t="shared" si="2"/>
        <v>#N/A</v>
      </c>
      <c r="AQ72" s="138" t="e">
        <f t="shared" si="3"/>
        <v>#N/A</v>
      </c>
      <c r="AR72" s="138" t="e">
        <f t="shared" si="4"/>
        <v>#N/A</v>
      </c>
      <c r="AS72" s="138" t="e">
        <f t="shared" si="5"/>
        <v>#N/A</v>
      </c>
      <c r="AT72" s="139" t="e">
        <f t="shared" si="6"/>
        <v>#N/A</v>
      </c>
      <c r="BB72" s="16" t="s">
        <v>596</v>
      </c>
    </row>
    <row r="73" spans="1:54" ht="102.75" customHeight="1">
      <c r="A73" s="428">
        <f t="shared" si="7"/>
        <v>65</v>
      </c>
      <c r="B73" s="294"/>
      <c r="C73" s="203"/>
      <c r="D73" s="301"/>
      <c r="E73" s="301"/>
      <c r="F73" s="301"/>
      <c r="G73" s="301"/>
      <c r="H73" s="302"/>
      <c r="I73" s="292"/>
      <c r="J73" s="61"/>
      <c r="K73" s="303"/>
      <c r="L73" s="303"/>
      <c r="M73" s="203"/>
      <c r="N73" s="84" t="str">
        <f>IF($AI73&lt;&gt;"",Master!$N$37,IF($AC73&lt;&gt;"",Master!$N$38,IF($S73&lt;&gt;"",Master!$N$39,IF($C73&lt;&gt;"",Master!$N$40,Master!$N$41))))</f>
        <v>起票</v>
      </c>
      <c r="O73" s="202" t="str">
        <f>IF($N73=Master!$N$37,MAX($S73,$AC73,$AI73),"")</f>
        <v/>
      </c>
      <c r="P73" s="65"/>
      <c r="Q73" s="203"/>
      <c r="R73" s="303"/>
      <c r="S73" s="203"/>
      <c r="T73" s="310"/>
      <c r="U73" s="304"/>
      <c r="V73" s="303"/>
      <c r="W73" s="306"/>
      <c r="X73" s="306"/>
      <c r="Y73" s="305"/>
      <c r="Z73" s="303"/>
      <c r="AA73" s="203"/>
      <c r="AB73" s="306"/>
      <c r="AC73" s="203"/>
      <c r="AD73" s="307"/>
      <c r="AE73" s="308"/>
      <c r="AF73" s="309"/>
      <c r="AG73" s="310"/>
      <c r="AH73" s="303"/>
      <c r="AI73" s="203"/>
      <c r="AJ73" s="311"/>
      <c r="AK73" s="451"/>
      <c r="AL73" s="329"/>
      <c r="AM73" s="60"/>
      <c r="AO73" s="137" t="e">
        <f t="shared" ref="AO73:AO136" si="14">IF(AND(C73&lt;&gt;"",C73&lt;=$AI$3),IF(E73="","",E73),NA())</f>
        <v>#N/A</v>
      </c>
      <c r="AP73" s="138" t="e">
        <f t="shared" ref="AP73:AP136" si="15">IF(AND(C73&lt;&gt;"",C73&lt;=$AI$3),IF(F73="","",F73),NA())</f>
        <v>#N/A</v>
      </c>
      <c r="AQ73" s="138" t="e">
        <f t="shared" ref="AQ73:AQ136" si="16">IF(AND(C73&lt;&gt;"",C73&lt;=$AI$3),IF(H73="","",H73),NA())</f>
        <v>#N/A</v>
      </c>
      <c r="AR73" s="138" t="e">
        <f t="shared" ref="AR73:AR136" si="17">IF(AND(C73&lt;&gt;"",C73&lt;=$AI$3),IF(U73="","",U73),NA())</f>
        <v>#N/A</v>
      </c>
      <c r="AS73" s="138" t="e">
        <f t="shared" ref="AS73:AS136" si="18">IF(AND(C73&lt;&gt;"",C73&lt;=$AI$3),IF(V73="","",V73),NA())</f>
        <v>#N/A</v>
      </c>
      <c r="AT73" s="139" t="e">
        <f t="shared" si="6"/>
        <v>#N/A</v>
      </c>
      <c r="BB73" s="16" t="s">
        <v>596</v>
      </c>
    </row>
    <row r="74" spans="1:54" ht="102.75" customHeight="1">
      <c r="A74" s="428">
        <f t="shared" si="7"/>
        <v>66</v>
      </c>
      <c r="B74" s="294"/>
      <c r="C74" s="203"/>
      <c r="D74" s="301"/>
      <c r="E74" s="301"/>
      <c r="F74" s="301"/>
      <c r="G74" s="301"/>
      <c r="H74" s="302"/>
      <c r="I74" s="292"/>
      <c r="J74" s="61"/>
      <c r="K74" s="303"/>
      <c r="L74" s="303"/>
      <c r="M74" s="203"/>
      <c r="N74" s="84" t="str">
        <f>IF($AI74&lt;&gt;"",Master!$N$37,IF($AC74&lt;&gt;"",Master!$N$38,IF($S74&lt;&gt;"",Master!$N$39,IF($C74&lt;&gt;"",Master!$N$40,Master!$N$41))))</f>
        <v>起票</v>
      </c>
      <c r="O74" s="202" t="str">
        <f>IF($N74=Master!$N$37,MAX($S74,$AC74,$AI74),"")</f>
        <v/>
      </c>
      <c r="P74" s="65"/>
      <c r="Q74" s="203"/>
      <c r="R74" s="65"/>
      <c r="S74" s="203"/>
      <c r="T74" s="310"/>
      <c r="U74" s="304"/>
      <c r="V74" s="303"/>
      <c r="W74" s="306"/>
      <c r="X74" s="306"/>
      <c r="Y74" s="305"/>
      <c r="Z74" s="303"/>
      <c r="AA74" s="203"/>
      <c r="AB74" s="306"/>
      <c r="AC74" s="203"/>
      <c r="AD74" s="307"/>
      <c r="AE74" s="308"/>
      <c r="AF74" s="309"/>
      <c r="AG74" s="310"/>
      <c r="AH74" s="303"/>
      <c r="AI74" s="203"/>
      <c r="AJ74" s="311"/>
      <c r="AK74" s="451"/>
      <c r="AL74" s="329"/>
      <c r="AM74" s="60"/>
      <c r="AO74" s="137" t="e">
        <f t="shared" si="14"/>
        <v>#N/A</v>
      </c>
      <c r="AP74" s="138" t="e">
        <f t="shared" si="15"/>
        <v>#N/A</v>
      </c>
      <c r="AQ74" s="138" t="e">
        <f t="shared" si="16"/>
        <v>#N/A</v>
      </c>
      <c r="AR74" s="138" t="e">
        <f t="shared" si="17"/>
        <v>#N/A</v>
      </c>
      <c r="AS74" s="138" t="e">
        <f t="shared" si="18"/>
        <v>#N/A</v>
      </c>
      <c r="AT74" s="139" t="e">
        <f t="shared" ref="AT74:AT137" si="19">IF(AND(C74&lt;&gt;"",C74&lt;=$AI$3),IF(AB74="","",AB74),NA())</f>
        <v>#N/A</v>
      </c>
      <c r="BB74" s="16" t="s">
        <v>596</v>
      </c>
    </row>
    <row r="75" spans="1:54" ht="102.75" customHeight="1">
      <c r="A75" s="428">
        <f t="shared" si="7"/>
        <v>67</v>
      </c>
      <c r="B75" s="294"/>
      <c r="C75" s="203"/>
      <c r="D75" s="301"/>
      <c r="E75" s="301"/>
      <c r="F75" s="301"/>
      <c r="G75" s="301"/>
      <c r="H75" s="302"/>
      <c r="I75" s="292"/>
      <c r="J75" s="61"/>
      <c r="K75" s="303"/>
      <c r="L75" s="303"/>
      <c r="M75" s="203"/>
      <c r="N75" s="84" t="str">
        <f>IF($AI75&lt;&gt;"",Master!$N$37,IF($AC75&lt;&gt;"",Master!$N$38,IF($S75&lt;&gt;"",Master!$N$39,IF($C75&lt;&gt;"",Master!$N$40,Master!$N$41))))</f>
        <v>起票</v>
      </c>
      <c r="O75" s="202" t="str">
        <f>IF($N75=Master!$N$37,MAX($S75,$AC75,$AI75),"")</f>
        <v/>
      </c>
      <c r="P75" s="65"/>
      <c r="Q75" s="203"/>
      <c r="R75" s="65"/>
      <c r="S75" s="203"/>
      <c r="T75" s="310"/>
      <c r="U75" s="304"/>
      <c r="V75" s="303"/>
      <c r="W75" s="306"/>
      <c r="X75" s="306"/>
      <c r="Y75" s="305"/>
      <c r="Z75" s="303"/>
      <c r="AA75" s="203"/>
      <c r="AB75" s="306"/>
      <c r="AC75" s="203"/>
      <c r="AD75" s="307"/>
      <c r="AE75" s="308"/>
      <c r="AF75" s="309"/>
      <c r="AG75" s="310"/>
      <c r="AH75" s="303"/>
      <c r="AI75" s="203"/>
      <c r="AJ75" s="311"/>
      <c r="AK75" s="451"/>
      <c r="AL75" s="329"/>
      <c r="AM75" s="60"/>
      <c r="AO75" s="137" t="e">
        <f t="shared" si="14"/>
        <v>#N/A</v>
      </c>
      <c r="AP75" s="138" t="e">
        <f t="shared" si="15"/>
        <v>#N/A</v>
      </c>
      <c r="AQ75" s="138" t="e">
        <f t="shared" si="16"/>
        <v>#N/A</v>
      </c>
      <c r="AR75" s="138" t="e">
        <f t="shared" si="17"/>
        <v>#N/A</v>
      </c>
      <c r="AS75" s="138" t="e">
        <f t="shared" si="18"/>
        <v>#N/A</v>
      </c>
      <c r="AT75" s="139" t="e">
        <f t="shared" si="19"/>
        <v>#N/A</v>
      </c>
      <c r="BB75" s="16" t="s">
        <v>596</v>
      </c>
    </row>
    <row r="76" spans="1:54" ht="102.75" customHeight="1">
      <c r="A76" s="428">
        <f t="shared" ref="A76:A139" si="20">A75+1</f>
        <v>68</v>
      </c>
      <c r="B76" s="294"/>
      <c r="C76" s="203"/>
      <c r="D76" s="301"/>
      <c r="E76" s="301"/>
      <c r="F76" s="301"/>
      <c r="G76" s="301"/>
      <c r="H76" s="302"/>
      <c r="I76" s="292"/>
      <c r="J76" s="61"/>
      <c r="K76" s="303"/>
      <c r="L76" s="303"/>
      <c r="M76" s="203"/>
      <c r="N76" s="84" t="str">
        <f>IF($AI76&lt;&gt;"",Master!$N$37,IF($AC76&lt;&gt;"",Master!$N$38,IF($S76&lt;&gt;"",Master!$N$39,IF($C76&lt;&gt;"",Master!$N$40,Master!$N$41))))</f>
        <v>起票</v>
      </c>
      <c r="O76" s="202" t="str">
        <f>IF($N76=Master!$N$37,MAX($S76,$AC76,$AI76),"")</f>
        <v/>
      </c>
      <c r="P76" s="65"/>
      <c r="Q76" s="203"/>
      <c r="R76" s="65"/>
      <c r="S76" s="203"/>
      <c r="T76" s="310"/>
      <c r="U76" s="304"/>
      <c r="V76" s="303"/>
      <c r="W76" s="306"/>
      <c r="X76" s="306"/>
      <c r="Y76" s="305"/>
      <c r="Z76" s="303"/>
      <c r="AA76" s="203"/>
      <c r="AB76" s="306"/>
      <c r="AC76" s="203"/>
      <c r="AD76" s="307"/>
      <c r="AE76" s="308"/>
      <c r="AF76" s="309"/>
      <c r="AG76" s="310"/>
      <c r="AH76" s="303"/>
      <c r="AI76" s="203"/>
      <c r="AJ76" s="311"/>
      <c r="AK76" s="451"/>
      <c r="AL76" s="329"/>
      <c r="AM76" s="60"/>
      <c r="AO76" s="137" t="e">
        <f t="shared" si="14"/>
        <v>#N/A</v>
      </c>
      <c r="AP76" s="138" t="e">
        <f t="shared" si="15"/>
        <v>#N/A</v>
      </c>
      <c r="AQ76" s="138" t="e">
        <f t="shared" si="16"/>
        <v>#N/A</v>
      </c>
      <c r="AR76" s="138" t="e">
        <f t="shared" si="17"/>
        <v>#N/A</v>
      </c>
      <c r="AS76" s="138" t="e">
        <f t="shared" si="18"/>
        <v>#N/A</v>
      </c>
      <c r="AT76" s="139" t="e">
        <f t="shared" si="19"/>
        <v>#N/A</v>
      </c>
      <c r="BB76" s="16" t="s">
        <v>596</v>
      </c>
    </row>
    <row r="77" spans="1:54" ht="102.75" customHeight="1">
      <c r="A77" s="428">
        <f t="shared" si="20"/>
        <v>69</v>
      </c>
      <c r="B77" s="294"/>
      <c r="C77" s="203"/>
      <c r="D77" s="301"/>
      <c r="E77" s="301"/>
      <c r="F77" s="301"/>
      <c r="G77" s="301"/>
      <c r="H77" s="302"/>
      <c r="I77" s="292"/>
      <c r="J77" s="61"/>
      <c r="K77" s="303"/>
      <c r="L77" s="303"/>
      <c r="M77" s="203"/>
      <c r="N77" s="84" t="str">
        <f>IF($AI77&lt;&gt;"",Master!$N$37,IF($AC77&lt;&gt;"",Master!$N$38,IF($S77&lt;&gt;"",Master!$N$39,IF($C77&lt;&gt;"",Master!$N$40,Master!$N$41))))</f>
        <v>起票</v>
      </c>
      <c r="O77" s="202" t="str">
        <f>IF($N77=Master!$N$37,MAX($S77,$AC77,$AI77),"")</f>
        <v/>
      </c>
      <c r="P77" s="65"/>
      <c r="Q77" s="203"/>
      <c r="R77" s="303"/>
      <c r="S77" s="203"/>
      <c r="T77" s="310"/>
      <c r="U77" s="304"/>
      <c r="V77" s="303"/>
      <c r="W77" s="306"/>
      <c r="X77" s="306"/>
      <c r="Y77" s="305"/>
      <c r="Z77" s="303"/>
      <c r="AA77" s="203"/>
      <c r="AB77" s="306"/>
      <c r="AC77" s="203"/>
      <c r="AD77" s="307"/>
      <c r="AE77" s="308"/>
      <c r="AF77" s="309"/>
      <c r="AG77" s="310"/>
      <c r="AH77" s="303"/>
      <c r="AI77" s="203"/>
      <c r="AJ77" s="311"/>
      <c r="AK77" s="451"/>
      <c r="AL77" s="329"/>
      <c r="AM77" s="60"/>
      <c r="AO77" s="137" t="e">
        <f t="shared" si="14"/>
        <v>#N/A</v>
      </c>
      <c r="AP77" s="138" t="e">
        <f t="shared" si="15"/>
        <v>#N/A</v>
      </c>
      <c r="AQ77" s="138" t="e">
        <f t="shared" si="16"/>
        <v>#N/A</v>
      </c>
      <c r="AR77" s="138" t="e">
        <f t="shared" si="17"/>
        <v>#N/A</v>
      </c>
      <c r="AS77" s="138" t="e">
        <f t="shared" si="18"/>
        <v>#N/A</v>
      </c>
      <c r="AT77" s="139" t="e">
        <f t="shared" si="19"/>
        <v>#N/A</v>
      </c>
      <c r="BB77" s="16" t="s">
        <v>596</v>
      </c>
    </row>
    <row r="78" spans="1:54" ht="102.75" customHeight="1">
      <c r="A78" s="428">
        <f t="shared" si="20"/>
        <v>70</v>
      </c>
      <c r="B78" s="294"/>
      <c r="C78" s="203"/>
      <c r="D78" s="301"/>
      <c r="E78" s="301"/>
      <c r="F78" s="301"/>
      <c r="G78" s="301"/>
      <c r="H78" s="302"/>
      <c r="I78" s="292"/>
      <c r="J78" s="61"/>
      <c r="K78" s="303"/>
      <c r="L78" s="303"/>
      <c r="M78" s="203"/>
      <c r="N78" s="84" t="str">
        <f>IF($AI78&lt;&gt;"",Master!$N$37,IF($AC78&lt;&gt;"",Master!$N$38,IF($S78&lt;&gt;"",Master!$N$39,IF($C78&lt;&gt;"",Master!$N$40,Master!$N$41))))</f>
        <v>起票</v>
      </c>
      <c r="O78" s="202" t="str">
        <f>IF($N78=Master!$N$37,MAX($S78,$AC78,$AI78),"")</f>
        <v/>
      </c>
      <c r="P78" s="65"/>
      <c r="Q78" s="203"/>
      <c r="R78" s="303"/>
      <c r="S78" s="203"/>
      <c r="T78" s="310"/>
      <c r="U78" s="304"/>
      <c r="V78" s="303"/>
      <c r="W78" s="306"/>
      <c r="X78" s="306"/>
      <c r="Y78" s="305"/>
      <c r="Z78" s="337"/>
      <c r="AA78" s="203"/>
      <c r="AB78" s="306"/>
      <c r="AC78" s="203"/>
      <c r="AD78" s="307"/>
      <c r="AE78" s="308"/>
      <c r="AF78" s="309"/>
      <c r="AG78" s="310"/>
      <c r="AH78" s="303"/>
      <c r="AI78" s="203"/>
      <c r="AJ78" s="311"/>
      <c r="AK78" s="451"/>
      <c r="AL78" s="329"/>
      <c r="AM78" s="60"/>
      <c r="AO78" s="137" t="e">
        <f t="shared" si="14"/>
        <v>#N/A</v>
      </c>
      <c r="AP78" s="138" t="e">
        <f t="shared" si="15"/>
        <v>#N/A</v>
      </c>
      <c r="AQ78" s="138" t="e">
        <f t="shared" si="16"/>
        <v>#N/A</v>
      </c>
      <c r="AR78" s="138" t="e">
        <f t="shared" si="17"/>
        <v>#N/A</v>
      </c>
      <c r="AS78" s="138" t="e">
        <f t="shared" si="18"/>
        <v>#N/A</v>
      </c>
      <c r="AT78" s="139" t="e">
        <f t="shared" si="19"/>
        <v>#N/A</v>
      </c>
      <c r="BB78" s="16" t="s">
        <v>596</v>
      </c>
    </row>
    <row r="79" spans="1:54" ht="102.75" customHeight="1">
      <c r="A79" s="428">
        <f t="shared" si="20"/>
        <v>71</v>
      </c>
      <c r="B79" s="294"/>
      <c r="C79" s="203"/>
      <c r="D79" s="301"/>
      <c r="E79" s="301"/>
      <c r="F79" s="301"/>
      <c r="G79" s="301"/>
      <c r="H79" s="302"/>
      <c r="I79" s="292"/>
      <c r="J79" s="61"/>
      <c r="K79" s="303"/>
      <c r="L79" s="303"/>
      <c r="M79" s="203"/>
      <c r="N79" s="84" t="str">
        <f>IF($AI79&lt;&gt;"",Master!$N$37,IF($AC79&lt;&gt;"",Master!$N$38,IF($S79&lt;&gt;"",Master!$N$39,IF($C79&lt;&gt;"",Master!$N$40,Master!$N$41))))</f>
        <v>起票</v>
      </c>
      <c r="O79" s="202" t="str">
        <f>IF($N79=Master!$N$37,MAX($S79,$AC79,$AI79),"")</f>
        <v/>
      </c>
      <c r="P79" s="65"/>
      <c r="Q79" s="203"/>
      <c r="R79" s="303"/>
      <c r="S79" s="203"/>
      <c r="T79" s="310"/>
      <c r="U79" s="304"/>
      <c r="V79" s="303"/>
      <c r="W79" s="306"/>
      <c r="X79" s="306"/>
      <c r="Y79" s="305"/>
      <c r="Z79" s="303"/>
      <c r="AA79" s="203"/>
      <c r="AB79" s="306"/>
      <c r="AC79" s="203"/>
      <c r="AD79" s="307"/>
      <c r="AE79" s="308"/>
      <c r="AF79" s="309"/>
      <c r="AG79" s="310"/>
      <c r="AH79" s="303"/>
      <c r="AI79" s="203"/>
      <c r="AJ79" s="311"/>
      <c r="AK79" s="451"/>
      <c r="AL79" s="329"/>
      <c r="AM79" s="60"/>
      <c r="AO79" s="137" t="e">
        <f t="shared" si="14"/>
        <v>#N/A</v>
      </c>
      <c r="AP79" s="138" t="e">
        <f t="shared" si="15"/>
        <v>#N/A</v>
      </c>
      <c r="AQ79" s="138" t="e">
        <f t="shared" si="16"/>
        <v>#N/A</v>
      </c>
      <c r="AR79" s="138" t="e">
        <f t="shared" si="17"/>
        <v>#N/A</v>
      </c>
      <c r="AS79" s="138" t="e">
        <f t="shared" si="18"/>
        <v>#N/A</v>
      </c>
      <c r="AT79" s="139" t="e">
        <f t="shared" si="19"/>
        <v>#N/A</v>
      </c>
      <c r="BB79" s="16" t="s">
        <v>596</v>
      </c>
    </row>
    <row r="80" spans="1:54" ht="102.75" customHeight="1">
      <c r="A80" s="428">
        <f t="shared" si="20"/>
        <v>72</v>
      </c>
      <c r="B80" s="294"/>
      <c r="C80" s="203"/>
      <c r="D80" s="301"/>
      <c r="E80" s="301"/>
      <c r="F80" s="301"/>
      <c r="G80" s="301"/>
      <c r="H80" s="302"/>
      <c r="I80" s="292"/>
      <c r="J80" s="61"/>
      <c r="K80" s="303"/>
      <c r="L80" s="303"/>
      <c r="M80" s="203"/>
      <c r="N80" s="84" t="str">
        <f>IF($AI80&lt;&gt;"",Master!$N$37,IF($AC80&lt;&gt;"",Master!$N$38,IF($S80&lt;&gt;"",Master!$N$39,IF($C80&lt;&gt;"",Master!$N$40,Master!$N$41))))</f>
        <v>起票</v>
      </c>
      <c r="O80" s="202" t="str">
        <f>IF($N80=Master!$N$37,MAX($S80,$AC80,$AI80),"")</f>
        <v/>
      </c>
      <c r="P80" s="65"/>
      <c r="Q80" s="203"/>
      <c r="R80" s="303"/>
      <c r="S80" s="203"/>
      <c r="T80" s="310"/>
      <c r="U80" s="304"/>
      <c r="V80" s="303"/>
      <c r="W80" s="306"/>
      <c r="X80" s="306"/>
      <c r="Y80" s="305"/>
      <c r="Z80" s="303"/>
      <c r="AA80" s="203"/>
      <c r="AB80" s="306"/>
      <c r="AC80" s="203"/>
      <c r="AD80" s="307"/>
      <c r="AE80" s="308"/>
      <c r="AF80" s="309"/>
      <c r="AG80" s="310"/>
      <c r="AH80" s="303"/>
      <c r="AI80" s="203"/>
      <c r="AJ80" s="311"/>
      <c r="AK80" s="451"/>
      <c r="AL80" s="329"/>
      <c r="AM80" s="60"/>
      <c r="AO80" s="137" t="e">
        <f t="shared" si="14"/>
        <v>#N/A</v>
      </c>
      <c r="AP80" s="138" t="e">
        <f t="shared" si="15"/>
        <v>#N/A</v>
      </c>
      <c r="AQ80" s="138" t="e">
        <f t="shared" si="16"/>
        <v>#N/A</v>
      </c>
      <c r="AR80" s="138" t="e">
        <f t="shared" si="17"/>
        <v>#N/A</v>
      </c>
      <c r="AS80" s="138" t="e">
        <f t="shared" si="18"/>
        <v>#N/A</v>
      </c>
      <c r="AT80" s="139" t="e">
        <f t="shared" si="19"/>
        <v>#N/A</v>
      </c>
      <c r="BB80" s="16" t="s">
        <v>596</v>
      </c>
    </row>
    <row r="81" spans="1:54" ht="102.75" customHeight="1">
      <c r="A81" s="428">
        <f t="shared" si="20"/>
        <v>73</v>
      </c>
      <c r="B81" s="294"/>
      <c r="C81" s="203"/>
      <c r="D81" s="301"/>
      <c r="E81" s="301"/>
      <c r="F81" s="301"/>
      <c r="G81" s="301"/>
      <c r="H81" s="302"/>
      <c r="I81" s="292"/>
      <c r="J81" s="61"/>
      <c r="K81" s="303"/>
      <c r="L81" s="303"/>
      <c r="M81" s="203"/>
      <c r="N81" s="84" t="str">
        <f>IF($AI81&lt;&gt;"",Master!$N$37,IF($AC81&lt;&gt;"",Master!$N$38,IF($S81&lt;&gt;"",Master!$N$39,IF($C81&lt;&gt;"",Master!$N$40,Master!$N$41))))</f>
        <v>起票</v>
      </c>
      <c r="O81" s="202" t="str">
        <f>IF($N81=Master!$N$37,MAX($S81,$AC81,$AI81),"")</f>
        <v/>
      </c>
      <c r="P81" s="65"/>
      <c r="Q81" s="203"/>
      <c r="R81" s="303"/>
      <c r="S81" s="203"/>
      <c r="T81" s="310"/>
      <c r="U81" s="304"/>
      <c r="V81" s="303"/>
      <c r="W81" s="306"/>
      <c r="X81" s="306"/>
      <c r="Y81" s="305"/>
      <c r="Z81" s="303"/>
      <c r="AA81" s="203"/>
      <c r="AB81" s="306"/>
      <c r="AC81" s="203"/>
      <c r="AD81" s="307"/>
      <c r="AE81" s="308"/>
      <c r="AF81" s="309"/>
      <c r="AG81" s="310"/>
      <c r="AH81" s="303"/>
      <c r="AI81" s="203"/>
      <c r="AJ81" s="311"/>
      <c r="AK81" s="451"/>
      <c r="AL81" s="329"/>
      <c r="AM81" s="60"/>
      <c r="AO81" s="137" t="e">
        <f t="shared" si="14"/>
        <v>#N/A</v>
      </c>
      <c r="AP81" s="138" t="e">
        <f t="shared" si="15"/>
        <v>#N/A</v>
      </c>
      <c r="AQ81" s="138" t="e">
        <f t="shared" si="16"/>
        <v>#N/A</v>
      </c>
      <c r="AR81" s="138" t="e">
        <f t="shared" si="17"/>
        <v>#N/A</v>
      </c>
      <c r="AS81" s="138" t="e">
        <f t="shared" si="18"/>
        <v>#N/A</v>
      </c>
      <c r="AT81" s="139" t="e">
        <f t="shared" si="19"/>
        <v>#N/A</v>
      </c>
      <c r="BB81" s="16" t="s">
        <v>596</v>
      </c>
    </row>
    <row r="82" spans="1:54" ht="102.75" customHeight="1">
      <c r="A82" s="428">
        <f t="shared" si="20"/>
        <v>74</v>
      </c>
      <c r="B82" s="294"/>
      <c r="C82" s="203"/>
      <c r="D82" s="301"/>
      <c r="E82" s="301"/>
      <c r="F82" s="301"/>
      <c r="G82" s="301"/>
      <c r="H82" s="302"/>
      <c r="I82" s="292"/>
      <c r="J82" s="61"/>
      <c r="K82" s="303"/>
      <c r="L82" s="303"/>
      <c r="M82" s="203"/>
      <c r="N82" s="84" t="str">
        <f>IF($AI82&lt;&gt;"",Master!$N$37,IF($AC82&lt;&gt;"",Master!$N$38,IF($S82&lt;&gt;"",Master!$N$39,IF($C82&lt;&gt;"",Master!$N$40,Master!$N$41))))</f>
        <v>起票</v>
      </c>
      <c r="O82" s="202" t="str">
        <f>IF($N82=Master!$N$37,MAX($S82,$AC82,$AI82),"")</f>
        <v/>
      </c>
      <c r="P82" s="65"/>
      <c r="Q82" s="203"/>
      <c r="R82" s="303"/>
      <c r="S82" s="203"/>
      <c r="T82" s="310"/>
      <c r="U82" s="304"/>
      <c r="V82" s="303"/>
      <c r="W82" s="306"/>
      <c r="X82" s="306"/>
      <c r="Y82" s="305"/>
      <c r="Z82" s="303"/>
      <c r="AA82" s="203"/>
      <c r="AB82" s="306"/>
      <c r="AC82" s="203"/>
      <c r="AD82" s="307"/>
      <c r="AE82" s="308"/>
      <c r="AF82" s="309"/>
      <c r="AG82" s="310"/>
      <c r="AH82" s="303"/>
      <c r="AI82" s="203"/>
      <c r="AJ82" s="311"/>
      <c r="AK82" s="451"/>
      <c r="AL82" s="329"/>
      <c r="AM82" s="60"/>
      <c r="AO82" s="137" t="e">
        <f t="shared" si="14"/>
        <v>#N/A</v>
      </c>
      <c r="AP82" s="138" t="e">
        <f t="shared" si="15"/>
        <v>#N/A</v>
      </c>
      <c r="AQ82" s="138" t="e">
        <f t="shared" si="16"/>
        <v>#N/A</v>
      </c>
      <c r="AR82" s="138" t="e">
        <f t="shared" si="17"/>
        <v>#N/A</v>
      </c>
      <c r="AS82" s="138" t="e">
        <f t="shared" si="18"/>
        <v>#N/A</v>
      </c>
      <c r="AT82" s="139" t="e">
        <f t="shared" si="19"/>
        <v>#N/A</v>
      </c>
      <c r="BB82" s="16" t="s">
        <v>596</v>
      </c>
    </row>
    <row r="83" spans="1:54" ht="102.75" customHeight="1">
      <c r="A83" s="428">
        <f t="shared" si="20"/>
        <v>75</v>
      </c>
      <c r="B83" s="294"/>
      <c r="C83" s="203"/>
      <c r="D83" s="301"/>
      <c r="E83" s="301"/>
      <c r="F83" s="301"/>
      <c r="G83" s="301"/>
      <c r="H83" s="302"/>
      <c r="I83" s="292"/>
      <c r="J83" s="61"/>
      <c r="K83" s="303"/>
      <c r="L83" s="303"/>
      <c r="M83" s="203"/>
      <c r="N83" s="84" t="str">
        <f>IF($AI83&lt;&gt;"",Master!$N$37,IF($AC83&lt;&gt;"",Master!$N$38,IF($S83&lt;&gt;"",Master!$N$39,IF($C83&lt;&gt;"",Master!$N$40,Master!$N$41))))</f>
        <v>起票</v>
      </c>
      <c r="O83" s="202" t="str">
        <f>IF($N83=Master!$N$37,MAX($S83,$AC83,$AI83),"")</f>
        <v/>
      </c>
      <c r="P83" s="65"/>
      <c r="Q83" s="203"/>
      <c r="R83" s="303"/>
      <c r="S83" s="203"/>
      <c r="T83" s="310"/>
      <c r="U83" s="304"/>
      <c r="V83" s="303"/>
      <c r="W83" s="306"/>
      <c r="X83" s="306"/>
      <c r="Y83" s="305"/>
      <c r="Z83" s="303"/>
      <c r="AA83" s="203"/>
      <c r="AB83" s="306"/>
      <c r="AC83" s="203"/>
      <c r="AD83" s="307"/>
      <c r="AE83" s="308"/>
      <c r="AF83" s="309"/>
      <c r="AG83" s="310"/>
      <c r="AH83" s="303"/>
      <c r="AI83" s="203"/>
      <c r="AJ83" s="311"/>
      <c r="AK83" s="451"/>
      <c r="AL83" s="329"/>
      <c r="AM83" s="60"/>
      <c r="AO83" s="137" t="e">
        <f t="shared" si="14"/>
        <v>#N/A</v>
      </c>
      <c r="AP83" s="138" t="e">
        <f t="shared" si="15"/>
        <v>#N/A</v>
      </c>
      <c r="AQ83" s="138" t="e">
        <f t="shared" si="16"/>
        <v>#N/A</v>
      </c>
      <c r="AR83" s="138" t="e">
        <f t="shared" si="17"/>
        <v>#N/A</v>
      </c>
      <c r="AS83" s="138" t="e">
        <f t="shared" si="18"/>
        <v>#N/A</v>
      </c>
      <c r="AT83" s="139" t="e">
        <f t="shared" si="19"/>
        <v>#N/A</v>
      </c>
      <c r="BB83" s="16" t="s">
        <v>596</v>
      </c>
    </row>
    <row r="84" spans="1:54" ht="102.75" customHeight="1">
      <c r="A84" s="428">
        <f t="shared" si="20"/>
        <v>76</v>
      </c>
      <c r="B84" s="294"/>
      <c r="C84" s="203"/>
      <c r="D84" s="301"/>
      <c r="E84" s="301"/>
      <c r="F84" s="301"/>
      <c r="G84" s="301"/>
      <c r="H84" s="302"/>
      <c r="I84" s="292"/>
      <c r="J84" s="61"/>
      <c r="K84" s="303"/>
      <c r="L84" s="303"/>
      <c r="M84" s="203"/>
      <c r="N84" s="84" t="str">
        <f>IF($AI84&lt;&gt;"",Master!$N$37,IF($AC84&lt;&gt;"",Master!$N$38,IF($S84&lt;&gt;"",Master!$N$39,IF($C84&lt;&gt;"",Master!$N$40,Master!$N$41))))</f>
        <v>起票</v>
      </c>
      <c r="O84" s="202" t="str">
        <f>IF($N84=Master!$N$37,MAX($S84,$AC84,$AI84),"")</f>
        <v/>
      </c>
      <c r="P84" s="65"/>
      <c r="Q84" s="203"/>
      <c r="R84" s="303"/>
      <c r="S84" s="203"/>
      <c r="T84" s="310"/>
      <c r="U84" s="304"/>
      <c r="V84" s="303"/>
      <c r="W84" s="306"/>
      <c r="X84" s="306"/>
      <c r="Y84" s="305"/>
      <c r="Z84" s="303"/>
      <c r="AA84" s="203"/>
      <c r="AB84" s="303"/>
      <c r="AC84" s="203"/>
      <c r="AD84" s="307"/>
      <c r="AE84" s="308"/>
      <c r="AF84" s="309"/>
      <c r="AG84" s="203"/>
      <c r="AH84" s="303"/>
      <c r="AI84" s="203"/>
      <c r="AJ84" s="311"/>
      <c r="AK84" s="451"/>
      <c r="AL84" s="329"/>
      <c r="AM84" s="60"/>
      <c r="AO84" s="137" t="e">
        <f t="shared" si="14"/>
        <v>#N/A</v>
      </c>
      <c r="AP84" s="138" t="e">
        <f t="shared" si="15"/>
        <v>#N/A</v>
      </c>
      <c r="AQ84" s="138" t="e">
        <f t="shared" si="16"/>
        <v>#N/A</v>
      </c>
      <c r="AR84" s="138" t="e">
        <f t="shared" si="17"/>
        <v>#N/A</v>
      </c>
      <c r="AS84" s="138" t="e">
        <f t="shared" si="18"/>
        <v>#N/A</v>
      </c>
      <c r="AT84" s="139" t="e">
        <f t="shared" si="19"/>
        <v>#N/A</v>
      </c>
      <c r="BB84" s="16" t="s">
        <v>596</v>
      </c>
    </row>
    <row r="85" spans="1:54" ht="102.75" customHeight="1">
      <c r="A85" s="428">
        <f t="shared" si="20"/>
        <v>77</v>
      </c>
      <c r="B85" s="294"/>
      <c r="C85" s="203"/>
      <c r="D85" s="301"/>
      <c r="E85" s="301"/>
      <c r="F85" s="301"/>
      <c r="G85" s="301"/>
      <c r="H85" s="302"/>
      <c r="I85" s="292"/>
      <c r="J85" s="61"/>
      <c r="K85" s="303"/>
      <c r="L85" s="303"/>
      <c r="M85" s="203"/>
      <c r="N85" s="84" t="str">
        <f>IF($AI85&lt;&gt;"",Master!$N$37,IF($AC85&lt;&gt;"",Master!$N$38,IF($S85&lt;&gt;"",Master!$N$39,IF($C85&lt;&gt;"",Master!$N$40,Master!$N$41))))</f>
        <v>起票</v>
      </c>
      <c r="O85" s="202" t="str">
        <f>IF($N85=Master!$N$37,MAX($S85,$AC85,$AI85),"")</f>
        <v/>
      </c>
      <c r="P85" s="65"/>
      <c r="Q85" s="203"/>
      <c r="R85" s="303"/>
      <c r="S85" s="203"/>
      <c r="T85" s="310"/>
      <c r="U85" s="304"/>
      <c r="V85" s="303"/>
      <c r="W85" s="306"/>
      <c r="X85" s="306"/>
      <c r="Y85" s="305"/>
      <c r="Z85" s="303"/>
      <c r="AA85" s="203"/>
      <c r="AB85" s="303"/>
      <c r="AC85" s="203"/>
      <c r="AD85" s="307"/>
      <c r="AE85" s="308"/>
      <c r="AF85" s="309"/>
      <c r="AG85" s="310"/>
      <c r="AH85" s="303"/>
      <c r="AI85" s="203"/>
      <c r="AJ85" s="311"/>
      <c r="AK85" s="451"/>
      <c r="AL85" s="329"/>
      <c r="AM85" s="60"/>
      <c r="AO85" s="137" t="e">
        <f t="shared" si="14"/>
        <v>#N/A</v>
      </c>
      <c r="AP85" s="138" t="e">
        <f t="shared" si="15"/>
        <v>#N/A</v>
      </c>
      <c r="AQ85" s="138" t="e">
        <f t="shared" si="16"/>
        <v>#N/A</v>
      </c>
      <c r="AR85" s="138" t="e">
        <f t="shared" si="17"/>
        <v>#N/A</v>
      </c>
      <c r="AS85" s="138" t="e">
        <f t="shared" si="18"/>
        <v>#N/A</v>
      </c>
      <c r="AT85" s="139" t="e">
        <f t="shared" si="19"/>
        <v>#N/A</v>
      </c>
      <c r="BB85" s="16" t="s">
        <v>596</v>
      </c>
    </row>
    <row r="86" spans="1:54" ht="102.75" customHeight="1">
      <c r="A86" s="428">
        <f t="shared" si="20"/>
        <v>78</v>
      </c>
      <c r="B86" s="294"/>
      <c r="C86" s="203"/>
      <c r="D86" s="301"/>
      <c r="E86" s="301"/>
      <c r="F86" s="301"/>
      <c r="G86" s="301"/>
      <c r="H86" s="302"/>
      <c r="I86" s="292"/>
      <c r="J86" s="61"/>
      <c r="K86" s="303"/>
      <c r="L86" s="303"/>
      <c r="M86" s="203"/>
      <c r="N86" s="84" t="str">
        <f>IF($AI86&lt;&gt;"",Master!$N$37,IF($AC86&lt;&gt;"",Master!$N$38,IF($S86&lt;&gt;"",Master!$N$39,IF($C86&lt;&gt;"",Master!$N$40,Master!$N$41))))</f>
        <v>起票</v>
      </c>
      <c r="O86" s="202" t="str">
        <f>IF($N86=Master!$N$37,MAX($S86,$AC86,$AI86),"")</f>
        <v/>
      </c>
      <c r="P86" s="65"/>
      <c r="Q86" s="203"/>
      <c r="R86" s="303"/>
      <c r="S86" s="203"/>
      <c r="T86" s="310"/>
      <c r="U86" s="304"/>
      <c r="V86" s="303"/>
      <c r="W86" s="306"/>
      <c r="X86" s="306"/>
      <c r="Y86" s="305"/>
      <c r="Z86" s="303"/>
      <c r="AA86" s="203"/>
      <c r="AB86" s="303"/>
      <c r="AC86" s="203"/>
      <c r="AD86" s="307"/>
      <c r="AE86" s="308"/>
      <c r="AF86" s="309"/>
      <c r="AG86" s="310"/>
      <c r="AH86" s="303"/>
      <c r="AI86" s="203"/>
      <c r="AJ86" s="311"/>
      <c r="AK86" s="451"/>
      <c r="AL86" s="329"/>
      <c r="AM86" s="60"/>
      <c r="AO86" s="137" t="e">
        <f t="shared" si="14"/>
        <v>#N/A</v>
      </c>
      <c r="AP86" s="138" t="e">
        <f t="shared" si="15"/>
        <v>#N/A</v>
      </c>
      <c r="AQ86" s="138" t="e">
        <f t="shared" si="16"/>
        <v>#N/A</v>
      </c>
      <c r="AR86" s="138" t="e">
        <f t="shared" si="17"/>
        <v>#N/A</v>
      </c>
      <c r="AS86" s="138" t="e">
        <f t="shared" si="18"/>
        <v>#N/A</v>
      </c>
      <c r="AT86" s="139" t="e">
        <f t="shared" si="19"/>
        <v>#N/A</v>
      </c>
      <c r="BB86" s="16" t="s">
        <v>596</v>
      </c>
    </row>
    <row r="87" spans="1:54" ht="102.75" customHeight="1">
      <c r="A87" s="428">
        <f t="shared" si="20"/>
        <v>79</v>
      </c>
      <c r="B87" s="294"/>
      <c r="C87" s="203"/>
      <c r="D87" s="301"/>
      <c r="E87" s="301"/>
      <c r="F87" s="301"/>
      <c r="G87" s="301"/>
      <c r="H87" s="302"/>
      <c r="I87" s="292"/>
      <c r="J87" s="61"/>
      <c r="K87" s="303"/>
      <c r="L87" s="303"/>
      <c r="M87" s="203"/>
      <c r="N87" s="84" t="str">
        <f>IF($AI87&lt;&gt;"",Master!$N$37,IF($AC87&lt;&gt;"",Master!$N$38,IF($S87&lt;&gt;"",Master!$N$39,IF($C87&lt;&gt;"",Master!$N$40,Master!$N$41))))</f>
        <v>起票</v>
      </c>
      <c r="O87" s="202" t="str">
        <f>IF($N87=Master!$N$37,MAX($S87,$AC87,$AI87),"")</f>
        <v/>
      </c>
      <c r="P87" s="65"/>
      <c r="Q87" s="203"/>
      <c r="R87" s="303"/>
      <c r="S87" s="203"/>
      <c r="T87" s="310"/>
      <c r="U87" s="304"/>
      <c r="V87" s="303"/>
      <c r="W87" s="306"/>
      <c r="X87" s="306"/>
      <c r="Y87" s="305"/>
      <c r="Z87" s="303"/>
      <c r="AA87" s="203"/>
      <c r="AB87" s="306"/>
      <c r="AC87" s="203"/>
      <c r="AD87" s="307"/>
      <c r="AE87" s="308"/>
      <c r="AF87" s="309"/>
      <c r="AG87" s="310"/>
      <c r="AH87" s="303"/>
      <c r="AI87" s="203"/>
      <c r="AJ87" s="311"/>
      <c r="AK87" s="451"/>
      <c r="AL87" s="329"/>
      <c r="AM87" s="60"/>
      <c r="AO87" s="137" t="e">
        <f t="shared" si="14"/>
        <v>#N/A</v>
      </c>
      <c r="AP87" s="138" t="e">
        <f t="shared" si="15"/>
        <v>#N/A</v>
      </c>
      <c r="AQ87" s="138" t="e">
        <f t="shared" si="16"/>
        <v>#N/A</v>
      </c>
      <c r="AR87" s="138" t="e">
        <f t="shared" si="17"/>
        <v>#N/A</v>
      </c>
      <c r="AS87" s="138" t="e">
        <f t="shared" si="18"/>
        <v>#N/A</v>
      </c>
      <c r="AT87" s="139" t="e">
        <f t="shared" si="19"/>
        <v>#N/A</v>
      </c>
      <c r="BB87" s="16" t="s">
        <v>596</v>
      </c>
    </row>
    <row r="88" spans="1:54" ht="102.75" customHeight="1">
      <c r="A88" s="428">
        <f t="shared" si="20"/>
        <v>80</v>
      </c>
      <c r="B88" s="294"/>
      <c r="C88" s="203"/>
      <c r="D88" s="301"/>
      <c r="E88" s="301"/>
      <c r="F88" s="301"/>
      <c r="G88" s="301"/>
      <c r="H88" s="302"/>
      <c r="I88" s="292"/>
      <c r="J88" s="61"/>
      <c r="K88" s="303"/>
      <c r="L88" s="303"/>
      <c r="M88" s="203"/>
      <c r="N88" s="84" t="str">
        <f>IF($AI88&lt;&gt;"",Master!$N$37,IF($AC88&lt;&gt;"",Master!$N$38,IF($S88&lt;&gt;"",Master!$N$39,IF($C88&lt;&gt;"",Master!$N$40,Master!$N$41))))</f>
        <v>起票</v>
      </c>
      <c r="O88" s="202" t="str">
        <f>IF($N88=Master!$N$37,MAX($S88,$AC88,$AI88),"")</f>
        <v/>
      </c>
      <c r="P88" s="65"/>
      <c r="Q88" s="203"/>
      <c r="R88" s="303"/>
      <c r="S88" s="203"/>
      <c r="T88" s="310"/>
      <c r="U88" s="304"/>
      <c r="V88" s="303"/>
      <c r="W88" s="306"/>
      <c r="X88" s="306"/>
      <c r="Y88" s="305"/>
      <c r="Z88" s="303"/>
      <c r="AA88" s="203"/>
      <c r="AB88" s="306"/>
      <c r="AC88" s="203"/>
      <c r="AD88" s="307"/>
      <c r="AE88" s="308"/>
      <c r="AF88" s="309"/>
      <c r="AG88" s="310"/>
      <c r="AH88" s="303"/>
      <c r="AI88" s="203"/>
      <c r="AJ88" s="311"/>
      <c r="AK88" s="451"/>
      <c r="AL88" s="329"/>
      <c r="AM88" s="60"/>
      <c r="AO88" s="137" t="e">
        <f t="shared" si="14"/>
        <v>#N/A</v>
      </c>
      <c r="AP88" s="138" t="e">
        <f t="shared" si="15"/>
        <v>#N/A</v>
      </c>
      <c r="AQ88" s="138" t="e">
        <f t="shared" si="16"/>
        <v>#N/A</v>
      </c>
      <c r="AR88" s="138" t="e">
        <f t="shared" si="17"/>
        <v>#N/A</v>
      </c>
      <c r="AS88" s="138" t="e">
        <f t="shared" si="18"/>
        <v>#N/A</v>
      </c>
      <c r="AT88" s="139" t="e">
        <f t="shared" si="19"/>
        <v>#N/A</v>
      </c>
      <c r="BB88" s="16" t="s">
        <v>596</v>
      </c>
    </row>
    <row r="89" spans="1:54" ht="102.75" customHeight="1">
      <c r="A89" s="428">
        <f t="shared" si="20"/>
        <v>81</v>
      </c>
      <c r="B89" s="294"/>
      <c r="C89" s="203"/>
      <c r="D89" s="301"/>
      <c r="E89" s="301"/>
      <c r="F89" s="301"/>
      <c r="G89" s="301"/>
      <c r="H89" s="302"/>
      <c r="I89" s="292"/>
      <c r="J89" s="61"/>
      <c r="K89" s="303"/>
      <c r="L89" s="303"/>
      <c r="M89" s="203"/>
      <c r="N89" s="84" t="str">
        <f>IF($AI89&lt;&gt;"",Master!$N$37,IF($AC89&lt;&gt;"",Master!$N$38,IF($S89&lt;&gt;"",Master!$N$39,IF($C89&lt;&gt;"",Master!$N$40,Master!$N$41))))</f>
        <v>起票</v>
      </c>
      <c r="O89" s="202" t="str">
        <f>IF($N89=Master!$N$37,MAX($S89,$AC89,$AI89),"")</f>
        <v/>
      </c>
      <c r="P89" s="65"/>
      <c r="Q89" s="203"/>
      <c r="R89" s="303"/>
      <c r="S89" s="203"/>
      <c r="T89" s="310"/>
      <c r="U89" s="304"/>
      <c r="V89" s="303"/>
      <c r="W89" s="306"/>
      <c r="X89" s="306"/>
      <c r="Y89" s="305"/>
      <c r="Z89" s="303"/>
      <c r="AA89" s="203"/>
      <c r="AB89" s="306"/>
      <c r="AC89" s="203"/>
      <c r="AD89" s="307"/>
      <c r="AE89" s="308"/>
      <c r="AF89" s="309"/>
      <c r="AG89" s="310"/>
      <c r="AH89" s="303"/>
      <c r="AI89" s="203"/>
      <c r="AJ89" s="311"/>
      <c r="AK89" s="451"/>
      <c r="AL89" s="329"/>
      <c r="AM89" s="60"/>
      <c r="AO89" s="137" t="e">
        <f t="shared" si="14"/>
        <v>#N/A</v>
      </c>
      <c r="AP89" s="138" t="e">
        <f t="shared" si="15"/>
        <v>#N/A</v>
      </c>
      <c r="AQ89" s="138" t="e">
        <f t="shared" si="16"/>
        <v>#N/A</v>
      </c>
      <c r="AR89" s="138" t="e">
        <f t="shared" si="17"/>
        <v>#N/A</v>
      </c>
      <c r="AS89" s="138" t="e">
        <f t="shared" si="18"/>
        <v>#N/A</v>
      </c>
      <c r="AT89" s="139" t="e">
        <f t="shared" si="19"/>
        <v>#N/A</v>
      </c>
      <c r="BB89" s="16" t="s">
        <v>596</v>
      </c>
    </row>
    <row r="90" spans="1:54" ht="102.75" customHeight="1">
      <c r="A90" s="428">
        <f t="shared" si="20"/>
        <v>82</v>
      </c>
      <c r="B90" s="294"/>
      <c r="C90" s="203"/>
      <c r="D90" s="301"/>
      <c r="E90" s="301"/>
      <c r="F90" s="301"/>
      <c r="G90" s="301"/>
      <c r="H90" s="302"/>
      <c r="I90" s="292"/>
      <c r="J90" s="61"/>
      <c r="K90" s="303"/>
      <c r="L90" s="303"/>
      <c r="M90" s="203"/>
      <c r="N90" s="84" t="str">
        <f>IF($AI90&lt;&gt;"",Master!$N$37,IF($AC90&lt;&gt;"",Master!$N$38,IF($S90&lt;&gt;"",Master!$N$39,IF($C90&lt;&gt;"",Master!$N$40,Master!$N$41))))</f>
        <v>起票</v>
      </c>
      <c r="O90" s="202" t="str">
        <f>IF($N90=Master!$N$37,MAX($S90,$AC90,$AI90),"")</f>
        <v/>
      </c>
      <c r="P90" s="65"/>
      <c r="Q90" s="203"/>
      <c r="R90" s="303"/>
      <c r="S90" s="203"/>
      <c r="T90" s="310"/>
      <c r="U90" s="304"/>
      <c r="V90" s="303"/>
      <c r="W90" s="306"/>
      <c r="X90" s="306"/>
      <c r="Y90" s="305"/>
      <c r="Z90" s="303"/>
      <c r="AA90" s="203"/>
      <c r="AB90" s="306"/>
      <c r="AC90" s="203"/>
      <c r="AD90" s="307"/>
      <c r="AE90" s="308"/>
      <c r="AF90" s="309"/>
      <c r="AG90" s="310"/>
      <c r="AH90" s="303"/>
      <c r="AI90" s="203"/>
      <c r="AJ90" s="311"/>
      <c r="AK90" s="451"/>
      <c r="AL90" s="329"/>
      <c r="AM90" s="60"/>
      <c r="AO90" s="137" t="e">
        <f t="shared" si="14"/>
        <v>#N/A</v>
      </c>
      <c r="AP90" s="138" t="e">
        <f t="shared" si="15"/>
        <v>#N/A</v>
      </c>
      <c r="AQ90" s="138" t="e">
        <f t="shared" si="16"/>
        <v>#N/A</v>
      </c>
      <c r="AR90" s="138" t="e">
        <f t="shared" si="17"/>
        <v>#N/A</v>
      </c>
      <c r="AS90" s="138" t="e">
        <f t="shared" si="18"/>
        <v>#N/A</v>
      </c>
      <c r="AT90" s="139" t="e">
        <f t="shared" si="19"/>
        <v>#N/A</v>
      </c>
      <c r="BB90" s="16" t="s">
        <v>596</v>
      </c>
    </row>
    <row r="91" spans="1:54" ht="102.75" customHeight="1">
      <c r="A91" s="428">
        <f t="shared" si="20"/>
        <v>83</v>
      </c>
      <c r="B91" s="294"/>
      <c r="C91" s="203"/>
      <c r="D91" s="301"/>
      <c r="E91" s="301"/>
      <c r="F91" s="301"/>
      <c r="G91" s="301"/>
      <c r="H91" s="302"/>
      <c r="I91" s="292"/>
      <c r="J91" s="61"/>
      <c r="K91" s="303"/>
      <c r="L91" s="303"/>
      <c r="M91" s="203"/>
      <c r="N91" s="84" t="str">
        <f>IF($AI91&lt;&gt;"",Master!$N$37,IF($AC91&lt;&gt;"",Master!$N$38,IF($S91&lt;&gt;"",Master!$N$39,IF($C91&lt;&gt;"",Master!$N$40,Master!$N$41))))</f>
        <v>起票</v>
      </c>
      <c r="O91" s="202" t="str">
        <f>IF($N91=Master!$N$37,MAX($S91,$AC91,$AI91),"")</f>
        <v/>
      </c>
      <c r="P91" s="65"/>
      <c r="Q91" s="203"/>
      <c r="R91" s="303"/>
      <c r="S91" s="203"/>
      <c r="T91" s="310"/>
      <c r="U91" s="304"/>
      <c r="V91" s="303"/>
      <c r="W91" s="306"/>
      <c r="X91" s="306"/>
      <c r="Y91" s="305"/>
      <c r="Z91" s="303"/>
      <c r="AA91" s="203"/>
      <c r="AB91" s="306"/>
      <c r="AC91" s="203"/>
      <c r="AD91" s="307"/>
      <c r="AE91" s="308"/>
      <c r="AF91" s="309"/>
      <c r="AG91" s="310"/>
      <c r="AH91" s="303"/>
      <c r="AI91" s="203"/>
      <c r="AJ91" s="311"/>
      <c r="AK91" s="451"/>
      <c r="AL91" s="329"/>
      <c r="AM91" s="60"/>
      <c r="AO91" s="137" t="e">
        <f t="shared" si="14"/>
        <v>#N/A</v>
      </c>
      <c r="AP91" s="138" t="e">
        <f t="shared" si="15"/>
        <v>#N/A</v>
      </c>
      <c r="AQ91" s="138" t="e">
        <f t="shared" si="16"/>
        <v>#N/A</v>
      </c>
      <c r="AR91" s="138" t="e">
        <f t="shared" si="17"/>
        <v>#N/A</v>
      </c>
      <c r="AS91" s="138" t="e">
        <f t="shared" si="18"/>
        <v>#N/A</v>
      </c>
      <c r="AT91" s="139" t="e">
        <f t="shared" si="19"/>
        <v>#N/A</v>
      </c>
      <c r="BB91" s="16" t="s">
        <v>596</v>
      </c>
    </row>
    <row r="92" spans="1:54" ht="102.75" customHeight="1">
      <c r="A92" s="428">
        <f t="shared" si="20"/>
        <v>84</v>
      </c>
      <c r="B92" s="294"/>
      <c r="C92" s="203"/>
      <c r="D92" s="301"/>
      <c r="E92" s="301"/>
      <c r="F92" s="301"/>
      <c r="G92" s="301"/>
      <c r="H92" s="302"/>
      <c r="I92" s="292"/>
      <c r="J92" s="61"/>
      <c r="K92" s="303"/>
      <c r="L92" s="303"/>
      <c r="M92" s="203"/>
      <c r="N92" s="84" t="str">
        <f>IF($AI92&lt;&gt;"",Master!$N$37,IF($AC92&lt;&gt;"",Master!$N$38,IF($S92&lt;&gt;"",Master!$N$39,IF($C92&lt;&gt;"",Master!$N$40,Master!$N$41))))</f>
        <v>起票</v>
      </c>
      <c r="O92" s="202" t="str">
        <f>IF($N92=Master!$N$37,MAX($S92,$AC92,$AI92),"")</f>
        <v/>
      </c>
      <c r="P92" s="65"/>
      <c r="Q92" s="203"/>
      <c r="R92" s="303"/>
      <c r="S92" s="203"/>
      <c r="T92" s="310"/>
      <c r="U92" s="304"/>
      <c r="V92" s="303"/>
      <c r="W92" s="306"/>
      <c r="X92" s="306"/>
      <c r="Y92" s="305"/>
      <c r="Z92" s="303"/>
      <c r="AA92" s="203"/>
      <c r="AB92" s="306"/>
      <c r="AC92" s="203"/>
      <c r="AD92" s="307"/>
      <c r="AE92" s="308"/>
      <c r="AF92" s="309"/>
      <c r="AG92" s="310"/>
      <c r="AH92" s="303"/>
      <c r="AI92" s="203"/>
      <c r="AJ92" s="311"/>
      <c r="AK92" s="451"/>
      <c r="AL92" s="329"/>
      <c r="AM92" s="60"/>
      <c r="AO92" s="137" t="e">
        <f t="shared" si="14"/>
        <v>#N/A</v>
      </c>
      <c r="AP92" s="138" t="e">
        <f t="shared" si="15"/>
        <v>#N/A</v>
      </c>
      <c r="AQ92" s="138" t="e">
        <f t="shared" si="16"/>
        <v>#N/A</v>
      </c>
      <c r="AR92" s="138" t="e">
        <f t="shared" si="17"/>
        <v>#N/A</v>
      </c>
      <c r="AS92" s="138" t="e">
        <f t="shared" si="18"/>
        <v>#N/A</v>
      </c>
      <c r="AT92" s="139" t="e">
        <f t="shared" si="19"/>
        <v>#N/A</v>
      </c>
      <c r="BB92" s="16" t="s">
        <v>596</v>
      </c>
    </row>
    <row r="93" spans="1:54" ht="102.75" customHeight="1">
      <c r="A93" s="428">
        <f t="shared" si="20"/>
        <v>85</v>
      </c>
      <c r="B93" s="294"/>
      <c r="C93" s="203"/>
      <c r="D93" s="301"/>
      <c r="E93" s="301"/>
      <c r="F93" s="301"/>
      <c r="G93" s="301"/>
      <c r="H93" s="302"/>
      <c r="I93" s="292"/>
      <c r="J93" s="61"/>
      <c r="K93" s="303"/>
      <c r="L93" s="303"/>
      <c r="M93" s="203"/>
      <c r="N93" s="84" t="str">
        <f>IF($AI93&lt;&gt;"",Master!$N$37,IF($AC93&lt;&gt;"",Master!$N$38,IF($S93&lt;&gt;"",Master!$N$39,IF($C93&lt;&gt;"",Master!$N$40,Master!$N$41))))</f>
        <v>起票</v>
      </c>
      <c r="O93" s="202" t="str">
        <f>IF($N93=Master!$N$37,MAX($S93,$AC93,$AI93),"")</f>
        <v/>
      </c>
      <c r="P93" s="65"/>
      <c r="Q93" s="203"/>
      <c r="R93" s="303"/>
      <c r="S93" s="203"/>
      <c r="T93" s="310"/>
      <c r="U93" s="304"/>
      <c r="V93" s="303"/>
      <c r="W93" s="306"/>
      <c r="X93" s="306"/>
      <c r="Y93" s="305"/>
      <c r="Z93" s="303"/>
      <c r="AA93" s="203"/>
      <c r="AB93" s="306"/>
      <c r="AC93" s="203"/>
      <c r="AD93" s="307"/>
      <c r="AE93" s="308"/>
      <c r="AF93" s="309"/>
      <c r="AG93" s="310"/>
      <c r="AH93" s="303"/>
      <c r="AI93" s="203"/>
      <c r="AJ93" s="311"/>
      <c r="AK93" s="451"/>
      <c r="AL93" s="59"/>
      <c r="AM93" s="60"/>
      <c r="AO93" s="137" t="e">
        <f t="shared" si="14"/>
        <v>#N/A</v>
      </c>
      <c r="AP93" s="138" t="e">
        <f t="shared" si="15"/>
        <v>#N/A</v>
      </c>
      <c r="AQ93" s="138" t="e">
        <f t="shared" si="16"/>
        <v>#N/A</v>
      </c>
      <c r="AR93" s="138" t="e">
        <f t="shared" si="17"/>
        <v>#N/A</v>
      </c>
      <c r="AS93" s="138" t="e">
        <f t="shared" si="18"/>
        <v>#N/A</v>
      </c>
      <c r="AT93" s="139" t="e">
        <f t="shared" si="19"/>
        <v>#N/A</v>
      </c>
      <c r="BB93" s="16" t="s">
        <v>596</v>
      </c>
    </row>
    <row r="94" spans="1:54" ht="102.75" customHeight="1">
      <c r="A94" s="428">
        <f t="shared" si="20"/>
        <v>86</v>
      </c>
      <c r="B94" s="294"/>
      <c r="C94" s="203"/>
      <c r="D94" s="301"/>
      <c r="E94" s="301"/>
      <c r="F94" s="301"/>
      <c r="G94" s="301"/>
      <c r="H94" s="302"/>
      <c r="I94" s="292"/>
      <c r="J94" s="61"/>
      <c r="K94" s="303"/>
      <c r="L94" s="303"/>
      <c r="M94" s="203"/>
      <c r="N94" s="84" t="str">
        <f>IF($AI94&lt;&gt;"",Master!$N$37,IF($AC94&lt;&gt;"",Master!$N$38,IF($S94&lt;&gt;"",Master!$N$39,IF($C94&lt;&gt;"",Master!$N$40,Master!$N$41))))</f>
        <v>起票</v>
      </c>
      <c r="O94" s="202" t="str">
        <f>IF($N94=Master!$N$37,MAX($S94,$AC94,$AI94),"")</f>
        <v/>
      </c>
      <c r="P94" s="65"/>
      <c r="Q94" s="203"/>
      <c r="R94" s="303"/>
      <c r="S94" s="203"/>
      <c r="T94" s="310"/>
      <c r="U94" s="304"/>
      <c r="V94" s="303"/>
      <c r="W94" s="306"/>
      <c r="X94" s="306"/>
      <c r="Y94" s="305"/>
      <c r="Z94" s="303"/>
      <c r="AA94" s="203"/>
      <c r="AB94" s="306"/>
      <c r="AC94" s="203"/>
      <c r="AD94" s="307"/>
      <c r="AE94" s="308"/>
      <c r="AF94" s="309"/>
      <c r="AG94" s="310"/>
      <c r="AH94" s="303"/>
      <c r="AI94" s="203"/>
      <c r="AJ94" s="311"/>
      <c r="AK94" s="451"/>
      <c r="AL94" s="59"/>
      <c r="AM94" s="60"/>
      <c r="AO94" s="137" t="e">
        <f t="shared" si="14"/>
        <v>#N/A</v>
      </c>
      <c r="AP94" s="138" t="e">
        <f t="shared" si="15"/>
        <v>#N/A</v>
      </c>
      <c r="AQ94" s="138" t="e">
        <f t="shared" si="16"/>
        <v>#N/A</v>
      </c>
      <c r="AR94" s="138" t="e">
        <f t="shared" si="17"/>
        <v>#N/A</v>
      </c>
      <c r="AS94" s="138" t="e">
        <f t="shared" si="18"/>
        <v>#N/A</v>
      </c>
      <c r="AT94" s="139" t="e">
        <f t="shared" si="19"/>
        <v>#N/A</v>
      </c>
      <c r="BB94" s="16" t="s">
        <v>596</v>
      </c>
    </row>
    <row r="95" spans="1:54" ht="102.75" customHeight="1">
      <c r="A95" s="428">
        <f t="shared" si="20"/>
        <v>87</v>
      </c>
      <c r="B95" s="294"/>
      <c r="C95" s="203"/>
      <c r="D95" s="301"/>
      <c r="E95" s="301"/>
      <c r="F95" s="301"/>
      <c r="G95" s="301"/>
      <c r="H95" s="302"/>
      <c r="I95" s="292"/>
      <c r="J95" s="61"/>
      <c r="K95" s="303"/>
      <c r="L95" s="303"/>
      <c r="M95" s="203"/>
      <c r="N95" s="84" t="str">
        <f>IF($AI95&lt;&gt;"",Master!$N$37,IF($AC95&lt;&gt;"",Master!$N$38,IF($S95&lt;&gt;"",Master!$N$39,IF($C95&lt;&gt;"",Master!$N$40,Master!$N$41))))</f>
        <v>起票</v>
      </c>
      <c r="O95" s="202" t="str">
        <f>IF($N95=Master!$N$37,MAX($S95,$AC95,$AI95),"")</f>
        <v/>
      </c>
      <c r="P95" s="65"/>
      <c r="Q95" s="203"/>
      <c r="R95" s="303"/>
      <c r="S95" s="203"/>
      <c r="T95" s="310"/>
      <c r="U95" s="304"/>
      <c r="V95" s="303"/>
      <c r="W95" s="306"/>
      <c r="X95" s="306"/>
      <c r="Y95" s="305"/>
      <c r="Z95" s="303"/>
      <c r="AA95" s="203"/>
      <c r="AB95" s="306"/>
      <c r="AC95" s="203"/>
      <c r="AD95" s="307"/>
      <c r="AE95" s="308"/>
      <c r="AF95" s="309"/>
      <c r="AG95" s="310"/>
      <c r="AH95" s="303"/>
      <c r="AI95" s="203"/>
      <c r="AJ95" s="311"/>
      <c r="AK95" s="451"/>
      <c r="AL95" s="59"/>
      <c r="AM95" s="60"/>
      <c r="AO95" s="137" t="e">
        <f t="shared" si="14"/>
        <v>#N/A</v>
      </c>
      <c r="AP95" s="138" t="e">
        <f t="shared" si="15"/>
        <v>#N/A</v>
      </c>
      <c r="AQ95" s="138" t="e">
        <f t="shared" si="16"/>
        <v>#N/A</v>
      </c>
      <c r="AR95" s="138" t="e">
        <f t="shared" si="17"/>
        <v>#N/A</v>
      </c>
      <c r="AS95" s="138" t="e">
        <f t="shared" si="18"/>
        <v>#N/A</v>
      </c>
      <c r="AT95" s="139" t="e">
        <f t="shared" si="19"/>
        <v>#N/A</v>
      </c>
      <c r="BB95" s="16" t="s">
        <v>596</v>
      </c>
    </row>
    <row r="96" spans="1:54" ht="102.75" customHeight="1">
      <c r="A96" s="428">
        <f t="shared" si="20"/>
        <v>88</v>
      </c>
      <c r="B96" s="294"/>
      <c r="C96" s="203"/>
      <c r="D96" s="301"/>
      <c r="E96" s="301"/>
      <c r="F96" s="301"/>
      <c r="G96" s="301"/>
      <c r="H96" s="302"/>
      <c r="I96" s="292"/>
      <c r="J96" s="61"/>
      <c r="K96" s="303"/>
      <c r="L96" s="303"/>
      <c r="M96" s="203"/>
      <c r="N96" s="84" t="str">
        <f>IF($AI96&lt;&gt;"",Master!$N$37,IF($AC96&lt;&gt;"",Master!$N$38,IF($S96&lt;&gt;"",Master!$N$39,IF($C96&lt;&gt;"",Master!$N$40,Master!$N$41))))</f>
        <v>起票</v>
      </c>
      <c r="O96" s="202" t="str">
        <f>IF($N96=Master!$N$37,MAX($S96,$AC96,$AI96),"")</f>
        <v/>
      </c>
      <c r="P96" s="65"/>
      <c r="Q96" s="203"/>
      <c r="R96" s="303"/>
      <c r="S96" s="203"/>
      <c r="T96" s="310"/>
      <c r="U96" s="304"/>
      <c r="V96" s="303"/>
      <c r="W96" s="306"/>
      <c r="X96" s="306"/>
      <c r="Y96" s="305"/>
      <c r="Z96" s="303"/>
      <c r="AA96" s="203"/>
      <c r="AB96" s="306"/>
      <c r="AC96" s="203"/>
      <c r="AD96" s="307"/>
      <c r="AE96" s="308"/>
      <c r="AF96" s="309"/>
      <c r="AG96" s="310"/>
      <c r="AH96" s="303"/>
      <c r="AI96" s="203"/>
      <c r="AJ96" s="311"/>
      <c r="AK96" s="451"/>
      <c r="AL96" s="59"/>
      <c r="AM96" s="60"/>
      <c r="AO96" s="137" t="e">
        <f t="shared" si="14"/>
        <v>#N/A</v>
      </c>
      <c r="AP96" s="138" t="e">
        <f t="shared" si="15"/>
        <v>#N/A</v>
      </c>
      <c r="AQ96" s="138" t="e">
        <f t="shared" si="16"/>
        <v>#N/A</v>
      </c>
      <c r="AR96" s="138" t="e">
        <f t="shared" si="17"/>
        <v>#N/A</v>
      </c>
      <c r="AS96" s="138" t="e">
        <f t="shared" si="18"/>
        <v>#N/A</v>
      </c>
      <c r="AT96" s="139" t="e">
        <f t="shared" si="19"/>
        <v>#N/A</v>
      </c>
      <c r="BB96" s="16" t="s">
        <v>596</v>
      </c>
    </row>
    <row r="97" spans="1:54" ht="102.75" customHeight="1">
      <c r="A97" s="428">
        <f t="shared" si="20"/>
        <v>89</v>
      </c>
      <c r="B97" s="294"/>
      <c r="C97" s="203"/>
      <c r="D97" s="301"/>
      <c r="E97" s="301"/>
      <c r="F97" s="301"/>
      <c r="G97" s="301"/>
      <c r="H97" s="302"/>
      <c r="I97" s="292"/>
      <c r="J97" s="61"/>
      <c r="K97" s="303"/>
      <c r="L97" s="303"/>
      <c r="M97" s="203"/>
      <c r="N97" s="84" t="str">
        <f>IF($AI97&lt;&gt;"",Master!$N$37,IF($AC97&lt;&gt;"",Master!$N$38,IF($S97&lt;&gt;"",Master!$N$39,IF($C97&lt;&gt;"",Master!$N$40,Master!$N$41))))</f>
        <v>起票</v>
      </c>
      <c r="O97" s="202" t="str">
        <f>IF($N97=Master!$N$37,MAX($S97,$AC97,$AI97),"")</f>
        <v/>
      </c>
      <c r="P97" s="65"/>
      <c r="Q97" s="203"/>
      <c r="R97" s="303"/>
      <c r="S97" s="203"/>
      <c r="T97" s="310"/>
      <c r="U97" s="304"/>
      <c r="V97" s="303"/>
      <c r="W97" s="306"/>
      <c r="X97" s="306"/>
      <c r="Y97" s="305"/>
      <c r="Z97" s="303"/>
      <c r="AA97" s="203"/>
      <c r="AB97" s="306"/>
      <c r="AC97" s="203"/>
      <c r="AD97" s="307"/>
      <c r="AE97" s="308"/>
      <c r="AF97" s="309"/>
      <c r="AG97" s="310"/>
      <c r="AH97" s="303"/>
      <c r="AI97" s="203"/>
      <c r="AJ97" s="311"/>
      <c r="AK97" s="451"/>
      <c r="AL97" s="59"/>
      <c r="AM97" s="60"/>
      <c r="AO97" s="137" t="e">
        <f t="shared" si="14"/>
        <v>#N/A</v>
      </c>
      <c r="AP97" s="138" t="e">
        <f t="shared" si="15"/>
        <v>#N/A</v>
      </c>
      <c r="AQ97" s="138" t="e">
        <f t="shared" si="16"/>
        <v>#N/A</v>
      </c>
      <c r="AR97" s="138" t="e">
        <f t="shared" si="17"/>
        <v>#N/A</v>
      </c>
      <c r="AS97" s="138" t="e">
        <f t="shared" si="18"/>
        <v>#N/A</v>
      </c>
      <c r="AT97" s="139" t="e">
        <f t="shared" si="19"/>
        <v>#N/A</v>
      </c>
      <c r="BB97" s="16" t="s">
        <v>596</v>
      </c>
    </row>
    <row r="98" spans="1:54" ht="102.75" customHeight="1">
      <c r="A98" s="428">
        <f t="shared" si="20"/>
        <v>90</v>
      </c>
      <c r="B98" s="294"/>
      <c r="C98" s="203"/>
      <c r="D98" s="301"/>
      <c r="E98" s="301"/>
      <c r="F98" s="301"/>
      <c r="G98" s="301"/>
      <c r="H98" s="302"/>
      <c r="I98" s="292"/>
      <c r="J98" s="61"/>
      <c r="K98" s="303"/>
      <c r="L98" s="303"/>
      <c r="M98" s="203"/>
      <c r="N98" s="84" t="str">
        <f>IF($AI98&lt;&gt;"",Master!$N$37,IF($AC98&lt;&gt;"",Master!$N$38,IF($S98&lt;&gt;"",Master!$N$39,IF($C98&lt;&gt;"",Master!$N$40,Master!$N$41))))</f>
        <v>起票</v>
      </c>
      <c r="O98" s="202" t="str">
        <f>IF($N98=Master!$N$37,MAX($S98,$AC98,$AI98),"")</f>
        <v/>
      </c>
      <c r="P98" s="65"/>
      <c r="Q98" s="203"/>
      <c r="R98" s="303"/>
      <c r="S98" s="203"/>
      <c r="T98" s="310"/>
      <c r="U98" s="304"/>
      <c r="V98" s="303"/>
      <c r="W98" s="306"/>
      <c r="X98" s="306"/>
      <c r="Y98" s="305"/>
      <c r="Z98" s="303"/>
      <c r="AA98" s="203"/>
      <c r="AB98" s="306"/>
      <c r="AC98" s="203"/>
      <c r="AD98" s="307"/>
      <c r="AE98" s="308"/>
      <c r="AF98" s="309"/>
      <c r="AG98" s="310"/>
      <c r="AH98" s="303"/>
      <c r="AI98" s="203"/>
      <c r="AJ98" s="311"/>
      <c r="AK98" s="451"/>
      <c r="AL98" s="59"/>
      <c r="AM98" s="60"/>
      <c r="AO98" s="137" t="e">
        <f t="shared" si="14"/>
        <v>#N/A</v>
      </c>
      <c r="AP98" s="138" t="e">
        <f t="shared" si="15"/>
        <v>#N/A</v>
      </c>
      <c r="AQ98" s="138" t="e">
        <f t="shared" si="16"/>
        <v>#N/A</v>
      </c>
      <c r="AR98" s="138" t="e">
        <f t="shared" si="17"/>
        <v>#N/A</v>
      </c>
      <c r="AS98" s="138" t="e">
        <f t="shared" si="18"/>
        <v>#N/A</v>
      </c>
      <c r="AT98" s="139" t="e">
        <f t="shared" si="19"/>
        <v>#N/A</v>
      </c>
      <c r="BB98" s="16" t="s">
        <v>596</v>
      </c>
    </row>
    <row r="99" spans="1:54" ht="102.75" customHeight="1">
      <c r="A99" s="428">
        <f t="shared" si="20"/>
        <v>91</v>
      </c>
      <c r="B99" s="294"/>
      <c r="C99" s="203"/>
      <c r="D99" s="301"/>
      <c r="E99" s="301"/>
      <c r="F99" s="301"/>
      <c r="G99" s="301"/>
      <c r="H99" s="302"/>
      <c r="I99" s="292"/>
      <c r="J99" s="61"/>
      <c r="K99" s="303"/>
      <c r="L99" s="303"/>
      <c r="M99" s="203"/>
      <c r="N99" s="84" t="str">
        <f>IF($AI99&lt;&gt;"",Master!$N$37,IF($AC99&lt;&gt;"",Master!$N$38,IF($S99&lt;&gt;"",Master!$N$39,IF($C99&lt;&gt;"",Master!$N$40,Master!$N$41))))</f>
        <v>起票</v>
      </c>
      <c r="O99" s="202" t="str">
        <f>IF($N99=Master!$N$37,MAX($S99,$AC99,$AI99),"")</f>
        <v/>
      </c>
      <c r="P99" s="65"/>
      <c r="Q99" s="203"/>
      <c r="R99" s="303"/>
      <c r="S99" s="203"/>
      <c r="T99" s="310"/>
      <c r="U99" s="304"/>
      <c r="V99" s="303"/>
      <c r="W99" s="306"/>
      <c r="X99" s="306"/>
      <c r="Y99" s="305"/>
      <c r="Z99" s="303"/>
      <c r="AA99" s="203"/>
      <c r="AB99" s="306"/>
      <c r="AC99" s="203"/>
      <c r="AD99" s="307"/>
      <c r="AE99" s="308"/>
      <c r="AF99" s="309"/>
      <c r="AG99" s="310"/>
      <c r="AH99" s="303"/>
      <c r="AI99" s="203"/>
      <c r="AJ99" s="311"/>
      <c r="AK99" s="451"/>
      <c r="AL99" s="59"/>
      <c r="AM99" s="60"/>
      <c r="AO99" s="137" t="e">
        <f t="shared" si="14"/>
        <v>#N/A</v>
      </c>
      <c r="AP99" s="138" t="e">
        <f t="shared" si="15"/>
        <v>#N/A</v>
      </c>
      <c r="AQ99" s="138" t="e">
        <f t="shared" si="16"/>
        <v>#N/A</v>
      </c>
      <c r="AR99" s="138" t="e">
        <f t="shared" si="17"/>
        <v>#N/A</v>
      </c>
      <c r="AS99" s="138" t="e">
        <f t="shared" si="18"/>
        <v>#N/A</v>
      </c>
      <c r="AT99" s="139" t="e">
        <f t="shared" si="19"/>
        <v>#N/A</v>
      </c>
      <c r="BB99" s="16" t="s">
        <v>596</v>
      </c>
    </row>
    <row r="100" spans="1:54" ht="102.75" customHeight="1">
      <c r="A100" s="428">
        <f t="shared" si="20"/>
        <v>92</v>
      </c>
      <c r="B100" s="294"/>
      <c r="C100" s="203"/>
      <c r="D100" s="301"/>
      <c r="E100" s="301"/>
      <c r="F100" s="301"/>
      <c r="G100" s="301"/>
      <c r="H100" s="302"/>
      <c r="I100" s="292"/>
      <c r="J100" s="61"/>
      <c r="K100" s="303"/>
      <c r="L100" s="303"/>
      <c r="M100" s="203"/>
      <c r="N100" s="84" t="str">
        <f>IF($AI100&lt;&gt;"",Master!$N$37,IF($AC100&lt;&gt;"",Master!$N$38,IF($S100&lt;&gt;"",Master!$N$39,IF($C100&lt;&gt;"",Master!$N$40,Master!$N$41))))</f>
        <v>起票</v>
      </c>
      <c r="O100" s="202" t="str">
        <f>IF($N100=Master!$N$37,MAX($S100,$AC100,$AI100),"")</f>
        <v/>
      </c>
      <c r="P100" s="65"/>
      <c r="Q100" s="203"/>
      <c r="R100" s="303"/>
      <c r="S100" s="203"/>
      <c r="T100" s="310"/>
      <c r="U100" s="304"/>
      <c r="V100" s="303"/>
      <c r="W100" s="306"/>
      <c r="X100" s="306"/>
      <c r="Y100" s="305"/>
      <c r="Z100" s="303"/>
      <c r="AA100" s="203"/>
      <c r="AB100" s="306"/>
      <c r="AC100" s="203"/>
      <c r="AD100" s="307"/>
      <c r="AE100" s="308"/>
      <c r="AF100" s="309"/>
      <c r="AG100" s="310"/>
      <c r="AH100" s="303"/>
      <c r="AI100" s="203"/>
      <c r="AJ100" s="311"/>
      <c r="AK100" s="451"/>
      <c r="AL100" s="59"/>
      <c r="AM100" s="60"/>
      <c r="AO100" s="137" t="e">
        <f t="shared" si="14"/>
        <v>#N/A</v>
      </c>
      <c r="AP100" s="138" t="e">
        <f t="shared" si="15"/>
        <v>#N/A</v>
      </c>
      <c r="AQ100" s="138" t="e">
        <f t="shared" si="16"/>
        <v>#N/A</v>
      </c>
      <c r="AR100" s="138" t="e">
        <f t="shared" si="17"/>
        <v>#N/A</v>
      </c>
      <c r="AS100" s="138" t="e">
        <f t="shared" si="18"/>
        <v>#N/A</v>
      </c>
      <c r="AT100" s="139" t="e">
        <f t="shared" si="19"/>
        <v>#N/A</v>
      </c>
      <c r="BB100" s="16" t="s">
        <v>596</v>
      </c>
    </row>
    <row r="101" spans="1:54" ht="102.75" customHeight="1">
      <c r="A101" s="428">
        <f t="shared" si="20"/>
        <v>93</v>
      </c>
      <c r="B101" s="294"/>
      <c r="C101" s="203"/>
      <c r="D101" s="301"/>
      <c r="E101" s="301"/>
      <c r="F101" s="301"/>
      <c r="G101" s="301"/>
      <c r="H101" s="302"/>
      <c r="I101" s="292"/>
      <c r="J101" s="61"/>
      <c r="K101" s="303"/>
      <c r="L101" s="303"/>
      <c r="M101" s="203"/>
      <c r="N101" s="84" t="str">
        <f>IF($AI101&lt;&gt;"",Master!$N$37,IF($AC101&lt;&gt;"",Master!$N$38,IF($S101&lt;&gt;"",Master!$N$39,IF($C101&lt;&gt;"",Master!$N$40,Master!$N$41))))</f>
        <v>起票</v>
      </c>
      <c r="O101" s="202" t="str">
        <f>IF($N101=Master!$N$37,MAX($S101,$AC101,$AI101),"")</f>
        <v/>
      </c>
      <c r="P101" s="65"/>
      <c r="Q101" s="203"/>
      <c r="R101" s="303"/>
      <c r="S101" s="203"/>
      <c r="T101" s="310"/>
      <c r="U101" s="304"/>
      <c r="V101" s="303"/>
      <c r="W101" s="306"/>
      <c r="X101" s="306"/>
      <c r="Y101" s="305"/>
      <c r="Z101" s="303"/>
      <c r="AA101" s="203"/>
      <c r="AB101" s="306"/>
      <c r="AC101" s="203"/>
      <c r="AD101" s="307"/>
      <c r="AE101" s="308"/>
      <c r="AF101" s="309"/>
      <c r="AG101" s="310"/>
      <c r="AH101" s="303"/>
      <c r="AI101" s="203"/>
      <c r="AJ101" s="311"/>
      <c r="AK101" s="451"/>
      <c r="AL101" s="59"/>
      <c r="AM101" s="60"/>
      <c r="AO101" s="137" t="e">
        <f t="shared" si="14"/>
        <v>#N/A</v>
      </c>
      <c r="AP101" s="138" t="e">
        <f t="shared" si="15"/>
        <v>#N/A</v>
      </c>
      <c r="AQ101" s="138" t="e">
        <f t="shared" si="16"/>
        <v>#N/A</v>
      </c>
      <c r="AR101" s="138" t="e">
        <f t="shared" si="17"/>
        <v>#N/A</v>
      </c>
      <c r="AS101" s="138" t="e">
        <f t="shared" si="18"/>
        <v>#N/A</v>
      </c>
      <c r="AT101" s="139" t="e">
        <f t="shared" si="19"/>
        <v>#N/A</v>
      </c>
      <c r="BB101" s="16" t="s">
        <v>596</v>
      </c>
    </row>
    <row r="102" spans="1:54" ht="102.75" customHeight="1">
      <c r="A102" s="428">
        <f t="shared" si="20"/>
        <v>94</v>
      </c>
      <c r="B102" s="294"/>
      <c r="C102" s="203"/>
      <c r="D102" s="301"/>
      <c r="E102" s="301"/>
      <c r="F102" s="301"/>
      <c r="G102" s="301"/>
      <c r="H102" s="302"/>
      <c r="I102" s="292"/>
      <c r="J102" s="61"/>
      <c r="K102" s="303"/>
      <c r="L102" s="303"/>
      <c r="M102" s="203"/>
      <c r="N102" s="84" t="str">
        <f>IF($AI102&lt;&gt;"",Master!$N$37,IF($AC102&lt;&gt;"",Master!$N$38,IF($S102&lt;&gt;"",Master!$N$39,IF($C102&lt;&gt;"",Master!$N$40,Master!$N$41))))</f>
        <v>起票</v>
      </c>
      <c r="O102" s="202" t="str">
        <f>IF($N102=Master!$N$37,MAX($S102,$AC102,$AI102),"")</f>
        <v/>
      </c>
      <c r="P102" s="65"/>
      <c r="Q102" s="203"/>
      <c r="R102" s="303"/>
      <c r="S102" s="203"/>
      <c r="T102" s="310"/>
      <c r="U102" s="304"/>
      <c r="V102" s="303"/>
      <c r="W102" s="306"/>
      <c r="X102" s="306"/>
      <c r="Y102" s="305"/>
      <c r="Z102" s="303"/>
      <c r="AA102" s="203"/>
      <c r="AB102" s="306"/>
      <c r="AC102" s="203"/>
      <c r="AD102" s="307"/>
      <c r="AE102" s="308"/>
      <c r="AF102" s="309"/>
      <c r="AG102" s="310"/>
      <c r="AH102" s="303"/>
      <c r="AI102" s="203"/>
      <c r="AJ102" s="311"/>
      <c r="AK102" s="451"/>
      <c r="AL102" s="59"/>
      <c r="AM102" s="60"/>
      <c r="AO102" s="137" t="e">
        <f t="shared" si="14"/>
        <v>#N/A</v>
      </c>
      <c r="AP102" s="138" t="e">
        <f t="shared" si="15"/>
        <v>#N/A</v>
      </c>
      <c r="AQ102" s="138" t="e">
        <f t="shared" si="16"/>
        <v>#N/A</v>
      </c>
      <c r="AR102" s="138" t="e">
        <f t="shared" si="17"/>
        <v>#N/A</v>
      </c>
      <c r="AS102" s="138" t="e">
        <f t="shared" si="18"/>
        <v>#N/A</v>
      </c>
      <c r="AT102" s="139" t="e">
        <f t="shared" si="19"/>
        <v>#N/A</v>
      </c>
      <c r="BB102" s="16" t="s">
        <v>596</v>
      </c>
    </row>
    <row r="103" spans="1:54" ht="102.75" customHeight="1">
      <c r="A103" s="428">
        <f t="shared" si="20"/>
        <v>95</v>
      </c>
      <c r="B103" s="294"/>
      <c r="C103" s="203"/>
      <c r="D103" s="301"/>
      <c r="E103" s="301"/>
      <c r="F103" s="301"/>
      <c r="G103" s="301"/>
      <c r="H103" s="302"/>
      <c r="I103" s="292"/>
      <c r="J103" s="61"/>
      <c r="K103" s="303"/>
      <c r="L103" s="303"/>
      <c r="M103" s="203"/>
      <c r="N103" s="84" t="str">
        <f>IF($AI103&lt;&gt;"",Master!$N$37,IF($AC103&lt;&gt;"",Master!$N$38,IF($S103&lt;&gt;"",Master!$N$39,IF($C103&lt;&gt;"",Master!$N$40,Master!$N$41))))</f>
        <v>起票</v>
      </c>
      <c r="O103" s="202" t="str">
        <f>IF($N103=Master!$N$37,MAX($S103,$AC103,$AI103),"")</f>
        <v/>
      </c>
      <c r="P103" s="65"/>
      <c r="Q103" s="203"/>
      <c r="R103" s="303"/>
      <c r="S103" s="203"/>
      <c r="T103" s="310"/>
      <c r="U103" s="304"/>
      <c r="V103" s="303"/>
      <c r="W103" s="306"/>
      <c r="X103" s="306"/>
      <c r="Y103" s="305"/>
      <c r="Z103" s="303"/>
      <c r="AA103" s="203"/>
      <c r="AB103" s="306"/>
      <c r="AC103" s="203"/>
      <c r="AD103" s="307"/>
      <c r="AE103" s="308"/>
      <c r="AF103" s="309"/>
      <c r="AG103" s="310"/>
      <c r="AH103" s="303"/>
      <c r="AI103" s="203"/>
      <c r="AJ103" s="311"/>
      <c r="AK103" s="451"/>
      <c r="AL103" s="59"/>
      <c r="AM103" s="60"/>
      <c r="AO103" s="137" t="e">
        <f t="shared" si="14"/>
        <v>#N/A</v>
      </c>
      <c r="AP103" s="138" t="e">
        <f t="shared" si="15"/>
        <v>#N/A</v>
      </c>
      <c r="AQ103" s="138" t="e">
        <f t="shared" si="16"/>
        <v>#N/A</v>
      </c>
      <c r="AR103" s="138" t="e">
        <f t="shared" si="17"/>
        <v>#N/A</v>
      </c>
      <c r="AS103" s="138" t="e">
        <f t="shared" si="18"/>
        <v>#N/A</v>
      </c>
      <c r="AT103" s="139" t="e">
        <f t="shared" si="19"/>
        <v>#N/A</v>
      </c>
      <c r="BB103" s="16" t="s">
        <v>596</v>
      </c>
    </row>
    <row r="104" spans="1:54" ht="102.75" customHeight="1">
      <c r="A104" s="428">
        <f t="shared" si="20"/>
        <v>96</v>
      </c>
      <c r="B104" s="294"/>
      <c r="C104" s="203"/>
      <c r="D104" s="301"/>
      <c r="E104" s="301"/>
      <c r="F104" s="301"/>
      <c r="G104" s="301"/>
      <c r="H104" s="302"/>
      <c r="I104" s="292"/>
      <c r="J104" s="61"/>
      <c r="K104" s="303"/>
      <c r="L104" s="303"/>
      <c r="M104" s="203"/>
      <c r="N104" s="84" t="str">
        <f>IF($AI104&lt;&gt;"",Master!$N$37,IF($AC104&lt;&gt;"",Master!$N$38,IF($S104&lt;&gt;"",Master!$N$39,IF($C104&lt;&gt;"",Master!$N$40,Master!$N$41))))</f>
        <v>起票</v>
      </c>
      <c r="O104" s="202" t="str">
        <f>IF($N104=Master!$N$37,MAX($S104,$AC104,$AI104),"")</f>
        <v/>
      </c>
      <c r="P104" s="65"/>
      <c r="Q104" s="203"/>
      <c r="R104" s="303"/>
      <c r="S104" s="203"/>
      <c r="T104" s="310"/>
      <c r="U104" s="304"/>
      <c r="V104" s="303"/>
      <c r="W104" s="306"/>
      <c r="X104" s="306"/>
      <c r="Y104" s="305"/>
      <c r="Z104" s="303"/>
      <c r="AA104" s="203"/>
      <c r="AB104" s="306"/>
      <c r="AC104" s="203"/>
      <c r="AD104" s="307"/>
      <c r="AE104" s="308"/>
      <c r="AF104" s="309"/>
      <c r="AG104" s="310"/>
      <c r="AH104" s="303"/>
      <c r="AI104" s="203"/>
      <c r="AJ104" s="311"/>
      <c r="AK104" s="451"/>
      <c r="AL104" s="59"/>
      <c r="AM104" s="60"/>
      <c r="AO104" s="137" t="e">
        <f t="shared" si="14"/>
        <v>#N/A</v>
      </c>
      <c r="AP104" s="138" t="e">
        <f t="shared" si="15"/>
        <v>#N/A</v>
      </c>
      <c r="AQ104" s="138" t="e">
        <f t="shared" si="16"/>
        <v>#N/A</v>
      </c>
      <c r="AR104" s="138" t="e">
        <f t="shared" si="17"/>
        <v>#N/A</v>
      </c>
      <c r="AS104" s="138" t="e">
        <f t="shared" si="18"/>
        <v>#N/A</v>
      </c>
      <c r="AT104" s="139" t="e">
        <f t="shared" si="19"/>
        <v>#N/A</v>
      </c>
      <c r="BB104" s="16" t="s">
        <v>596</v>
      </c>
    </row>
    <row r="105" spans="1:54" ht="102.75" customHeight="1">
      <c r="A105" s="428">
        <f t="shared" si="20"/>
        <v>97</v>
      </c>
      <c r="B105" s="294"/>
      <c r="C105" s="203"/>
      <c r="D105" s="301"/>
      <c r="E105" s="301"/>
      <c r="F105" s="301"/>
      <c r="G105" s="301"/>
      <c r="H105" s="302"/>
      <c r="I105" s="292"/>
      <c r="J105" s="61"/>
      <c r="K105" s="303"/>
      <c r="L105" s="303"/>
      <c r="M105" s="203"/>
      <c r="N105" s="84" t="str">
        <f>IF($AI105&lt;&gt;"",Master!$N$37,IF($AC105&lt;&gt;"",Master!$N$38,IF($S105&lt;&gt;"",Master!$N$39,IF($C105&lt;&gt;"",Master!$N$40,Master!$N$41))))</f>
        <v>起票</v>
      </c>
      <c r="O105" s="202" t="str">
        <f>IF($N105=Master!$N$37,MAX($S105,$AC105,$AI105),"")</f>
        <v/>
      </c>
      <c r="P105" s="65"/>
      <c r="Q105" s="203"/>
      <c r="R105" s="303"/>
      <c r="S105" s="203"/>
      <c r="T105" s="310"/>
      <c r="U105" s="304"/>
      <c r="V105" s="303"/>
      <c r="W105" s="306"/>
      <c r="X105" s="306"/>
      <c r="Y105" s="305"/>
      <c r="Z105" s="303"/>
      <c r="AA105" s="203"/>
      <c r="AB105" s="306"/>
      <c r="AC105" s="203"/>
      <c r="AD105" s="307"/>
      <c r="AE105" s="308"/>
      <c r="AF105" s="309"/>
      <c r="AG105" s="310"/>
      <c r="AH105" s="303"/>
      <c r="AI105" s="203"/>
      <c r="AJ105" s="311"/>
      <c r="AK105" s="451"/>
      <c r="AL105" s="59"/>
      <c r="AM105" s="60"/>
      <c r="AO105" s="137" t="e">
        <f t="shared" si="14"/>
        <v>#N/A</v>
      </c>
      <c r="AP105" s="138" t="e">
        <f t="shared" si="15"/>
        <v>#N/A</v>
      </c>
      <c r="AQ105" s="138" t="e">
        <f t="shared" si="16"/>
        <v>#N/A</v>
      </c>
      <c r="AR105" s="138" t="e">
        <f t="shared" si="17"/>
        <v>#N/A</v>
      </c>
      <c r="AS105" s="138" t="e">
        <f t="shared" si="18"/>
        <v>#N/A</v>
      </c>
      <c r="AT105" s="139" t="e">
        <f t="shared" si="19"/>
        <v>#N/A</v>
      </c>
      <c r="BB105" s="16" t="s">
        <v>596</v>
      </c>
    </row>
    <row r="106" spans="1:54" ht="102.75" customHeight="1">
      <c r="A106" s="428">
        <f t="shared" si="20"/>
        <v>98</v>
      </c>
      <c r="B106" s="294"/>
      <c r="C106" s="203"/>
      <c r="D106" s="301"/>
      <c r="E106" s="301"/>
      <c r="F106" s="301"/>
      <c r="G106" s="301"/>
      <c r="H106" s="302"/>
      <c r="I106" s="292"/>
      <c r="J106" s="61"/>
      <c r="K106" s="303"/>
      <c r="L106" s="303"/>
      <c r="M106" s="203"/>
      <c r="N106" s="84" t="str">
        <f>IF($AI106&lt;&gt;"",Master!$N$37,IF($AC106&lt;&gt;"",Master!$N$38,IF($S106&lt;&gt;"",Master!$N$39,IF($C106&lt;&gt;"",Master!$N$40,Master!$N$41))))</f>
        <v>起票</v>
      </c>
      <c r="O106" s="202" t="str">
        <f>IF($N106=Master!$N$37,MAX($S106,$AC106,$AI106),"")</f>
        <v/>
      </c>
      <c r="P106" s="65"/>
      <c r="Q106" s="203"/>
      <c r="R106" s="303"/>
      <c r="S106" s="203"/>
      <c r="T106" s="310"/>
      <c r="U106" s="304"/>
      <c r="V106" s="303"/>
      <c r="W106" s="306"/>
      <c r="X106" s="306"/>
      <c r="Y106" s="305"/>
      <c r="Z106" s="303"/>
      <c r="AA106" s="203"/>
      <c r="AB106" s="306"/>
      <c r="AC106" s="203"/>
      <c r="AD106" s="307"/>
      <c r="AE106" s="308"/>
      <c r="AF106" s="309"/>
      <c r="AG106" s="310"/>
      <c r="AH106" s="303"/>
      <c r="AI106" s="203"/>
      <c r="AJ106" s="311"/>
      <c r="AK106" s="451"/>
      <c r="AL106" s="59"/>
      <c r="AM106" s="60"/>
      <c r="AO106" s="137" t="e">
        <f t="shared" si="14"/>
        <v>#N/A</v>
      </c>
      <c r="AP106" s="138" t="e">
        <f t="shared" si="15"/>
        <v>#N/A</v>
      </c>
      <c r="AQ106" s="138" t="e">
        <f t="shared" si="16"/>
        <v>#N/A</v>
      </c>
      <c r="AR106" s="138" t="e">
        <f t="shared" si="17"/>
        <v>#N/A</v>
      </c>
      <c r="AS106" s="138" t="e">
        <f t="shared" si="18"/>
        <v>#N/A</v>
      </c>
      <c r="AT106" s="139" t="e">
        <f t="shared" si="19"/>
        <v>#N/A</v>
      </c>
      <c r="BB106" s="16" t="s">
        <v>596</v>
      </c>
    </row>
    <row r="107" spans="1:54" ht="102.75" customHeight="1">
      <c r="A107" s="428">
        <f t="shared" si="20"/>
        <v>99</v>
      </c>
      <c r="B107" s="294"/>
      <c r="C107" s="203"/>
      <c r="D107" s="301"/>
      <c r="E107" s="301"/>
      <c r="F107" s="301"/>
      <c r="G107" s="301"/>
      <c r="H107" s="302"/>
      <c r="I107" s="292"/>
      <c r="J107" s="61"/>
      <c r="K107" s="303"/>
      <c r="L107" s="303"/>
      <c r="M107" s="203"/>
      <c r="N107" s="84" t="str">
        <f>IF($AI107&lt;&gt;"",Master!$N$37,IF($AC107&lt;&gt;"",Master!$N$38,IF($S107&lt;&gt;"",Master!$N$39,IF($C107&lt;&gt;"",Master!$N$40,Master!$N$41))))</f>
        <v>起票</v>
      </c>
      <c r="O107" s="202" t="str">
        <f>IF($N107=Master!$N$37,MAX($S107,$AC107,$AI107),"")</f>
        <v/>
      </c>
      <c r="P107" s="65"/>
      <c r="Q107" s="203"/>
      <c r="R107" s="303"/>
      <c r="S107" s="203"/>
      <c r="T107" s="310"/>
      <c r="U107" s="304"/>
      <c r="V107" s="303"/>
      <c r="W107" s="306"/>
      <c r="X107" s="306"/>
      <c r="Y107" s="305"/>
      <c r="Z107" s="303"/>
      <c r="AA107" s="203"/>
      <c r="AB107" s="306"/>
      <c r="AC107" s="203"/>
      <c r="AD107" s="307"/>
      <c r="AE107" s="308"/>
      <c r="AF107" s="309"/>
      <c r="AG107" s="310"/>
      <c r="AH107" s="303"/>
      <c r="AI107" s="203"/>
      <c r="AJ107" s="311"/>
      <c r="AK107" s="451"/>
      <c r="AL107" s="59"/>
      <c r="AM107" s="60"/>
      <c r="AO107" s="137" t="e">
        <f t="shared" si="14"/>
        <v>#N/A</v>
      </c>
      <c r="AP107" s="138" t="e">
        <f t="shared" si="15"/>
        <v>#N/A</v>
      </c>
      <c r="AQ107" s="138" t="e">
        <f t="shared" si="16"/>
        <v>#N/A</v>
      </c>
      <c r="AR107" s="138" t="e">
        <f t="shared" si="17"/>
        <v>#N/A</v>
      </c>
      <c r="AS107" s="138" t="e">
        <f t="shared" si="18"/>
        <v>#N/A</v>
      </c>
      <c r="AT107" s="139" t="e">
        <f t="shared" si="19"/>
        <v>#N/A</v>
      </c>
      <c r="BB107" s="16" t="s">
        <v>596</v>
      </c>
    </row>
    <row r="108" spans="1:54" ht="102.75" customHeight="1">
      <c r="A108" s="428">
        <f t="shared" si="20"/>
        <v>100</v>
      </c>
      <c r="B108" s="294"/>
      <c r="C108" s="203"/>
      <c r="D108" s="301"/>
      <c r="E108" s="301"/>
      <c r="F108" s="301"/>
      <c r="G108" s="301"/>
      <c r="H108" s="302"/>
      <c r="I108" s="292"/>
      <c r="J108" s="61"/>
      <c r="K108" s="303"/>
      <c r="L108" s="303"/>
      <c r="M108" s="203"/>
      <c r="N108" s="84" t="str">
        <f>IF($AI108&lt;&gt;"",Master!$N$37,IF($AC108&lt;&gt;"",Master!$N$38,IF($S108&lt;&gt;"",Master!$N$39,IF($C108&lt;&gt;"",Master!$N$40,Master!$N$41))))</f>
        <v>起票</v>
      </c>
      <c r="O108" s="202" t="str">
        <f>IF($N108=Master!$N$37,MAX($S108,$AC108,$AI108),"")</f>
        <v/>
      </c>
      <c r="P108" s="65"/>
      <c r="Q108" s="203"/>
      <c r="R108" s="303"/>
      <c r="S108" s="203"/>
      <c r="T108" s="310"/>
      <c r="U108" s="304"/>
      <c r="V108" s="303"/>
      <c r="W108" s="306"/>
      <c r="X108" s="306"/>
      <c r="Y108" s="305"/>
      <c r="Z108" s="303"/>
      <c r="AA108" s="203"/>
      <c r="AB108" s="306"/>
      <c r="AC108" s="203"/>
      <c r="AD108" s="307"/>
      <c r="AE108" s="308"/>
      <c r="AF108" s="309"/>
      <c r="AG108" s="310"/>
      <c r="AH108" s="303"/>
      <c r="AI108" s="203"/>
      <c r="AJ108" s="311"/>
      <c r="AK108" s="451"/>
      <c r="AL108" s="59"/>
      <c r="AM108" s="60"/>
      <c r="AO108" s="137" t="e">
        <f t="shared" si="14"/>
        <v>#N/A</v>
      </c>
      <c r="AP108" s="138" t="e">
        <f t="shared" si="15"/>
        <v>#N/A</v>
      </c>
      <c r="AQ108" s="138" t="e">
        <f t="shared" si="16"/>
        <v>#N/A</v>
      </c>
      <c r="AR108" s="138" t="e">
        <f t="shared" si="17"/>
        <v>#N/A</v>
      </c>
      <c r="AS108" s="138" t="e">
        <f t="shared" si="18"/>
        <v>#N/A</v>
      </c>
      <c r="AT108" s="139" t="e">
        <f t="shared" si="19"/>
        <v>#N/A</v>
      </c>
      <c r="BB108" s="16" t="s">
        <v>596</v>
      </c>
    </row>
    <row r="109" spans="1:54" ht="102.75" customHeight="1">
      <c r="A109" s="428">
        <f t="shared" si="20"/>
        <v>101</v>
      </c>
      <c r="B109" s="294"/>
      <c r="C109" s="203"/>
      <c r="D109" s="301"/>
      <c r="E109" s="301"/>
      <c r="F109" s="301"/>
      <c r="G109" s="301"/>
      <c r="H109" s="302"/>
      <c r="I109" s="292"/>
      <c r="J109" s="61"/>
      <c r="K109" s="303"/>
      <c r="L109" s="303"/>
      <c r="M109" s="203"/>
      <c r="N109" s="84" t="str">
        <f>IF($AI109&lt;&gt;"",Master!$N$37,IF($AC109&lt;&gt;"",Master!$N$38,IF($S109&lt;&gt;"",Master!$N$39,IF($C109&lt;&gt;"",Master!$N$40,Master!$N$41))))</f>
        <v>起票</v>
      </c>
      <c r="O109" s="202" t="str">
        <f>IF($N109=Master!$N$37,MAX($S109,$AC109,$AI109),"")</f>
        <v/>
      </c>
      <c r="P109" s="65"/>
      <c r="Q109" s="203"/>
      <c r="R109" s="303"/>
      <c r="S109" s="203"/>
      <c r="T109" s="310"/>
      <c r="U109" s="304"/>
      <c r="V109" s="303"/>
      <c r="W109" s="306"/>
      <c r="X109" s="306"/>
      <c r="Y109" s="305"/>
      <c r="Z109" s="303"/>
      <c r="AA109" s="203"/>
      <c r="AB109" s="306"/>
      <c r="AC109" s="203"/>
      <c r="AD109" s="307"/>
      <c r="AE109" s="308"/>
      <c r="AF109" s="309"/>
      <c r="AG109" s="310"/>
      <c r="AH109" s="303"/>
      <c r="AI109" s="203"/>
      <c r="AJ109" s="311"/>
      <c r="AK109" s="451"/>
      <c r="AL109" s="59"/>
      <c r="AM109" s="60"/>
      <c r="AO109" s="137" t="e">
        <f t="shared" si="14"/>
        <v>#N/A</v>
      </c>
      <c r="AP109" s="138" t="e">
        <f t="shared" si="15"/>
        <v>#N/A</v>
      </c>
      <c r="AQ109" s="138" t="e">
        <f t="shared" si="16"/>
        <v>#N/A</v>
      </c>
      <c r="AR109" s="138" t="e">
        <f t="shared" si="17"/>
        <v>#N/A</v>
      </c>
      <c r="AS109" s="138" t="e">
        <f t="shared" si="18"/>
        <v>#N/A</v>
      </c>
      <c r="AT109" s="139" t="e">
        <f t="shared" si="19"/>
        <v>#N/A</v>
      </c>
      <c r="BB109" s="16" t="s">
        <v>596</v>
      </c>
    </row>
    <row r="110" spans="1:54" ht="102.75" customHeight="1">
      <c r="A110" s="428">
        <f t="shared" si="20"/>
        <v>102</v>
      </c>
      <c r="B110" s="294"/>
      <c r="C110" s="203"/>
      <c r="D110" s="301"/>
      <c r="E110" s="301"/>
      <c r="F110" s="301"/>
      <c r="G110" s="301"/>
      <c r="H110" s="302"/>
      <c r="I110" s="292"/>
      <c r="J110" s="61"/>
      <c r="K110" s="303"/>
      <c r="L110" s="303"/>
      <c r="M110" s="203"/>
      <c r="N110" s="84" t="str">
        <f>IF($AI110&lt;&gt;"",Master!$N$37,IF($AC110&lt;&gt;"",Master!$N$38,IF($S110&lt;&gt;"",Master!$N$39,IF($C110&lt;&gt;"",Master!$N$40,Master!$N$41))))</f>
        <v>起票</v>
      </c>
      <c r="O110" s="202" t="str">
        <f>IF($N110=Master!$N$37,MAX($S110,$AC110,$AI110),"")</f>
        <v/>
      </c>
      <c r="P110" s="65"/>
      <c r="Q110" s="203"/>
      <c r="R110" s="303"/>
      <c r="S110" s="203"/>
      <c r="T110" s="310"/>
      <c r="U110" s="304"/>
      <c r="V110" s="303"/>
      <c r="W110" s="306"/>
      <c r="X110" s="306"/>
      <c r="Y110" s="305"/>
      <c r="Z110" s="303"/>
      <c r="AA110" s="203"/>
      <c r="AB110" s="306"/>
      <c r="AC110" s="203"/>
      <c r="AD110" s="307"/>
      <c r="AE110" s="308"/>
      <c r="AF110" s="309"/>
      <c r="AG110" s="310"/>
      <c r="AH110" s="303"/>
      <c r="AI110" s="203"/>
      <c r="AJ110" s="311"/>
      <c r="AK110" s="451"/>
      <c r="AL110" s="59"/>
      <c r="AM110" s="60"/>
      <c r="AO110" s="137" t="e">
        <f t="shared" si="14"/>
        <v>#N/A</v>
      </c>
      <c r="AP110" s="138" t="e">
        <f t="shared" si="15"/>
        <v>#N/A</v>
      </c>
      <c r="AQ110" s="138" t="e">
        <f t="shared" si="16"/>
        <v>#N/A</v>
      </c>
      <c r="AR110" s="138" t="e">
        <f t="shared" si="17"/>
        <v>#N/A</v>
      </c>
      <c r="AS110" s="138" t="e">
        <f t="shared" si="18"/>
        <v>#N/A</v>
      </c>
      <c r="AT110" s="139" t="e">
        <f t="shared" si="19"/>
        <v>#N/A</v>
      </c>
      <c r="BB110" s="16" t="s">
        <v>596</v>
      </c>
    </row>
    <row r="111" spans="1:54" ht="102.75" customHeight="1">
      <c r="A111" s="428">
        <f t="shared" si="20"/>
        <v>103</v>
      </c>
      <c r="B111" s="294"/>
      <c r="C111" s="203"/>
      <c r="D111" s="301"/>
      <c r="E111" s="301"/>
      <c r="F111" s="301"/>
      <c r="G111" s="301"/>
      <c r="H111" s="302"/>
      <c r="I111" s="292"/>
      <c r="J111" s="61"/>
      <c r="K111" s="303"/>
      <c r="L111" s="303"/>
      <c r="M111" s="203"/>
      <c r="N111" s="84" t="str">
        <f>IF($AI111&lt;&gt;"",Master!$N$37,IF($AC111&lt;&gt;"",Master!$N$38,IF($S111&lt;&gt;"",Master!$N$39,IF($C111&lt;&gt;"",Master!$N$40,Master!$N$41))))</f>
        <v>起票</v>
      </c>
      <c r="O111" s="202" t="str">
        <f>IF($N111=Master!$N$37,MAX($S111,$AC111,$AI111),"")</f>
        <v/>
      </c>
      <c r="P111" s="65"/>
      <c r="Q111" s="203"/>
      <c r="R111" s="303"/>
      <c r="S111" s="203"/>
      <c r="T111" s="310"/>
      <c r="U111" s="304"/>
      <c r="V111" s="303"/>
      <c r="W111" s="306"/>
      <c r="X111" s="306"/>
      <c r="Y111" s="305"/>
      <c r="Z111" s="303"/>
      <c r="AA111" s="203"/>
      <c r="AB111" s="306"/>
      <c r="AC111" s="203"/>
      <c r="AD111" s="307"/>
      <c r="AE111" s="308"/>
      <c r="AF111" s="309"/>
      <c r="AG111" s="310"/>
      <c r="AH111" s="303"/>
      <c r="AI111" s="203"/>
      <c r="AJ111" s="311"/>
      <c r="AK111" s="451"/>
      <c r="AL111" s="59"/>
      <c r="AM111" s="60"/>
      <c r="AO111" s="137" t="e">
        <f t="shared" si="14"/>
        <v>#N/A</v>
      </c>
      <c r="AP111" s="138" t="e">
        <f t="shared" si="15"/>
        <v>#N/A</v>
      </c>
      <c r="AQ111" s="138" t="e">
        <f t="shared" si="16"/>
        <v>#N/A</v>
      </c>
      <c r="AR111" s="138" t="e">
        <f t="shared" si="17"/>
        <v>#N/A</v>
      </c>
      <c r="AS111" s="138" t="e">
        <f t="shared" si="18"/>
        <v>#N/A</v>
      </c>
      <c r="AT111" s="139" t="e">
        <f t="shared" si="19"/>
        <v>#N/A</v>
      </c>
      <c r="BB111" s="16" t="s">
        <v>596</v>
      </c>
    </row>
    <row r="112" spans="1:54" ht="102.75" customHeight="1">
      <c r="A112" s="428">
        <f t="shared" si="20"/>
        <v>104</v>
      </c>
      <c r="B112" s="294"/>
      <c r="C112" s="203"/>
      <c r="D112" s="301"/>
      <c r="E112" s="301"/>
      <c r="F112" s="301"/>
      <c r="G112" s="301"/>
      <c r="H112" s="302"/>
      <c r="I112" s="292"/>
      <c r="J112" s="61"/>
      <c r="K112" s="303"/>
      <c r="L112" s="303"/>
      <c r="M112" s="203"/>
      <c r="N112" s="84" t="str">
        <f>IF($AI112&lt;&gt;"",Master!$N$37,IF($AC112&lt;&gt;"",Master!$N$38,IF($S112&lt;&gt;"",Master!$N$39,IF($C112&lt;&gt;"",Master!$N$40,Master!$N$41))))</f>
        <v>起票</v>
      </c>
      <c r="O112" s="202" t="str">
        <f>IF($N112=Master!$N$37,MAX($S112,$AC112,$AI112),"")</f>
        <v/>
      </c>
      <c r="P112" s="65"/>
      <c r="Q112" s="203"/>
      <c r="R112" s="303"/>
      <c r="S112" s="203"/>
      <c r="T112" s="310"/>
      <c r="U112" s="304"/>
      <c r="V112" s="303"/>
      <c r="W112" s="306"/>
      <c r="X112" s="306"/>
      <c r="Y112" s="305"/>
      <c r="Z112" s="303"/>
      <c r="AA112" s="203"/>
      <c r="AB112" s="306"/>
      <c r="AC112" s="203"/>
      <c r="AD112" s="307"/>
      <c r="AE112" s="308"/>
      <c r="AF112" s="309"/>
      <c r="AG112" s="310"/>
      <c r="AH112" s="303"/>
      <c r="AI112" s="203"/>
      <c r="AJ112" s="311"/>
      <c r="AK112" s="451"/>
      <c r="AL112" s="59"/>
      <c r="AM112" s="60"/>
      <c r="AO112" s="137" t="e">
        <f t="shared" si="14"/>
        <v>#N/A</v>
      </c>
      <c r="AP112" s="138" t="e">
        <f t="shared" si="15"/>
        <v>#N/A</v>
      </c>
      <c r="AQ112" s="138" t="e">
        <f t="shared" si="16"/>
        <v>#N/A</v>
      </c>
      <c r="AR112" s="138" t="e">
        <f t="shared" si="17"/>
        <v>#N/A</v>
      </c>
      <c r="AS112" s="138" t="e">
        <f t="shared" si="18"/>
        <v>#N/A</v>
      </c>
      <c r="AT112" s="139" t="e">
        <f t="shared" si="19"/>
        <v>#N/A</v>
      </c>
      <c r="BB112" s="16" t="s">
        <v>596</v>
      </c>
    </row>
    <row r="113" spans="1:54" ht="102.75" customHeight="1">
      <c r="A113" s="428">
        <f t="shared" si="20"/>
        <v>105</v>
      </c>
      <c r="B113" s="294"/>
      <c r="C113" s="203"/>
      <c r="D113" s="301"/>
      <c r="E113" s="301"/>
      <c r="F113" s="301"/>
      <c r="G113" s="301"/>
      <c r="H113" s="302"/>
      <c r="I113" s="292"/>
      <c r="J113" s="61"/>
      <c r="K113" s="303"/>
      <c r="L113" s="303"/>
      <c r="M113" s="203"/>
      <c r="N113" s="84" t="str">
        <f>IF($AI113&lt;&gt;"",Master!$N$37,IF($AC113&lt;&gt;"",Master!$N$38,IF($S113&lt;&gt;"",Master!$N$39,IF($C113&lt;&gt;"",Master!$N$40,Master!$N$41))))</f>
        <v>起票</v>
      </c>
      <c r="O113" s="202" t="str">
        <f>IF($N113=Master!$N$37,MAX($S113,$AC113,$AI113),"")</f>
        <v/>
      </c>
      <c r="P113" s="65"/>
      <c r="Q113" s="203"/>
      <c r="R113" s="303"/>
      <c r="S113" s="203"/>
      <c r="T113" s="310"/>
      <c r="U113" s="304"/>
      <c r="V113" s="303"/>
      <c r="W113" s="306"/>
      <c r="X113" s="306"/>
      <c r="Y113" s="305"/>
      <c r="Z113" s="303"/>
      <c r="AA113" s="203"/>
      <c r="AB113" s="306"/>
      <c r="AC113" s="203"/>
      <c r="AD113" s="307"/>
      <c r="AE113" s="308"/>
      <c r="AF113" s="309"/>
      <c r="AG113" s="310"/>
      <c r="AH113" s="303"/>
      <c r="AI113" s="203"/>
      <c r="AJ113" s="311"/>
      <c r="AK113" s="451"/>
      <c r="AL113" s="59"/>
      <c r="AM113" s="60"/>
      <c r="AO113" s="137" t="e">
        <f t="shared" si="14"/>
        <v>#N/A</v>
      </c>
      <c r="AP113" s="138" t="e">
        <f t="shared" si="15"/>
        <v>#N/A</v>
      </c>
      <c r="AQ113" s="138" t="e">
        <f t="shared" si="16"/>
        <v>#N/A</v>
      </c>
      <c r="AR113" s="138" t="e">
        <f t="shared" si="17"/>
        <v>#N/A</v>
      </c>
      <c r="AS113" s="138" t="e">
        <f t="shared" si="18"/>
        <v>#N/A</v>
      </c>
      <c r="AT113" s="139" t="e">
        <f t="shared" si="19"/>
        <v>#N/A</v>
      </c>
      <c r="BB113" s="16" t="s">
        <v>596</v>
      </c>
    </row>
    <row r="114" spans="1:54" ht="102.75" customHeight="1">
      <c r="A114" s="428">
        <f t="shared" si="20"/>
        <v>106</v>
      </c>
      <c r="B114" s="294"/>
      <c r="C114" s="203"/>
      <c r="D114" s="301"/>
      <c r="E114" s="301"/>
      <c r="F114" s="301"/>
      <c r="G114" s="301"/>
      <c r="H114" s="302"/>
      <c r="I114" s="292"/>
      <c r="J114" s="61"/>
      <c r="K114" s="303"/>
      <c r="L114" s="303"/>
      <c r="M114" s="203"/>
      <c r="N114" s="84" t="str">
        <f>IF($AI114&lt;&gt;"",Master!$N$37,IF($AC114&lt;&gt;"",Master!$N$38,IF($S114&lt;&gt;"",Master!$N$39,IF($C114&lt;&gt;"",Master!$N$40,Master!$N$41))))</f>
        <v>起票</v>
      </c>
      <c r="O114" s="202" t="str">
        <f>IF($N114=Master!$N$37,MAX($S114,$AC114,$AI114),"")</f>
        <v/>
      </c>
      <c r="P114" s="65"/>
      <c r="Q114" s="203"/>
      <c r="R114" s="303"/>
      <c r="S114" s="203"/>
      <c r="T114" s="310"/>
      <c r="U114" s="304"/>
      <c r="V114" s="303"/>
      <c r="W114" s="306"/>
      <c r="X114" s="306"/>
      <c r="Y114" s="305"/>
      <c r="Z114" s="303"/>
      <c r="AA114" s="203"/>
      <c r="AB114" s="306"/>
      <c r="AC114" s="203"/>
      <c r="AD114" s="307"/>
      <c r="AE114" s="308"/>
      <c r="AF114" s="309"/>
      <c r="AG114" s="310"/>
      <c r="AH114" s="303"/>
      <c r="AI114" s="203"/>
      <c r="AJ114" s="311"/>
      <c r="AK114" s="451"/>
      <c r="AL114" s="59"/>
      <c r="AM114" s="60"/>
      <c r="AO114" s="137" t="e">
        <f t="shared" si="14"/>
        <v>#N/A</v>
      </c>
      <c r="AP114" s="138" t="e">
        <f t="shared" si="15"/>
        <v>#N/A</v>
      </c>
      <c r="AQ114" s="138" t="e">
        <f t="shared" si="16"/>
        <v>#N/A</v>
      </c>
      <c r="AR114" s="138" t="e">
        <f t="shared" si="17"/>
        <v>#N/A</v>
      </c>
      <c r="AS114" s="138" t="e">
        <f t="shared" si="18"/>
        <v>#N/A</v>
      </c>
      <c r="AT114" s="139" t="e">
        <f t="shared" si="19"/>
        <v>#N/A</v>
      </c>
      <c r="BB114" s="16" t="s">
        <v>596</v>
      </c>
    </row>
    <row r="115" spans="1:54" ht="102.75" customHeight="1">
      <c r="A115" s="428">
        <f t="shared" si="20"/>
        <v>107</v>
      </c>
      <c r="B115" s="294"/>
      <c r="C115" s="203"/>
      <c r="D115" s="301"/>
      <c r="E115" s="301"/>
      <c r="F115" s="301"/>
      <c r="G115" s="301"/>
      <c r="H115" s="302"/>
      <c r="I115" s="292"/>
      <c r="J115" s="61"/>
      <c r="K115" s="303"/>
      <c r="L115" s="303"/>
      <c r="M115" s="203"/>
      <c r="N115" s="84" t="str">
        <f>IF($AI115&lt;&gt;"",Master!$N$37,IF($AC115&lt;&gt;"",Master!$N$38,IF($S115&lt;&gt;"",Master!$N$39,IF($C115&lt;&gt;"",Master!$N$40,Master!$N$41))))</f>
        <v>起票</v>
      </c>
      <c r="O115" s="202" t="str">
        <f>IF($N115=Master!$N$37,MAX($S115,$AC115,$AI115),"")</f>
        <v/>
      </c>
      <c r="P115" s="65"/>
      <c r="Q115" s="203"/>
      <c r="R115" s="303"/>
      <c r="S115" s="203"/>
      <c r="T115" s="310"/>
      <c r="U115" s="304"/>
      <c r="V115" s="303"/>
      <c r="W115" s="306"/>
      <c r="X115" s="306"/>
      <c r="Y115" s="305"/>
      <c r="Z115" s="303"/>
      <c r="AA115" s="203"/>
      <c r="AB115" s="306"/>
      <c r="AC115" s="203"/>
      <c r="AD115" s="307"/>
      <c r="AE115" s="308"/>
      <c r="AF115" s="309"/>
      <c r="AG115" s="310"/>
      <c r="AH115" s="303"/>
      <c r="AI115" s="203"/>
      <c r="AJ115" s="311"/>
      <c r="AK115" s="451"/>
      <c r="AL115" s="59"/>
      <c r="AM115" s="60"/>
      <c r="AO115" s="137" t="e">
        <f t="shared" si="14"/>
        <v>#N/A</v>
      </c>
      <c r="AP115" s="138" t="e">
        <f t="shared" si="15"/>
        <v>#N/A</v>
      </c>
      <c r="AQ115" s="138" t="e">
        <f t="shared" si="16"/>
        <v>#N/A</v>
      </c>
      <c r="AR115" s="138" t="e">
        <f t="shared" si="17"/>
        <v>#N/A</v>
      </c>
      <c r="AS115" s="138" t="e">
        <f t="shared" si="18"/>
        <v>#N/A</v>
      </c>
      <c r="AT115" s="139" t="e">
        <f t="shared" si="19"/>
        <v>#N/A</v>
      </c>
      <c r="BB115" s="16" t="s">
        <v>596</v>
      </c>
    </row>
    <row r="116" spans="1:54" ht="102.75" customHeight="1">
      <c r="A116" s="428">
        <f t="shared" si="20"/>
        <v>108</v>
      </c>
      <c r="B116" s="294"/>
      <c r="C116" s="203"/>
      <c r="D116" s="301"/>
      <c r="E116" s="301"/>
      <c r="F116" s="301"/>
      <c r="G116" s="301"/>
      <c r="H116" s="302"/>
      <c r="I116" s="292"/>
      <c r="J116" s="61"/>
      <c r="K116" s="303"/>
      <c r="L116" s="303"/>
      <c r="M116" s="203"/>
      <c r="N116" s="84" t="str">
        <f>IF($AI116&lt;&gt;"",Master!$N$37,IF($AC116&lt;&gt;"",Master!$N$38,IF($S116&lt;&gt;"",Master!$N$39,IF($C116&lt;&gt;"",Master!$N$40,Master!$N$41))))</f>
        <v>起票</v>
      </c>
      <c r="O116" s="202" t="str">
        <f>IF($N116=Master!$N$37,MAX($S116,$AC116,$AI116),"")</f>
        <v/>
      </c>
      <c r="P116" s="65"/>
      <c r="Q116" s="203"/>
      <c r="R116" s="303"/>
      <c r="S116" s="203"/>
      <c r="T116" s="310"/>
      <c r="U116" s="304"/>
      <c r="V116" s="303"/>
      <c r="W116" s="306"/>
      <c r="X116" s="306"/>
      <c r="Y116" s="305"/>
      <c r="Z116" s="303"/>
      <c r="AA116" s="203"/>
      <c r="AB116" s="306"/>
      <c r="AC116" s="203"/>
      <c r="AD116" s="307"/>
      <c r="AE116" s="308"/>
      <c r="AF116" s="309"/>
      <c r="AG116" s="310"/>
      <c r="AH116" s="303"/>
      <c r="AI116" s="203"/>
      <c r="AJ116" s="311"/>
      <c r="AK116" s="451"/>
      <c r="AL116" s="59"/>
      <c r="AM116" s="60"/>
      <c r="AO116" s="137" t="e">
        <f t="shared" si="14"/>
        <v>#N/A</v>
      </c>
      <c r="AP116" s="138" t="e">
        <f t="shared" si="15"/>
        <v>#N/A</v>
      </c>
      <c r="AQ116" s="138" t="e">
        <f t="shared" si="16"/>
        <v>#N/A</v>
      </c>
      <c r="AR116" s="138" t="e">
        <f t="shared" si="17"/>
        <v>#N/A</v>
      </c>
      <c r="AS116" s="138" t="e">
        <f t="shared" si="18"/>
        <v>#N/A</v>
      </c>
      <c r="AT116" s="139" t="e">
        <f t="shared" si="19"/>
        <v>#N/A</v>
      </c>
      <c r="BB116" s="16" t="s">
        <v>596</v>
      </c>
    </row>
    <row r="117" spans="1:54" ht="102.75" customHeight="1">
      <c r="A117" s="428">
        <f t="shared" si="20"/>
        <v>109</v>
      </c>
      <c r="B117" s="294"/>
      <c r="C117" s="203"/>
      <c r="D117" s="301"/>
      <c r="E117" s="301"/>
      <c r="F117" s="301"/>
      <c r="G117" s="301"/>
      <c r="H117" s="302"/>
      <c r="I117" s="292"/>
      <c r="J117" s="61"/>
      <c r="K117" s="303"/>
      <c r="L117" s="303"/>
      <c r="M117" s="203"/>
      <c r="N117" s="84" t="str">
        <f>IF($AI117&lt;&gt;"",Master!$N$37,IF($AC117&lt;&gt;"",Master!$N$38,IF($S117&lt;&gt;"",Master!$N$39,IF($C117&lt;&gt;"",Master!$N$40,Master!$N$41))))</f>
        <v>起票</v>
      </c>
      <c r="O117" s="202" t="str">
        <f>IF($N117=Master!$N$37,MAX($S117,$AC117,$AI117),"")</f>
        <v/>
      </c>
      <c r="P117" s="65"/>
      <c r="Q117" s="203"/>
      <c r="R117" s="303"/>
      <c r="S117" s="203"/>
      <c r="T117" s="310"/>
      <c r="U117" s="304"/>
      <c r="V117" s="303"/>
      <c r="W117" s="306"/>
      <c r="X117" s="306"/>
      <c r="Y117" s="305"/>
      <c r="Z117" s="303"/>
      <c r="AA117" s="203"/>
      <c r="AB117" s="306"/>
      <c r="AC117" s="203"/>
      <c r="AD117" s="307"/>
      <c r="AE117" s="308"/>
      <c r="AF117" s="309"/>
      <c r="AG117" s="310"/>
      <c r="AH117" s="303"/>
      <c r="AI117" s="203"/>
      <c r="AJ117" s="311"/>
      <c r="AK117" s="451"/>
      <c r="AL117" s="59"/>
      <c r="AM117" s="60"/>
      <c r="AO117" s="137" t="e">
        <f t="shared" si="14"/>
        <v>#N/A</v>
      </c>
      <c r="AP117" s="138" t="e">
        <f t="shared" si="15"/>
        <v>#N/A</v>
      </c>
      <c r="AQ117" s="138" t="e">
        <f t="shared" si="16"/>
        <v>#N/A</v>
      </c>
      <c r="AR117" s="138" t="e">
        <f t="shared" si="17"/>
        <v>#N/A</v>
      </c>
      <c r="AS117" s="138" t="e">
        <f t="shared" si="18"/>
        <v>#N/A</v>
      </c>
      <c r="AT117" s="139" t="e">
        <f t="shared" si="19"/>
        <v>#N/A</v>
      </c>
      <c r="BB117" s="16" t="s">
        <v>596</v>
      </c>
    </row>
    <row r="118" spans="1:54" ht="102.75" customHeight="1">
      <c r="A118" s="428">
        <f t="shared" si="20"/>
        <v>110</v>
      </c>
      <c r="B118" s="294"/>
      <c r="C118" s="203"/>
      <c r="D118" s="301"/>
      <c r="E118" s="301"/>
      <c r="F118" s="301"/>
      <c r="G118" s="301"/>
      <c r="H118" s="302"/>
      <c r="I118" s="292"/>
      <c r="J118" s="61"/>
      <c r="K118" s="303"/>
      <c r="L118" s="303"/>
      <c r="M118" s="203"/>
      <c r="N118" s="84" t="str">
        <f>IF($AI118&lt;&gt;"",Master!$N$37,IF($AC118&lt;&gt;"",Master!$N$38,IF($S118&lt;&gt;"",Master!$N$39,IF($C118&lt;&gt;"",Master!$N$40,Master!$N$41))))</f>
        <v>起票</v>
      </c>
      <c r="O118" s="202" t="str">
        <f>IF($N118=Master!$N$37,MAX($S118,$AC118,$AI118),"")</f>
        <v/>
      </c>
      <c r="P118" s="65"/>
      <c r="Q118" s="203"/>
      <c r="R118" s="303"/>
      <c r="S118" s="203"/>
      <c r="T118" s="310"/>
      <c r="U118" s="304"/>
      <c r="V118" s="303"/>
      <c r="W118" s="306"/>
      <c r="X118" s="306"/>
      <c r="Y118" s="305"/>
      <c r="Z118" s="303"/>
      <c r="AA118" s="203"/>
      <c r="AB118" s="306"/>
      <c r="AC118" s="203"/>
      <c r="AD118" s="307"/>
      <c r="AE118" s="308"/>
      <c r="AF118" s="309"/>
      <c r="AG118" s="310"/>
      <c r="AH118" s="303"/>
      <c r="AI118" s="203"/>
      <c r="AJ118" s="311"/>
      <c r="AK118" s="451"/>
      <c r="AL118" s="59"/>
      <c r="AM118" s="60"/>
      <c r="AO118" s="137" t="e">
        <f t="shared" si="14"/>
        <v>#N/A</v>
      </c>
      <c r="AP118" s="138" t="e">
        <f t="shared" si="15"/>
        <v>#N/A</v>
      </c>
      <c r="AQ118" s="138" t="e">
        <f t="shared" si="16"/>
        <v>#N/A</v>
      </c>
      <c r="AR118" s="138" t="e">
        <f t="shared" si="17"/>
        <v>#N/A</v>
      </c>
      <c r="AS118" s="138" t="e">
        <f t="shared" si="18"/>
        <v>#N/A</v>
      </c>
      <c r="AT118" s="139" t="e">
        <f t="shared" si="19"/>
        <v>#N/A</v>
      </c>
      <c r="BB118" s="16" t="s">
        <v>596</v>
      </c>
    </row>
    <row r="119" spans="1:54" ht="102.75" customHeight="1">
      <c r="A119" s="428">
        <f t="shared" si="20"/>
        <v>111</v>
      </c>
      <c r="B119" s="294"/>
      <c r="C119" s="203"/>
      <c r="D119" s="301"/>
      <c r="E119" s="301"/>
      <c r="F119" s="301"/>
      <c r="G119" s="301"/>
      <c r="H119" s="302"/>
      <c r="I119" s="292"/>
      <c r="J119" s="61"/>
      <c r="K119" s="303"/>
      <c r="L119" s="303"/>
      <c r="M119" s="203"/>
      <c r="N119" s="84" t="str">
        <f>IF($AI119&lt;&gt;"",Master!$N$37,IF($AC119&lt;&gt;"",Master!$N$38,IF($S119&lt;&gt;"",Master!$N$39,IF($C119&lt;&gt;"",Master!$N$40,Master!$N$41))))</f>
        <v>起票</v>
      </c>
      <c r="O119" s="202" t="str">
        <f>IF($N119=Master!$N$37,MAX($S119,$AC119,$AI119),"")</f>
        <v/>
      </c>
      <c r="P119" s="65"/>
      <c r="Q119" s="203"/>
      <c r="R119" s="303"/>
      <c r="S119" s="203"/>
      <c r="T119" s="310"/>
      <c r="U119" s="304"/>
      <c r="V119" s="303"/>
      <c r="W119" s="306"/>
      <c r="X119" s="306"/>
      <c r="Y119" s="305"/>
      <c r="Z119" s="303"/>
      <c r="AA119" s="203"/>
      <c r="AB119" s="306"/>
      <c r="AC119" s="203"/>
      <c r="AD119" s="307"/>
      <c r="AE119" s="308"/>
      <c r="AF119" s="309"/>
      <c r="AG119" s="310"/>
      <c r="AH119" s="303"/>
      <c r="AI119" s="203"/>
      <c r="AJ119" s="311"/>
      <c r="AK119" s="451"/>
      <c r="AL119" s="59"/>
      <c r="AM119" s="60"/>
      <c r="AO119" s="137" t="e">
        <f t="shared" si="14"/>
        <v>#N/A</v>
      </c>
      <c r="AP119" s="138" t="e">
        <f t="shared" si="15"/>
        <v>#N/A</v>
      </c>
      <c r="AQ119" s="138" t="e">
        <f t="shared" si="16"/>
        <v>#N/A</v>
      </c>
      <c r="AR119" s="138" t="e">
        <f t="shared" si="17"/>
        <v>#N/A</v>
      </c>
      <c r="AS119" s="138" t="e">
        <f t="shared" si="18"/>
        <v>#N/A</v>
      </c>
      <c r="AT119" s="139" t="e">
        <f t="shared" si="19"/>
        <v>#N/A</v>
      </c>
      <c r="BB119" s="16" t="s">
        <v>596</v>
      </c>
    </row>
    <row r="120" spans="1:54" ht="102.75" customHeight="1">
      <c r="A120" s="428">
        <f t="shared" si="20"/>
        <v>112</v>
      </c>
      <c r="B120" s="294"/>
      <c r="C120" s="203"/>
      <c r="D120" s="301"/>
      <c r="E120" s="301"/>
      <c r="F120" s="301"/>
      <c r="G120" s="301"/>
      <c r="H120" s="302"/>
      <c r="I120" s="292"/>
      <c r="J120" s="61"/>
      <c r="K120" s="303"/>
      <c r="L120" s="303"/>
      <c r="M120" s="203"/>
      <c r="N120" s="84" t="str">
        <f>IF($AI120&lt;&gt;"",Master!$N$37,IF($AC120&lt;&gt;"",Master!$N$38,IF($S120&lt;&gt;"",Master!$N$39,IF($C120&lt;&gt;"",Master!$N$40,Master!$N$41))))</f>
        <v>起票</v>
      </c>
      <c r="O120" s="202" t="str">
        <f>IF($N120=Master!$N$37,MAX($S120,$AC120,$AI120),"")</f>
        <v/>
      </c>
      <c r="P120" s="65"/>
      <c r="Q120" s="203"/>
      <c r="R120" s="303"/>
      <c r="S120" s="203"/>
      <c r="T120" s="310"/>
      <c r="U120" s="304"/>
      <c r="V120" s="303"/>
      <c r="W120" s="306"/>
      <c r="X120" s="306"/>
      <c r="Y120" s="305"/>
      <c r="Z120" s="303"/>
      <c r="AA120" s="203"/>
      <c r="AB120" s="306"/>
      <c r="AC120" s="203"/>
      <c r="AD120" s="307"/>
      <c r="AE120" s="308"/>
      <c r="AF120" s="309"/>
      <c r="AG120" s="310"/>
      <c r="AH120" s="303"/>
      <c r="AI120" s="203"/>
      <c r="AJ120" s="311"/>
      <c r="AK120" s="451"/>
      <c r="AL120" s="59"/>
      <c r="AM120" s="60"/>
      <c r="AO120" s="137" t="e">
        <f t="shared" si="14"/>
        <v>#N/A</v>
      </c>
      <c r="AP120" s="138" t="e">
        <f t="shared" si="15"/>
        <v>#N/A</v>
      </c>
      <c r="AQ120" s="138" t="e">
        <f t="shared" si="16"/>
        <v>#N/A</v>
      </c>
      <c r="AR120" s="138" t="e">
        <f t="shared" si="17"/>
        <v>#N/A</v>
      </c>
      <c r="AS120" s="138" t="e">
        <f t="shared" si="18"/>
        <v>#N/A</v>
      </c>
      <c r="AT120" s="139" t="e">
        <f t="shared" si="19"/>
        <v>#N/A</v>
      </c>
      <c r="BB120" s="16" t="s">
        <v>596</v>
      </c>
    </row>
    <row r="121" spans="1:54" ht="102.75" customHeight="1">
      <c r="A121" s="428">
        <f t="shared" si="20"/>
        <v>113</v>
      </c>
      <c r="B121" s="294"/>
      <c r="C121" s="203"/>
      <c r="D121" s="301"/>
      <c r="E121" s="301"/>
      <c r="F121" s="301"/>
      <c r="G121" s="301"/>
      <c r="H121" s="302"/>
      <c r="I121" s="292"/>
      <c r="J121" s="61"/>
      <c r="K121" s="303"/>
      <c r="L121" s="303"/>
      <c r="M121" s="203"/>
      <c r="N121" s="84" t="str">
        <f>IF($AI121&lt;&gt;"",Master!$N$37,IF($AC121&lt;&gt;"",Master!$N$38,IF($S121&lt;&gt;"",Master!$N$39,IF($C121&lt;&gt;"",Master!$N$40,Master!$N$41))))</f>
        <v>起票</v>
      </c>
      <c r="O121" s="202" t="str">
        <f>IF($N121=Master!$N$37,MAX($S121,$AC121,$AI121),"")</f>
        <v/>
      </c>
      <c r="P121" s="65"/>
      <c r="Q121" s="203"/>
      <c r="R121" s="303"/>
      <c r="S121" s="203"/>
      <c r="T121" s="310"/>
      <c r="U121" s="304"/>
      <c r="V121" s="303"/>
      <c r="W121" s="306"/>
      <c r="X121" s="306"/>
      <c r="Y121" s="305"/>
      <c r="Z121" s="303"/>
      <c r="AA121" s="203"/>
      <c r="AB121" s="306"/>
      <c r="AC121" s="203"/>
      <c r="AD121" s="307"/>
      <c r="AE121" s="308"/>
      <c r="AF121" s="309"/>
      <c r="AG121" s="310"/>
      <c r="AH121" s="303"/>
      <c r="AI121" s="203"/>
      <c r="AJ121" s="311"/>
      <c r="AK121" s="451"/>
      <c r="AL121" s="59"/>
      <c r="AM121" s="60"/>
      <c r="AO121" s="137" t="e">
        <f t="shared" si="14"/>
        <v>#N/A</v>
      </c>
      <c r="AP121" s="138" t="e">
        <f t="shared" si="15"/>
        <v>#N/A</v>
      </c>
      <c r="AQ121" s="138" t="e">
        <f t="shared" si="16"/>
        <v>#N/A</v>
      </c>
      <c r="AR121" s="138" t="e">
        <f t="shared" si="17"/>
        <v>#N/A</v>
      </c>
      <c r="AS121" s="138" t="e">
        <f t="shared" si="18"/>
        <v>#N/A</v>
      </c>
      <c r="AT121" s="139" t="e">
        <f t="shared" si="19"/>
        <v>#N/A</v>
      </c>
      <c r="BB121" s="16" t="s">
        <v>596</v>
      </c>
    </row>
    <row r="122" spans="1:54" ht="102.75" customHeight="1">
      <c r="A122" s="428">
        <f t="shared" si="20"/>
        <v>114</v>
      </c>
      <c r="B122" s="294"/>
      <c r="C122" s="203"/>
      <c r="D122" s="301"/>
      <c r="E122" s="301"/>
      <c r="F122" s="301"/>
      <c r="G122" s="301"/>
      <c r="H122" s="302"/>
      <c r="I122" s="292"/>
      <c r="J122" s="61"/>
      <c r="K122" s="303"/>
      <c r="L122" s="303"/>
      <c r="M122" s="203"/>
      <c r="N122" s="84" t="str">
        <f>IF($AI122&lt;&gt;"",Master!$N$37,IF($AC122&lt;&gt;"",Master!$N$38,IF($S122&lt;&gt;"",Master!$N$39,IF($C122&lt;&gt;"",Master!$N$40,Master!$N$41))))</f>
        <v>起票</v>
      </c>
      <c r="O122" s="202" t="str">
        <f>IF($N122=Master!$N$37,MAX($S122,$AC122,$AI122),"")</f>
        <v/>
      </c>
      <c r="P122" s="65"/>
      <c r="Q122" s="203"/>
      <c r="R122" s="303"/>
      <c r="S122" s="203"/>
      <c r="T122" s="310"/>
      <c r="U122" s="304"/>
      <c r="V122" s="303"/>
      <c r="W122" s="306"/>
      <c r="X122" s="306"/>
      <c r="Y122" s="305"/>
      <c r="Z122" s="303"/>
      <c r="AA122" s="203"/>
      <c r="AB122" s="306"/>
      <c r="AC122" s="203"/>
      <c r="AD122" s="307"/>
      <c r="AE122" s="308"/>
      <c r="AF122" s="309"/>
      <c r="AG122" s="310"/>
      <c r="AH122" s="303"/>
      <c r="AI122" s="203"/>
      <c r="AJ122" s="311"/>
      <c r="AK122" s="451"/>
      <c r="AL122" s="59"/>
      <c r="AM122" s="60"/>
      <c r="AO122" s="137" t="e">
        <f t="shared" si="14"/>
        <v>#N/A</v>
      </c>
      <c r="AP122" s="138" t="e">
        <f t="shared" si="15"/>
        <v>#N/A</v>
      </c>
      <c r="AQ122" s="138" t="e">
        <f t="shared" si="16"/>
        <v>#N/A</v>
      </c>
      <c r="AR122" s="138" t="e">
        <f t="shared" si="17"/>
        <v>#N/A</v>
      </c>
      <c r="AS122" s="138" t="e">
        <f t="shared" si="18"/>
        <v>#N/A</v>
      </c>
      <c r="AT122" s="139" t="e">
        <f t="shared" si="19"/>
        <v>#N/A</v>
      </c>
      <c r="BB122" s="16" t="s">
        <v>596</v>
      </c>
    </row>
    <row r="123" spans="1:54" ht="102.75" customHeight="1">
      <c r="A123" s="428">
        <f t="shared" si="20"/>
        <v>115</v>
      </c>
      <c r="B123" s="294"/>
      <c r="C123" s="203"/>
      <c r="D123" s="301"/>
      <c r="E123" s="301"/>
      <c r="F123" s="301"/>
      <c r="G123" s="301"/>
      <c r="H123" s="302"/>
      <c r="I123" s="292"/>
      <c r="J123" s="61"/>
      <c r="K123" s="303"/>
      <c r="L123" s="303"/>
      <c r="M123" s="203"/>
      <c r="N123" s="84" t="str">
        <f>IF($AI123&lt;&gt;"",Master!$N$37,IF($AC123&lt;&gt;"",Master!$N$38,IF($S123&lt;&gt;"",Master!$N$39,IF($C123&lt;&gt;"",Master!$N$40,Master!$N$41))))</f>
        <v>起票</v>
      </c>
      <c r="O123" s="202" t="str">
        <f>IF($N123=Master!$N$37,MAX($S123,$AC123,$AI123),"")</f>
        <v/>
      </c>
      <c r="P123" s="65"/>
      <c r="Q123" s="203"/>
      <c r="R123" s="303"/>
      <c r="S123" s="203"/>
      <c r="T123" s="310"/>
      <c r="U123" s="304"/>
      <c r="V123" s="303"/>
      <c r="W123" s="306"/>
      <c r="X123" s="306"/>
      <c r="Y123" s="305"/>
      <c r="Z123" s="303"/>
      <c r="AA123" s="203"/>
      <c r="AB123" s="306"/>
      <c r="AC123" s="203"/>
      <c r="AD123" s="307"/>
      <c r="AE123" s="308"/>
      <c r="AF123" s="309"/>
      <c r="AG123" s="310"/>
      <c r="AH123" s="303"/>
      <c r="AI123" s="203"/>
      <c r="AJ123" s="311"/>
      <c r="AK123" s="451"/>
      <c r="AL123" s="59"/>
      <c r="AM123" s="60"/>
      <c r="AO123" s="137" t="e">
        <f t="shared" si="14"/>
        <v>#N/A</v>
      </c>
      <c r="AP123" s="138" t="e">
        <f t="shared" si="15"/>
        <v>#N/A</v>
      </c>
      <c r="AQ123" s="138" t="e">
        <f t="shared" si="16"/>
        <v>#N/A</v>
      </c>
      <c r="AR123" s="138" t="e">
        <f t="shared" si="17"/>
        <v>#N/A</v>
      </c>
      <c r="AS123" s="138" t="e">
        <f t="shared" si="18"/>
        <v>#N/A</v>
      </c>
      <c r="AT123" s="139" t="e">
        <f t="shared" si="19"/>
        <v>#N/A</v>
      </c>
      <c r="BB123" s="16" t="s">
        <v>596</v>
      </c>
    </row>
    <row r="124" spans="1:54" ht="102.75" customHeight="1">
      <c r="A124" s="428">
        <f t="shared" si="20"/>
        <v>116</v>
      </c>
      <c r="B124" s="294"/>
      <c r="C124" s="203"/>
      <c r="D124" s="301"/>
      <c r="E124" s="301"/>
      <c r="F124" s="301"/>
      <c r="G124" s="301"/>
      <c r="H124" s="302"/>
      <c r="I124" s="292"/>
      <c r="J124" s="61"/>
      <c r="K124" s="303"/>
      <c r="L124" s="303"/>
      <c r="M124" s="203"/>
      <c r="N124" s="84" t="str">
        <f>IF($AI124&lt;&gt;"",Master!$N$37,IF($AC124&lt;&gt;"",Master!$N$38,IF($S124&lt;&gt;"",Master!$N$39,IF($C124&lt;&gt;"",Master!$N$40,Master!$N$41))))</f>
        <v>起票</v>
      </c>
      <c r="O124" s="202" t="str">
        <f>IF($N124=Master!$N$37,MAX($S124,$AC124,$AI124),"")</f>
        <v/>
      </c>
      <c r="P124" s="65"/>
      <c r="Q124" s="203"/>
      <c r="R124" s="303"/>
      <c r="S124" s="203"/>
      <c r="T124" s="310"/>
      <c r="U124" s="304"/>
      <c r="V124" s="303"/>
      <c r="W124" s="306"/>
      <c r="X124" s="306"/>
      <c r="Y124" s="305"/>
      <c r="Z124" s="303"/>
      <c r="AA124" s="203"/>
      <c r="AB124" s="306"/>
      <c r="AC124" s="203"/>
      <c r="AD124" s="307"/>
      <c r="AE124" s="308"/>
      <c r="AF124" s="309"/>
      <c r="AG124" s="310"/>
      <c r="AH124" s="303"/>
      <c r="AI124" s="203"/>
      <c r="AJ124" s="311"/>
      <c r="AK124" s="451"/>
      <c r="AL124" s="59"/>
      <c r="AM124" s="60"/>
      <c r="AO124" s="137" t="e">
        <f t="shared" si="14"/>
        <v>#N/A</v>
      </c>
      <c r="AP124" s="138" t="e">
        <f t="shared" si="15"/>
        <v>#N/A</v>
      </c>
      <c r="AQ124" s="138" t="e">
        <f t="shared" si="16"/>
        <v>#N/A</v>
      </c>
      <c r="AR124" s="138" t="e">
        <f t="shared" si="17"/>
        <v>#N/A</v>
      </c>
      <c r="AS124" s="138" t="e">
        <f t="shared" si="18"/>
        <v>#N/A</v>
      </c>
      <c r="AT124" s="139" t="e">
        <f t="shared" si="19"/>
        <v>#N/A</v>
      </c>
      <c r="BB124" s="16" t="s">
        <v>596</v>
      </c>
    </row>
    <row r="125" spans="1:54" ht="102.75" customHeight="1">
      <c r="A125" s="428">
        <f t="shared" si="20"/>
        <v>117</v>
      </c>
      <c r="B125" s="294"/>
      <c r="C125" s="203"/>
      <c r="D125" s="301"/>
      <c r="E125" s="301"/>
      <c r="F125" s="301"/>
      <c r="G125" s="301"/>
      <c r="H125" s="302"/>
      <c r="I125" s="292"/>
      <c r="J125" s="61"/>
      <c r="K125" s="303"/>
      <c r="L125" s="303"/>
      <c r="M125" s="203"/>
      <c r="N125" s="84" t="str">
        <f>IF($AI125&lt;&gt;"",Master!$N$37,IF($AC125&lt;&gt;"",Master!$N$38,IF($S125&lt;&gt;"",Master!$N$39,IF($C125&lt;&gt;"",Master!$N$40,Master!$N$41))))</f>
        <v>起票</v>
      </c>
      <c r="O125" s="202" t="str">
        <f>IF($N125=Master!$N$37,MAX($S125,$AC125,$AI125),"")</f>
        <v/>
      </c>
      <c r="P125" s="65"/>
      <c r="Q125" s="203"/>
      <c r="R125" s="303"/>
      <c r="S125" s="203"/>
      <c r="T125" s="310"/>
      <c r="U125" s="304"/>
      <c r="V125" s="303"/>
      <c r="W125" s="306"/>
      <c r="X125" s="306"/>
      <c r="Y125" s="305"/>
      <c r="Z125" s="303"/>
      <c r="AA125" s="203"/>
      <c r="AB125" s="306"/>
      <c r="AC125" s="203"/>
      <c r="AD125" s="307"/>
      <c r="AE125" s="308"/>
      <c r="AF125" s="309"/>
      <c r="AG125" s="310"/>
      <c r="AH125" s="303"/>
      <c r="AI125" s="203"/>
      <c r="AJ125" s="311"/>
      <c r="AK125" s="451"/>
      <c r="AL125" s="59"/>
      <c r="AM125" s="60"/>
      <c r="AO125" s="137" t="e">
        <f t="shared" si="14"/>
        <v>#N/A</v>
      </c>
      <c r="AP125" s="138" t="e">
        <f t="shared" si="15"/>
        <v>#N/A</v>
      </c>
      <c r="AQ125" s="138" t="e">
        <f t="shared" si="16"/>
        <v>#N/A</v>
      </c>
      <c r="AR125" s="138" t="e">
        <f t="shared" si="17"/>
        <v>#N/A</v>
      </c>
      <c r="AS125" s="138" t="e">
        <f t="shared" si="18"/>
        <v>#N/A</v>
      </c>
      <c r="AT125" s="139" t="e">
        <f t="shared" si="19"/>
        <v>#N/A</v>
      </c>
      <c r="BB125" s="16" t="s">
        <v>596</v>
      </c>
    </row>
    <row r="126" spans="1:54" ht="102.75" customHeight="1">
      <c r="A126" s="428">
        <f t="shared" si="20"/>
        <v>118</v>
      </c>
      <c r="B126" s="294"/>
      <c r="C126" s="203"/>
      <c r="D126" s="301"/>
      <c r="E126" s="301"/>
      <c r="F126" s="301"/>
      <c r="G126" s="301"/>
      <c r="H126" s="302"/>
      <c r="I126" s="292"/>
      <c r="J126" s="61"/>
      <c r="K126" s="303"/>
      <c r="L126" s="303"/>
      <c r="M126" s="203"/>
      <c r="N126" s="84" t="str">
        <f>IF($AI126&lt;&gt;"",Master!$N$37,IF($AC126&lt;&gt;"",Master!$N$38,IF($S126&lt;&gt;"",Master!$N$39,IF($C126&lt;&gt;"",Master!$N$40,Master!$N$41))))</f>
        <v>起票</v>
      </c>
      <c r="O126" s="202" t="str">
        <f>IF($N126=Master!$N$37,MAX($S126,$AC126,$AI126),"")</f>
        <v/>
      </c>
      <c r="P126" s="65"/>
      <c r="Q126" s="203"/>
      <c r="R126" s="303"/>
      <c r="S126" s="203"/>
      <c r="T126" s="310"/>
      <c r="U126" s="304"/>
      <c r="V126" s="303"/>
      <c r="W126" s="306"/>
      <c r="X126" s="306"/>
      <c r="Y126" s="305"/>
      <c r="Z126" s="303"/>
      <c r="AA126" s="203"/>
      <c r="AB126" s="306"/>
      <c r="AC126" s="203"/>
      <c r="AD126" s="307"/>
      <c r="AE126" s="308"/>
      <c r="AF126" s="309"/>
      <c r="AG126" s="310"/>
      <c r="AH126" s="303"/>
      <c r="AI126" s="203"/>
      <c r="AJ126" s="311"/>
      <c r="AK126" s="451"/>
      <c r="AL126" s="59"/>
      <c r="AM126" s="60"/>
      <c r="AO126" s="137" t="e">
        <f t="shared" si="14"/>
        <v>#N/A</v>
      </c>
      <c r="AP126" s="138" t="e">
        <f t="shared" si="15"/>
        <v>#N/A</v>
      </c>
      <c r="AQ126" s="138" t="e">
        <f t="shared" si="16"/>
        <v>#N/A</v>
      </c>
      <c r="AR126" s="138" t="e">
        <f t="shared" si="17"/>
        <v>#N/A</v>
      </c>
      <c r="AS126" s="138" t="e">
        <f t="shared" si="18"/>
        <v>#N/A</v>
      </c>
      <c r="AT126" s="139" t="e">
        <f t="shared" si="19"/>
        <v>#N/A</v>
      </c>
      <c r="BB126" s="16" t="s">
        <v>596</v>
      </c>
    </row>
    <row r="127" spans="1:54" ht="102.75" customHeight="1">
      <c r="A127" s="428">
        <f t="shared" si="20"/>
        <v>119</v>
      </c>
      <c r="B127" s="294"/>
      <c r="C127" s="203"/>
      <c r="D127" s="301"/>
      <c r="E127" s="301"/>
      <c r="F127" s="301"/>
      <c r="G127" s="301"/>
      <c r="H127" s="302"/>
      <c r="I127" s="292"/>
      <c r="J127" s="61"/>
      <c r="K127" s="303"/>
      <c r="L127" s="303"/>
      <c r="M127" s="203"/>
      <c r="N127" s="84" t="str">
        <f>IF($AI127&lt;&gt;"",Master!$N$37,IF($AC127&lt;&gt;"",Master!$N$38,IF($S127&lt;&gt;"",Master!$N$39,IF($C127&lt;&gt;"",Master!$N$40,Master!$N$41))))</f>
        <v>起票</v>
      </c>
      <c r="O127" s="202" t="str">
        <f>IF($N127=Master!$N$37,MAX($S127,$AC127,$AI127),"")</f>
        <v/>
      </c>
      <c r="P127" s="65"/>
      <c r="Q127" s="203"/>
      <c r="R127" s="303"/>
      <c r="S127" s="203"/>
      <c r="T127" s="310"/>
      <c r="U127" s="304"/>
      <c r="V127" s="303"/>
      <c r="W127" s="306"/>
      <c r="X127" s="306"/>
      <c r="Y127" s="305"/>
      <c r="Z127" s="303"/>
      <c r="AA127" s="203"/>
      <c r="AB127" s="306"/>
      <c r="AC127" s="203"/>
      <c r="AD127" s="307"/>
      <c r="AE127" s="308"/>
      <c r="AF127" s="309"/>
      <c r="AG127" s="310"/>
      <c r="AH127" s="303"/>
      <c r="AI127" s="203"/>
      <c r="AJ127" s="311"/>
      <c r="AK127" s="451"/>
      <c r="AL127" s="59"/>
      <c r="AM127" s="60"/>
      <c r="AO127" s="137" t="e">
        <f t="shared" si="14"/>
        <v>#N/A</v>
      </c>
      <c r="AP127" s="138" t="e">
        <f t="shared" si="15"/>
        <v>#N/A</v>
      </c>
      <c r="AQ127" s="138" t="e">
        <f t="shared" si="16"/>
        <v>#N/A</v>
      </c>
      <c r="AR127" s="138" t="e">
        <f t="shared" si="17"/>
        <v>#N/A</v>
      </c>
      <c r="AS127" s="138" t="e">
        <f t="shared" si="18"/>
        <v>#N/A</v>
      </c>
      <c r="AT127" s="139" t="e">
        <f t="shared" si="19"/>
        <v>#N/A</v>
      </c>
      <c r="BB127" s="16" t="s">
        <v>596</v>
      </c>
    </row>
    <row r="128" spans="1:54" ht="102.75" customHeight="1">
      <c r="A128" s="428">
        <f t="shared" si="20"/>
        <v>120</v>
      </c>
      <c r="B128" s="294"/>
      <c r="C128" s="203"/>
      <c r="D128" s="301"/>
      <c r="E128" s="301"/>
      <c r="F128" s="301"/>
      <c r="G128" s="301"/>
      <c r="H128" s="302"/>
      <c r="I128" s="292"/>
      <c r="J128" s="61"/>
      <c r="K128" s="303"/>
      <c r="L128" s="303"/>
      <c r="M128" s="203"/>
      <c r="N128" s="84" t="str">
        <f>IF($AI128&lt;&gt;"",Master!$N$37,IF($AC128&lt;&gt;"",Master!$N$38,IF($S128&lt;&gt;"",Master!$N$39,IF($C128&lt;&gt;"",Master!$N$40,Master!$N$41))))</f>
        <v>起票</v>
      </c>
      <c r="O128" s="202" t="str">
        <f>IF($N128=Master!$N$37,MAX($S128,$AC128,$AI128),"")</f>
        <v/>
      </c>
      <c r="P128" s="65"/>
      <c r="Q128" s="203"/>
      <c r="R128" s="303"/>
      <c r="S128" s="203"/>
      <c r="T128" s="310"/>
      <c r="U128" s="304"/>
      <c r="V128" s="303"/>
      <c r="W128" s="306"/>
      <c r="X128" s="306"/>
      <c r="Y128" s="305"/>
      <c r="Z128" s="303"/>
      <c r="AA128" s="203"/>
      <c r="AB128" s="306"/>
      <c r="AC128" s="203"/>
      <c r="AD128" s="307"/>
      <c r="AE128" s="308"/>
      <c r="AF128" s="309"/>
      <c r="AG128" s="310"/>
      <c r="AH128" s="303"/>
      <c r="AI128" s="203"/>
      <c r="AJ128" s="311"/>
      <c r="AK128" s="451"/>
      <c r="AL128" s="59"/>
      <c r="AM128" s="60"/>
      <c r="AO128" s="137" t="e">
        <f t="shared" si="14"/>
        <v>#N/A</v>
      </c>
      <c r="AP128" s="138" t="e">
        <f t="shared" si="15"/>
        <v>#N/A</v>
      </c>
      <c r="AQ128" s="138" t="e">
        <f t="shared" si="16"/>
        <v>#N/A</v>
      </c>
      <c r="AR128" s="138" t="e">
        <f t="shared" si="17"/>
        <v>#N/A</v>
      </c>
      <c r="AS128" s="138" t="e">
        <f t="shared" si="18"/>
        <v>#N/A</v>
      </c>
      <c r="AT128" s="139" t="e">
        <f t="shared" si="19"/>
        <v>#N/A</v>
      </c>
      <c r="BB128" s="16" t="s">
        <v>596</v>
      </c>
    </row>
    <row r="129" spans="1:54" ht="102.75" customHeight="1">
      <c r="A129" s="428">
        <f t="shared" si="20"/>
        <v>121</v>
      </c>
      <c r="B129" s="294"/>
      <c r="C129" s="203"/>
      <c r="D129" s="301"/>
      <c r="E129" s="301"/>
      <c r="F129" s="301"/>
      <c r="G129" s="301"/>
      <c r="H129" s="302"/>
      <c r="I129" s="292"/>
      <c r="J129" s="61"/>
      <c r="K129" s="303"/>
      <c r="L129" s="303"/>
      <c r="M129" s="203"/>
      <c r="N129" s="84" t="str">
        <f>IF($AI129&lt;&gt;"",Master!$N$37,IF($AC129&lt;&gt;"",Master!$N$38,IF($S129&lt;&gt;"",Master!$N$39,IF($C129&lt;&gt;"",Master!$N$40,Master!$N$41))))</f>
        <v>起票</v>
      </c>
      <c r="O129" s="202" t="str">
        <f>IF($N129=Master!$N$37,MAX($S129,$AC129,$AI129),"")</f>
        <v/>
      </c>
      <c r="P129" s="65"/>
      <c r="Q129" s="203"/>
      <c r="R129" s="303"/>
      <c r="S129" s="203"/>
      <c r="T129" s="310"/>
      <c r="U129" s="304"/>
      <c r="V129" s="303"/>
      <c r="W129" s="306"/>
      <c r="X129" s="306"/>
      <c r="Y129" s="305"/>
      <c r="Z129" s="303"/>
      <c r="AA129" s="203"/>
      <c r="AB129" s="306"/>
      <c r="AC129" s="203"/>
      <c r="AD129" s="307"/>
      <c r="AE129" s="308"/>
      <c r="AF129" s="309"/>
      <c r="AG129" s="310"/>
      <c r="AH129" s="303"/>
      <c r="AI129" s="203"/>
      <c r="AJ129" s="311"/>
      <c r="AK129" s="451"/>
      <c r="AL129" s="59"/>
      <c r="AM129" s="60"/>
      <c r="AO129" s="137" t="e">
        <f t="shared" si="14"/>
        <v>#N/A</v>
      </c>
      <c r="AP129" s="138" t="e">
        <f t="shared" si="15"/>
        <v>#N/A</v>
      </c>
      <c r="AQ129" s="138" t="e">
        <f t="shared" si="16"/>
        <v>#N/A</v>
      </c>
      <c r="AR129" s="138" t="e">
        <f t="shared" si="17"/>
        <v>#N/A</v>
      </c>
      <c r="AS129" s="138" t="e">
        <f t="shared" si="18"/>
        <v>#N/A</v>
      </c>
      <c r="AT129" s="139" t="e">
        <f t="shared" si="19"/>
        <v>#N/A</v>
      </c>
      <c r="BB129" s="16" t="s">
        <v>596</v>
      </c>
    </row>
    <row r="130" spans="1:54" ht="102.75" customHeight="1">
      <c r="A130" s="428">
        <f t="shared" si="20"/>
        <v>122</v>
      </c>
      <c r="B130" s="294"/>
      <c r="C130" s="203"/>
      <c r="D130" s="301"/>
      <c r="E130" s="301"/>
      <c r="F130" s="301"/>
      <c r="G130" s="301"/>
      <c r="H130" s="302"/>
      <c r="I130" s="292"/>
      <c r="J130" s="61"/>
      <c r="K130" s="303"/>
      <c r="L130" s="303"/>
      <c r="M130" s="203"/>
      <c r="N130" s="84" t="str">
        <f>IF($AI130&lt;&gt;"",Master!$N$37,IF($AC130&lt;&gt;"",Master!$N$38,IF($S130&lt;&gt;"",Master!$N$39,IF($C130&lt;&gt;"",Master!$N$40,Master!$N$41))))</f>
        <v>起票</v>
      </c>
      <c r="O130" s="202" t="str">
        <f>IF($N130=Master!$N$37,MAX($S130,$AC130,$AI130),"")</f>
        <v/>
      </c>
      <c r="P130" s="65"/>
      <c r="Q130" s="203"/>
      <c r="R130" s="303"/>
      <c r="S130" s="203"/>
      <c r="T130" s="310"/>
      <c r="U130" s="304"/>
      <c r="V130" s="303"/>
      <c r="W130" s="306"/>
      <c r="X130" s="306"/>
      <c r="Y130" s="305"/>
      <c r="Z130" s="303"/>
      <c r="AA130" s="203"/>
      <c r="AB130" s="306"/>
      <c r="AC130" s="203"/>
      <c r="AD130" s="307"/>
      <c r="AE130" s="308"/>
      <c r="AF130" s="309"/>
      <c r="AG130" s="310"/>
      <c r="AH130" s="303"/>
      <c r="AI130" s="203"/>
      <c r="AJ130" s="311"/>
      <c r="AK130" s="451"/>
      <c r="AL130" s="59"/>
      <c r="AM130" s="60"/>
      <c r="AO130" s="137" t="e">
        <f t="shared" si="14"/>
        <v>#N/A</v>
      </c>
      <c r="AP130" s="138" t="e">
        <f t="shared" si="15"/>
        <v>#N/A</v>
      </c>
      <c r="AQ130" s="138" t="e">
        <f t="shared" si="16"/>
        <v>#N/A</v>
      </c>
      <c r="AR130" s="138" t="e">
        <f t="shared" si="17"/>
        <v>#N/A</v>
      </c>
      <c r="AS130" s="138" t="e">
        <f t="shared" si="18"/>
        <v>#N/A</v>
      </c>
      <c r="AT130" s="139" t="e">
        <f t="shared" si="19"/>
        <v>#N/A</v>
      </c>
      <c r="BB130" s="16" t="s">
        <v>596</v>
      </c>
    </row>
    <row r="131" spans="1:54" ht="102.75" customHeight="1">
      <c r="A131" s="428">
        <f t="shared" si="20"/>
        <v>123</v>
      </c>
      <c r="B131" s="294"/>
      <c r="C131" s="203"/>
      <c r="D131" s="301"/>
      <c r="E131" s="301"/>
      <c r="F131" s="301"/>
      <c r="G131" s="301"/>
      <c r="H131" s="302"/>
      <c r="I131" s="292"/>
      <c r="J131" s="61"/>
      <c r="K131" s="303"/>
      <c r="L131" s="303"/>
      <c r="M131" s="203"/>
      <c r="N131" s="84" t="str">
        <f>IF($AI131&lt;&gt;"",Master!$N$37,IF($AC131&lt;&gt;"",Master!$N$38,IF($S131&lt;&gt;"",Master!$N$39,IF($C131&lt;&gt;"",Master!$N$40,Master!$N$41))))</f>
        <v>起票</v>
      </c>
      <c r="O131" s="202" t="str">
        <f>IF($N131=Master!$N$37,MAX($S131,$AC131,$AI131),"")</f>
        <v/>
      </c>
      <c r="P131" s="65"/>
      <c r="Q131" s="203"/>
      <c r="R131" s="303"/>
      <c r="S131" s="203"/>
      <c r="T131" s="310"/>
      <c r="U131" s="304"/>
      <c r="V131" s="303"/>
      <c r="W131" s="306"/>
      <c r="X131" s="306"/>
      <c r="Y131" s="305"/>
      <c r="Z131" s="303"/>
      <c r="AA131" s="203"/>
      <c r="AB131" s="306"/>
      <c r="AC131" s="203"/>
      <c r="AD131" s="307"/>
      <c r="AE131" s="308"/>
      <c r="AF131" s="309"/>
      <c r="AG131" s="310"/>
      <c r="AH131" s="303"/>
      <c r="AI131" s="203"/>
      <c r="AJ131" s="311"/>
      <c r="AK131" s="451"/>
      <c r="AL131" s="59"/>
      <c r="AM131" s="60"/>
      <c r="AO131" s="137" t="e">
        <f t="shared" si="14"/>
        <v>#N/A</v>
      </c>
      <c r="AP131" s="138" t="e">
        <f t="shared" si="15"/>
        <v>#N/A</v>
      </c>
      <c r="AQ131" s="138" t="e">
        <f t="shared" si="16"/>
        <v>#N/A</v>
      </c>
      <c r="AR131" s="138" t="e">
        <f t="shared" si="17"/>
        <v>#N/A</v>
      </c>
      <c r="AS131" s="138" t="e">
        <f t="shared" si="18"/>
        <v>#N/A</v>
      </c>
      <c r="AT131" s="139" t="e">
        <f t="shared" si="19"/>
        <v>#N/A</v>
      </c>
      <c r="BB131" s="16" t="s">
        <v>596</v>
      </c>
    </row>
    <row r="132" spans="1:54" ht="102.75" customHeight="1">
      <c r="A132" s="428">
        <f t="shared" si="20"/>
        <v>124</v>
      </c>
      <c r="B132" s="294"/>
      <c r="C132" s="203"/>
      <c r="D132" s="301"/>
      <c r="E132" s="301"/>
      <c r="F132" s="301"/>
      <c r="G132" s="301"/>
      <c r="H132" s="302"/>
      <c r="I132" s="292"/>
      <c r="J132" s="61"/>
      <c r="K132" s="303"/>
      <c r="L132" s="303"/>
      <c r="M132" s="203"/>
      <c r="N132" s="84" t="str">
        <f>IF($AI132&lt;&gt;"",Master!$N$37,IF($AC132&lt;&gt;"",Master!$N$38,IF($S132&lt;&gt;"",Master!$N$39,IF($C132&lt;&gt;"",Master!$N$40,Master!$N$41))))</f>
        <v>起票</v>
      </c>
      <c r="O132" s="202" t="str">
        <f>IF($N132=Master!$N$37,MAX($S132,$AC132,$AI132),"")</f>
        <v/>
      </c>
      <c r="P132" s="65"/>
      <c r="Q132" s="203"/>
      <c r="R132" s="303"/>
      <c r="S132" s="203"/>
      <c r="T132" s="310"/>
      <c r="U132" s="304"/>
      <c r="V132" s="303"/>
      <c r="W132" s="306"/>
      <c r="X132" s="306"/>
      <c r="Y132" s="305"/>
      <c r="Z132" s="303"/>
      <c r="AA132" s="203"/>
      <c r="AB132" s="306"/>
      <c r="AC132" s="203"/>
      <c r="AD132" s="307"/>
      <c r="AE132" s="308"/>
      <c r="AF132" s="309"/>
      <c r="AG132" s="310"/>
      <c r="AH132" s="303"/>
      <c r="AI132" s="203"/>
      <c r="AJ132" s="311"/>
      <c r="AK132" s="451"/>
      <c r="AL132" s="59"/>
      <c r="AM132" s="60"/>
      <c r="AO132" s="137" t="e">
        <f t="shared" si="14"/>
        <v>#N/A</v>
      </c>
      <c r="AP132" s="138" t="e">
        <f t="shared" si="15"/>
        <v>#N/A</v>
      </c>
      <c r="AQ132" s="138" t="e">
        <f t="shared" si="16"/>
        <v>#N/A</v>
      </c>
      <c r="AR132" s="138" t="e">
        <f t="shared" si="17"/>
        <v>#N/A</v>
      </c>
      <c r="AS132" s="138" t="e">
        <f t="shared" si="18"/>
        <v>#N/A</v>
      </c>
      <c r="AT132" s="139" t="e">
        <f t="shared" si="19"/>
        <v>#N/A</v>
      </c>
      <c r="BB132" s="16" t="s">
        <v>596</v>
      </c>
    </row>
    <row r="133" spans="1:54" ht="102.75" customHeight="1">
      <c r="A133" s="428">
        <f t="shared" si="20"/>
        <v>125</v>
      </c>
      <c r="B133" s="294"/>
      <c r="C133" s="203"/>
      <c r="D133" s="301"/>
      <c r="E133" s="301"/>
      <c r="F133" s="301"/>
      <c r="G133" s="301"/>
      <c r="H133" s="302"/>
      <c r="I133" s="292"/>
      <c r="J133" s="61"/>
      <c r="K133" s="303"/>
      <c r="L133" s="303"/>
      <c r="M133" s="203"/>
      <c r="N133" s="84" t="str">
        <f>IF($AI133&lt;&gt;"",Master!$N$37,IF($AC133&lt;&gt;"",Master!$N$38,IF($S133&lt;&gt;"",Master!$N$39,IF($C133&lt;&gt;"",Master!$N$40,Master!$N$41))))</f>
        <v>起票</v>
      </c>
      <c r="O133" s="202" t="str">
        <f>IF($N133=Master!$N$37,MAX($S133,$AC133,$AI133),"")</f>
        <v/>
      </c>
      <c r="P133" s="65"/>
      <c r="Q133" s="203"/>
      <c r="R133" s="303"/>
      <c r="S133" s="203"/>
      <c r="T133" s="310"/>
      <c r="U133" s="304"/>
      <c r="V133" s="303"/>
      <c r="W133" s="306"/>
      <c r="X133" s="306"/>
      <c r="Y133" s="305"/>
      <c r="Z133" s="303"/>
      <c r="AA133" s="203"/>
      <c r="AB133" s="306"/>
      <c r="AC133" s="203"/>
      <c r="AD133" s="307"/>
      <c r="AE133" s="308"/>
      <c r="AF133" s="309"/>
      <c r="AG133" s="310"/>
      <c r="AH133" s="303"/>
      <c r="AI133" s="203"/>
      <c r="AJ133" s="311"/>
      <c r="AK133" s="451"/>
      <c r="AL133" s="59"/>
      <c r="AM133" s="60"/>
      <c r="AO133" s="137" t="e">
        <f t="shared" si="14"/>
        <v>#N/A</v>
      </c>
      <c r="AP133" s="138" t="e">
        <f t="shared" si="15"/>
        <v>#N/A</v>
      </c>
      <c r="AQ133" s="138" t="e">
        <f t="shared" si="16"/>
        <v>#N/A</v>
      </c>
      <c r="AR133" s="138" t="e">
        <f t="shared" si="17"/>
        <v>#N/A</v>
      </c>
      <c r="AS133" s="138" t="e">
        <f t="shared" si="18"/>
        <v>#N/A</v>
      </c>
      <c r="AT133" s="139" t="e">
        <f t="shared" si="19"/>
        <v>#N/A</v>
      </c>
      <c r="BB133" s="16" t="s">
        <v>596</v>
      </c>
    </row>
    <row r="134" spans="1:54" ht="102.75" customHeight="1">
      <c r="A134" s="428">
        <f t="shared" si="20"/>
        <v>126</v>
      </c>
      <c r="B134" s="294"/>
      <c r="C134" s="203"/>
      <c r="D134" s="301"/>
      <c r="E134" s="301"/>
      <c r="F134" s="301"/>
      <c r="G134" s="301"/>
      <c r="H134" s="302"/>
      <c r="I134" s="292"/>
      <c r="J134" s="61"/>
      <c r="K134" s="303"/>
      <c r="L134" s="303"/>
      <c r="M134" s="203"/>
      <c r="N134" s="84" t="str">
        <f>IF($AI134&lt;&gt;"",Master!$N$37,IF($AC134&lt;&gt;"",Master!$N$38,IF($S134&lt;&gt;"",Master!$N$39,IF($C134&lt;&gt;"",Master!$N$40,Master!$N$41))))</f>
        <v>起票</v>
      </c>
      <c r="O134" s="202" t="str">
        <f>IF($N134=Master!$N$37,MAX($S134,$AC134,$AI134),"")</f>
        <v/>
      </c>
      <c r="P134" s="65"/>
      <c r="Q134" s="203"/>
      <c r="R134" s="303"/>
      <c r="S134" s="203"/>
      <c r="T134" s="310"/>
      <c r="U134" s="304"/>
      <c r="V134" s="303"/>
      <c r="W134" s="306"/>
      <c r="X134" s="306"/>
      <c r="Y134" s="305"/>
      <c r="Z134" s="303"/>
      <c r="AA134" s="203"/>
      <c r="AB134" s="306"/>
      <c r="AC134" s="203"/>
      <c r="AD134" s="307"/>
      <c r="AE134" s="308"/>
      <c r="AF134" s="309"/>
      <c r="AG134" s="310"/>
      <c r="AH134" s="303"/>
      <c r="AI134" s="203"/>
      <c r="AJ134" s="311"/>
      <c r="AK134" s="451"/>
      <c r="AL134" s="59"/>
      <c r="AM134" s="60"/>
      <c r="AO134" s="137" t="e">
        <f t="shared" si="14"/>
        <v>#N/A</v>
      </c>
      <c r="AP134" s="138" t="e">
        <f t="shared" si="15"/>
        <v>#N/A</v>
      </c>
      <c r="AQ134" s="138" t="e">
        <f t="shared" si="16"/>
        <v>#N/A</v>
      </c>
      <c r="AR134" s="138" t="e">
        <f t="shared" si="17"/>
        <v>#N/A</v>
      </c>
      <c r="AS134" s="138" t="e">
        <f t="shared" si="18"/>
        <v>#N/A</v>
      </c>
      <c r="AT134" s="139" t="e">
        <f t="shared" si="19"/>
        <v>#N/A</v>
      </c>
      <c r="BB134" s="16" t="s">
        <v>596</v>
      </c>
    </row>
    <row r="135" spans="1:54" ht="102.75" customHeight="1">
      <c r="A135" s="428">
        <f t="shared" si="20"/>
        <v>127</v>
      </c>
      <c r="B135" s="294"/>
      <c r="C135" s="203"/>
      <c r="D135" s="301"/>
      <c r="E135" s="301"/>
      <c r="F135" s="301"/>
      <c r="G135" s="301"/>
      <c r="H135" s="302"/>
      <c r="I135" s="292"/>
      <c r="J135" s="61"/>
      <c r="K135" s="303"/>
      <c r="L135" s="303"/>
      <c r="M135" s="203"/>
      <c r="N135" s="84" t="str">
        <f>IF($AI135&lt;&gt;"",Master!$N$37,IF($AC135&lt;&gt;"",Master!$N$38,IF($S135&lt;&gt;"",Master!$N$39,IF($C135&lt;&gt;"",Master!$N$40,Master!$N$41))))</f>
        <v>起票</v>
      </c>
      <c r="O135" s="202" t="str">
        <f>IF($N135=Master!$N$37,MAX($S135,$AC135,$AI135),"")</f>
        <v/>
      </c>
      <c r="P135" s="65"/>
      <c r="Q135" s="203"/>
      <c r="R135" s="303"/>
      <c r="S135" s="203"/>
      <c r="T135" s="310"/>
      <c r="U135" s="304"/>
      <c r="V135" s="303"/>
      <c r="W135" s="306"/>
      <c r="X135" s="306"/>
      <c r="Y135" s="305"/>
      <c r="Z135" s="303"/>
      <c r="AA135" s="203"/>
      <c r="AB135" s="306"/>
      <c r="AC135" s="203"/>
      <c r="AD135" s="307"/>
      <c r="AE135" s="308"/>
      <c r="AF135" s="309"/>
      <c r="AG135" s="310"/>
      <c r="AH135" s="303"/>
      <c r="AI135" s="203"/>
      <c r="AJ135" s="311"/>
      <c r="AK135" s="451"/>
      <c r="AL135" s="59"/>
      <c r="AM135" s="60"/>
      <c r="AO135" s="137" t="e">
        <f t="shared" si="14"/>
        <v>#N/A</v>
      </c>
      <c r="AP135" s="138" t="e">
        <f t="shared" si="15"/>
        <v>#N/A</v>
      </c>
      <c r="AQ135" s="138" t="e">
        <f t="shared" si="16"/>
        <v>#N/A</v>
      </c>
      <c r="AR135" s="138" t="e">
        <f t="shared" si="17"/>
        <v>#N/A</v>
      </c>
      <c r="AS135" s="138" t="e">
        <f t="shared" si="18"/>
        <v>#N/A</v>
      </c>
      <c r="AT135" s="139" t="e">
        <f t="shared" si="19"/>
        <v>#N/A</v>
      </c>
      <c r="BB135" s="16" t="s">
        <v>596</v>
      </c>
    </row>
    <row r="136" spans="1:54" ht="102.75" customHeight="1">
      <c r="A136" s="428">
        <f t="shared" si="20"/>
        <v>128</v>
      </c>
      <c r="B136" s="294"/>
      <c r="C136" s="203"/>
      <c r="D136" s="301"/>
      <c r="E136" s="301"/>
      <c r="F136" s="301"/>
      <c r="G136" s="301"/>
      <c r="H136" s="302"/>
      <c r="I136" s="292"/>
      <c r="J136" s="61"/>
      <c r="K136" s="303"/>
      <c r="L136" s="303"/>
      <c r="M136" s="203"/>
      <c r="N136" s="84" t="str">
        <f>IF($AI136&lt;&gt;"",Master!$N$37,IF($AC136&lt;&gt;"",Master!$N$38,IF($S136&lt;&gt;"",Master!$N$39,IF($C136&lt;&gt;"",Master!$N$40,Master!$N$41))))</f>
        <v>起票</v>
      </c>
      <c r="O136" s="202" t="str">
        <f>IF($N136=Master!$N$37,MAX($S136,$AC136,$AI136),"")</f>
        <v/>
      </c>
      <c r="P136" s="65"/>
      <c r="Q136" s="203"/>
      <c r="R136" s="303"/>
      <c r="S136" s="203"/>
      <c r="T136" s="310"/>
      <c r="U136" s="304"/>
      <c r="V136" s="303"/>
      <c r="W136" s="306"/>
      <c r="X136" s="306"/>
      <c r="Y136" s="305"/>
      <c r="Z136" s="303"/>
      <c r="AA136" s="203"/>
      <c r="AB136" s="306"/>
      <c r="AC136" s="203"/>
      <c r="AD136" s="307"/>
      <c r="AE136" s="308"/>
      <c r="AF136" s="309"/>
      <c r="AG136" s="310"/>
      <c r="AH136" s="303"/>
      <c r="AI136" s="203"/>
      <c r="AJ136" s="311"/>
      <c r="AK136" s="451"/>
      <c r="AL136" s="59"/>
      <c r="AM136" s="60"/>
      <c r="AO136" s="137" t="e">
        <f t="shared" si="14"/>
        <v>#N/A</v>
      </c>
      <c r="AP136" s="138" t="e">
        <f t="shared" si="15"/>
        <v>#N/A</v>
      </c>
      <c r="AQ136" s="138" t="e">
        <f t="shared" si="16"/>
        <v>#N/A</v>
      </c>
      <c r="AR136" s="138" t="e">
        <f t="shared" si="17"/>
        <v>#N/A</v>
      </c>
      <c r="AS136" s="138" t="e">
        <f t="shared" si="18"/>
        <v>#N/A</v>
      </c>
      <c r="AT136" s="139" t="e">
        <f t="shared" si="19"/>
        <v>#N/A</v>
      </c>
      <c r="BB136" s="16" t="s">
        <v>596</v>
      </c>
    </row>
    <row r="137" spans="1:54" ht="102.75" customHeight="1">
      <c r="A137" s="428">
        <f t="shared" si="20"/>
        <v>129</v>
      </c>
      <c r="B137" s="294"/>
      <c r="C137" s="203"/>
      <c r="D137" s="301"/>
      <c r="E137" s="301"/>
      <c r="F137" s="301"/>
      <c r="G137" s="301"/>
      <c r="H137" s="302"/>
      <c r="I137" s="292"/>
      <c r="J137" s="61"/>
      <c r="K137" s="303"/>
      <c r="L137" s="303"/>
      <c r="M137" s="203"/>
      <c r="N137" s="84" t="str">
        <f>IF($AI137&lt;&gt;"",Master!$N$37,IF($AC137&lt;&gt;"",Master!$N$38,IF($S137&lt;&gt;"",Master!$N$39,IF($C137&lt;&gt;"",Master!$N$40,Master!$N$41))))</f>
        <v>起票</v>
      </c>
      <c r="O137" s="202" t="str">
        <f>IF($N137=Master!$N$37,MAX($S137,$AC137,$AI137),"")</f>
        <v/>
      </c>
      <c r="P137" s="65"/>
      <c r="Q137" s="203"/>
      <c r="R137" s="303"/>
      <c r="S137" s="203"/>
      <c r="T137" s="310"/>
      <c r="U137" s="304"/>
      <c r="V137" s="303"/>
      <c r="W137" s="306"/>
      <c r="X137" s="306"/>
      <c r="Y137" s="305"/>
      <c r="Z137" s="303"/>
      <c r="AA137" s="203"/>
      <c r="AB137" s="306"/>
      <c r="AC137" s="203"/>
      <c r="AD137" s="307"/>
      <c r="AE137" s="308"/>
      <c r="AF137" s="309"/>
      <c r="AG137" s="310"/>
      <c r="AH137" s="303"/>
      <c r="AI137" s="203"/>
      <c r="AJ137" s="311"/>
      <c r="AK137" s="451"/>
      <c r="AL137" s="59"/>
      <c r="AM137" s="60"/>
      <c r="AO137" s="137" t="e">
        <f t="shared" ref="AO137:AO200" si="21">IF(AND(C137&lt;&gt;"",C137&lt;=$AI$3),IF(E137="","",E137),NA())</f>
        <v>#N/A</v>
      </c>
      <c r="AP137" s="138" t="e">
        <f t="shared" ref="AP137:AP200" si="22">IF(AND(C137&lt;&gt;"",C137&lt;=$AI$3),IF(F137="","",F137),NA())</f>
        <v>#N/A</v>
      </c>
      <c r="AQ137" s="138" t="e">
        <f t="shared" ref="AQ137:AQ200" si="23">IF(AND(C137&lt;&gt;"",C137&lt;=$AI$3),IF(H137="","",H137),NA())</f>
        <v>#N/A</v>
      </c>
      <c r="AR137" s="138" t="e">
        <f t="shared" ref="AR137:AR200" si="24">IF(AND(C137&lt;&gt;"",C137&lt;=$AI$3),IF(U137="","",U137),NA())</f>
        <v>#N/A</v>
      </c>
      <c r="AS137" s="138" t="e">
        <f t="shared" ref="AS137:AS200" si="25">IF(AND(C137&lt;&gt;"",C137&lt;=$AI$3),IF(V137="","",V137),NA())</f>
        <v>#N/A</v>
      </c>
      <c r="AT137" s="139" t="e">
        <f t="shared" si="19"/>
        <v>#N/A</v>
      </c>
      <c r="BB137" s="16" t="s">
        <v>596</v>
      </c>
    </row>
    <row r="138" spans="1:54" ht="102.75" customHeight="1">
      <c r="A138" s="428">
        <f t="shared" si="20"/>
        <v>130</v>
      </c>
      <c r="B138" s="294"/>
      <c r="C138" s="203"/>
      <c r="D138" s="301"/>
      <c r="E138" s="301"/>
      <c r="F138" s="301"/>
      <c r="G138" s="301"/>
      <c r="H138" s="302"/>
      <c r="I138" s="292"/>
      <c r="J138" s="61"/>
      <c r="K138" s="303"/>
      <c r="L138" s="303"/>
      <c r="M138" s="203"/>
      <c r="N138" s="84" t="str">
        <f>IF($AI138&lt;&gt;"",Master!$N$37,IF($AC138&lt;&gt;"",Master!$N$38,IF($S138&lt;&gt;"",Master!$N$39,IF($C138&lt;&gt;"",Master!$N$40,Master!$N$41))))</f>
        <v>起票</v>
      </c>
      <c r="O138" s="202" t="str">
        <f>IF($N138=Master!$N$37,MAX($S138,$AC138,$AI138),"")</f>
        <v/>
      </c>
      <c r="P138" s="65"/>
      <c r="Q138" s="203"/>
      <c r="R138" s="303"/>
      <c r="S138" s="203"/>
      <c r="T138" s="310"/>
      <c r="U138" s="304"/>
      <c r="V138" s="303"/>
      <c r="W138" s="306"/>
      <c r="X138" s="306"/>
      <c r="Y138" s="305"/>
      <c r="Z138" s="303"/>
      <c r="AA138" s="203"/>
      <c r="AB138" s="306"/>
      <c r="AC138" s="203"/>
      <c r="AD138" s="307"/>
      <c r="AE138" s="308"/>
      <c r="AF138" s="309"/>
      <c r="AG138" s="310"/>
      <c r="AH138" s="303"/>
      <c r="AI138" s="203"/>
      <c r="AJ138" s="311"/>
      <c r="AK138" s="451"/>
      <c r="AL138" s="59"/>
      <c r="AM138" s="60"/>
      <c r="AO138" s="137" t="e">
        <f t="shared" si="21"/>
        <v>#N/A</v>
      </c>
      <c r="AP138" s="138" t="e">
        <f t="shared" si="22"/>
        <v>#N/A</v>
      </c>
      <c r="AQ138" s="138" t="e">
        <f t="shared" si="23"/>
        <v>#N/A</v>
      </c>
      <c r="AR138" s="138" t="e">
        <f t="shared" si="24"/>
        <v>#N/A</v>
      </c>
      <c r="AS138" s="138" t="e">
        <f t="shared" si="25"/>
        <v>#N/A</v>
      </c>
      <c r="AT138" s="139" t="e">
        <f t="shared" ref="AT138:AT201" si="26">IF(AND(C138&lt;&gt;"",C138&lt;=$AI$3),IF(AB138="","",AB138),NA())</f>
        <v>#N/A</v>
      </c>
      <c r="BB138" s="16" t="s">
        <v>596</v>
      </c>
    </row>
    <row r="139" spans="1:54" ht="102.75" customHeight="1">
      <c r="A139" s="428">
        <f t="shared" si="20"/>
        <v>131</v>
      </c>
      <c r="B139" s="294"/>
      <c r="C139" s="203"/>
      <c r="D139" s="301"/>
      <c r="E139" s="301"/>
      <c r="F139" s="301"/>
      <c r="G139" s="301"/>
      <c r="H139" s="302"/>
      <c r="I139" s="292"/>
      <c r="J139" s="61"/>
      <c r="K139" s="303"/>
      <c r="L139" s="303"/>
      <c r="M139" s="203"/>
      <c r="N139" s="84" t="str">
        <f>IF($AI139&lt;&gt;"",Master!$N$37,IF($AC139&lt;&gt;"",Master!$N$38,IF($S139&lt;&gt;"",Master!$N$39,IF($C139&lt;&gt;"",Master!$N$40,Master!$N$41))))</f>
        <v>起票</v>
      </c>
      <c r="O139" s="202" t="str">
        <f>IF($N139=Master!$N$37,MAX($S139,$AC139,$AI139),"")</f>
        <v/>
      </c>
      <c r="P139" s="65"/>
      <c r="Q139" s="203"/>
      <c r="R139" s="303"/>
      <c r="S139" s="203"/>
      <c r="T139" s="310"/>
      <c r="U139" s="304"/>
      <c r="V139" s="303"/>
      <c r="W139" s="306"/>
      <c r="X139" s="306"/>
      <c r="Y139" s="305"/>
      <c r="Z139" s="303"/>
      <c r="AA139" s="203"/>
      <c r="AB139" s="306"/>
      <c r="AC139" s="203"/>
      <c r="AD139" s="307"/>
      <c r="AE139" s="308"/>
      <c r="AF139" s="309"/>
      <c r="AG139" s="310"/>
      <c r="AH139" s="303"/>
      <c r="AI139" s="203"/>
      <c r="AJ139" s="311"/>
      <c r="AK139" s="451"/>
      <c r="AL139" s="59"/>
      <c r="AM139" s="60"/>
      <c r="AO139" s="137" t="e">
        <f t="shared" si="21"/>
        <v>#N/A</v>
      </c>
      <c r="AP139" s="138" t="e">
        <f t="shared" si="22"/>
        <v>#N/A</v>
      </c>
      <c r="AQ139" s="138" t="e">
        <f t="shared" si="23"/>
        <v>#N/A</v>
      </c>
      <c r="AR139" s="138" t="e">
        <f t="shared" si="24"/>
        <v>#N/A</v>
      </c>
      <c r="AS139" s="138" t="e">
        <f t="shared" si="25"/>
        <v>#N/A</v>
      </c>
      <c r="AT139" s="139" t="e">
        <f t="shared" si="26"/>
        <v>#N/A</v>
      </c>
      <c r="BB139" s="16" t="s">
        <v>596</v>
      </c>
    </row>
    <row r="140" spans="1:54" ht="102.75" customHeight="1">
      <c r="A140" s="428">
        <f t="shared" ref="A140:A203" si="27">A139+1</f>
        <v>132</v>
      </c>
      <c r="B140" s="294"/>
      <c r="C140" s="203"/>
      <c r="D140" s="301"/>
      <c r="E140" s="301"/>
      <c r="F140" s="301"/>
      <c r="G140" s="301"/>
      <c r="H140" s="302"/>
      <c r="I140" s="292"/>
      <c r="J140" s="61"/>
      <c r="K140" s="303"/>
      <c r="L140" s="303"/>
      <c r="M140" s="203"/>
      <c r="N140" s="84" t="str">
        <f>IF($AI140&lt;&gt;"",Master!$N$37,IF($AC140&lt;&gt;"",Master!$N$38,IF($S140&lt;&gt;"",Master!$N$39,IF($C140&lt;&gt;"",Master!$N$40,Master!$N$41))))</f>
        <v>起票</v>
      </c>
      <c r="O140" s="202" t="str">
        <f>IF($N140=Master!$N$37,MAX($S140,$AC140,$AI140),"")</f>
        <v/>
      </c>
      <c r="P140" s="65"/>
      <c r="Q140" s="203"/>
      <c r="R140" s="303"/>
      <c r="S140" s="203"/>
      <c r="T140" s="310"/>
      <c r="U140" s="304"/>
      <c r="V140" s="303"/>
      <c r="W140" s="306"/>
      <c r="X140" s="306"/>
      <c r="Y140" s="305"/>
      <c r="Z140" s="303"/>
      <c r="AA140" s="203"/>
      <c r="AB140" s="306"/>
      <c r="AC140" s="203"/>
      <c r="AD140" s="307"/>
      <c r="AE140" s="308"/>
      <c r="AF140" s="309"/>
      <c r="AG140" s="310"/>
      <c r="AH140" s="303"/>
      <c r="AI140" s="203"/>
      <c r="AJ140" s="311"/>
      <c r="AK140" s="451"/>
      <c r="AL140" s="59"/>
      <c r="AM140" s="60"/>
      <c r="AO140" s="137" t="e">
        <f t="shared" si="21"/>
        <v>#N/A</v>
      </c>
      <c r="AP140" s="138" t="e">
        <f t="shared" si="22"/>
        <v>#N/A</v>
      </c>
      <c r="AQ140" s="138" t="e">
        <f t="shared" si="23"/>
        <v>#N/A</v>
      </c>
      <c r="AR140" s="138" t="e">
        <f t="shared" si="24"/>
        <v>#N/A</v>
      </c>
      <c r="AS140" s="138" t="e">
        <f t="shared" si="25"/>
        <v>#N/A</v>
      </c>
      <c r="AT140" s="139" t="e">
        <f t="shared" si="26"/>
        <v>#N/A</v>
      </c>
      <c r="BB140" s="16" t="s">
        <v>596</v>
      </c>
    </row>
    <row r="141" spans="1:54" ht="102.75" customHeight="1">
      <c r="A141" s="428">
        <f t="shared" si="27"/>
        <v>133</v>
      </c>
      <c r="B141" s="294"/>
      <c r="C141" s="203"/>
      <c r="D141" s="301"/>
      <c r="E141" s="301"/>
      <c r="F141" s="301"/>
      <c r="G141" s="301"/>
      <c r="H141" s="302"/>
      <c r="I141" s="292"/>
      <c r="J141" s="61"/>
      <c r="K141" s="303"/>
      <c r="L141" s="303"/>
      <c r="M141" s="203"/>
      <c r="N141" s="84" t="str">
        <f>IF($AI141&lt;&gt;"",Master!$N$37,IF($AC141&lt;&gt;"",Master!$N$38,IF($S141&lt;&gt;"",Master!$N$39,IF($C141&lt;&gt;"",Master!$N$40,Master!$N$41))))</f>
        <v>起票</v>
      </c>
      <c r="O141" s="202" t="str">
        <f>IF($N141=Master!$N$37,MAX($S141,$AC141,$AI141),"")</f>
        <v/>
      </c>
      <c r="P141" s="65"/>
      <c r="Q141" s="203"/>
      <c r="R141" s="303"/>
      <c r="S141" s="203"/>
      <c r="T141" s="310"/>
      <c r="U141" s="304"/>
      <c r="V141" s="303"/>
      <c r="W141" s="306"/>
      <c r="X141" s="306"/>
      <c r="Y141" s="305"/>
      <c r="Z141" s="303"/>
      <c r="AA141" s="203"/>
      <c r="AB141" s="306"/>
      <c r="AC141" s="203"/>
      <c r="AD141" s="307"/>
      <c r="AE141" s="308"/>
      <c r="AF141" s="309"/>
      <c r="AG141" s="310"/>
      <c r="AH141" s="303"/>
      <c r="AI141" s="203"/>
      <c r="AJ141" s="311"/>
      <c r="AK141" s="451"/>
      <c r="AL141" s="59"/>
      <c r="AM141" s="60"/>
      <c r="AO141" s="137" t="e">
        <f t="shared" si="21"/>
        <v>#N/A</v>
      </c>
      <c r="AP141" s="138" t="e">
        <f t="shared" si="22"/>
        <v>#N/A</v>
      </c>
      <c r="AQ141" s="138" t="e">
        <f t="shared" si="23"/>
        <v>#N/A</v>
      </c>
      <c r="AR141" s="138" t="e">
        <f t="shared" si="24"/>
        <v>#N/A</v>
      </c>
      <c r="AS141" s="138" t="e">
        <f t="shared" si="25"/>
        <v>#N/A</v>
      </c>
      <c r="AT141" s="139" t="e">
        <f t="shared" si="26"/>
        <v>#N/A</v>
      </c>
      <c r="BB141" s="16" t="s">
        <v>596</v>
      </c>
    </row>
    <row r="142" spans="1:54" ht="102.75" customHeight="1">
      <c r="A142" s="428">
        <f t="shared" si="27"/>
        <v>134</v>
      </c>
      <c r="B142" s="294"/>
      <c r="C142" s="203"/>
      <c r="D142" s="301"/>
      <c r="E142" s="301"/>
      <c r="F142" s="301"/>
      <c r="G142" s="301"/>
      <c r="H142" s="302"/>
      <c r="I142" s="292"/>
      <c r="J142" s="61"/>
      <c r="K142" s="303"/>
      <c r="L142" s="303"/>
      <c r="M142" s="203"/>
      <c r="N142" s="84" t="str">
        <f>IF($AI142&lt;&gt;"",Master!$N$37,IF($AC142&lt;&gt;"",Master!$N$38,IF($S142&lt;&gt;"",Master!$N$39,IF($C142&lt;&gt;"",Master!$N$40,Master!$N$41))))</f>
        <v>起票</v>
      </c>
      <c r="O142" s="202" t="str">
        <f>IF($N142=Master!$N$37,MAX($S142,$AC142,$AI142),"")</f>
        <v/>
      </c>
      <c r="P142" s="65"/>
      <c r="Q142" s="203"/>
      <c r="R142" s="303"/>
      <c r="S142" s="203"/>
      <c r="T142" s="310"/>
      <c r="U142" s="304"/>
      <c r="V142" s="303"/>
      <c r="W142" s="306"/>
      <c r="X142" s="306"/>
      <c r="Y142" s="305"/>
      <c r="Z142" s="303"/>
      <c r="AA142" s="203"/>
      <c r="AB142" s="306"/>
      <c r="AC142" s="203"/>
      <c r="AD142" s="307"/>
      <c r="AE142" s="308"/>
      <c r="AF142" s="309"/>
      <c r="AG142" s="310"/>
      <c r="AH142" s="303"/>
      <c r="AI142" s="203"/>
      <c r="AJ142" s="311"/>
      <c r="AK142" s="451"/>
      <c r="AL142" s="59"/>
      <c r="AM142" s="60"/>
      <c r="AO142" s="137" t="e">
        <f t="shared" si="21"/>
        <v>#N/A</v>
      </c>
      <c r="AP142" s="138" t="e">
        <f t="shared" si="22"/>
        <v>#N/A</v>
      </c>
      <c r="AQ142" s="138" t="e">
        <f t="shared" si="23"/>
        <v>#N/A</v>
      </c>
      <c r="AR142" s="138" t="e">
        <f t="shared" si="24"/>
        <v>#N/A</v>
      </c>
      <c r="AS142" s="138" t="e">
        <f t="shared" si="25"/>
        <v>#N/A</v>
      </c>
      <c r="AT142" s="139" t="e">
        <f t="shared" si="26"/>
        <v>#N/A</v>
      </c>
      <c r="BB142" s="16" t="s">
        <v>596</v>
      </c>
    </row>
    <row r="143" spans="1:54" ht="102.75" customHeight="1">
      <c r="A143" s="428">
        <f t="shared" si="27"/>
        <v>135</v>
      </c>
      <c r="B143" s="294"/>
      <c r="C143" s="203"/>
      <c r="D143" s="301"/>
      <c r="E143" s="301"/>
      <c r="F143" s="301"/>
      <c r="G143" s="301"/>
      <c r="H143" s="302"/>
      <c r="I143" s="292"/>
      <c r="J143" s="61"/>
      <c r="K143" s="303"/>
      <c r="L143" s="303"/>
      <c r="M143" s="203"/>
      <c r="N143" s="84" t="str">
        <f>IF($AI143&lt;&gt;"",Master!$N$37,IF($AC143&lt;&gt;"",Master!$N$38,IF($S143&lt;&gt;"",Master!$N$39,IF($C143&lt;&gt;"",Master!$N$40,Master!$N$41))))</f>
        <v>起票</v>
      </c>
      <c r="O143" s="202" t="str">
        <f>IF($N143=Master!$N$37,MAX($S143,$AC143,$AI143),"")</f>
        <v/>
      </c>
      <c r="P143" s="65"/>
      <c r="Q143" s="203"/>
      <c r="R143" s="303"/>
      <c r="S143" s="203"/>
      <c r="T143" s="310"/>
      <c r="U143" s="304"/>
      <c r="V143" s="303"/>
      <c r="W143" s="306"/>
      <c r="X143" s="306"/>
      <c r="Y143" s="305"/>
      <c r="Z143" s="303"/>
      <c r="AA143" s="203"/>
      <c r="AB143" s="306"/>
      <c r="AC143" s="203"/>
      <c r="AD143" s="307"/>
      <c r="AE143" s="308"/>
      <c r="AF143" s="309"/>
      <c r="AG143" s="310"/>
      <c r="AH143" s="303"/>
      <c r="AI143" s="203"/>
      <c r="AJ143" s="311"/>
      <c r="AK143" s="451"/>
      <c r="AL143" s="59"/>
      <c r="AM143" s="60"/>
      <c r="AO143" s="137" t="e">
        <f t="shared" si="21"/>
        <v>#N/A</v>
      </c>
      <c r="AP143" s="138" t="e">
        <f t="shared" si="22"/>
        <v>#N/A</v>
      </c>
      <c r="AQ143" s="138" t="e">
        <f t="shared" si="23"/>
        <v>#N/A</v>
      </c>
      <c r="AR143" s="138" t="e">
        <f t="shared" si="24"/>
        <v>#N/A</v>
      </c>
      <c r="AS143" s="138" t="e">
        <f t="shared" si="25"/>
        <v>#N/A</v>
      </c>
      <c r="AT143" s="139" t="e">
        <f t="shared" si="26"/>
        <v>#N/A</v>
      </c>
      <c r="BB143" s="16" t="s">
        <v>596</v>
      </c>
    </row>
    <row r="144" spans="1:54" ht="102.75" customHeight="1">
      <c r="A144" s="428">
        <f t="shared" si="27"/>
        <v>136</v>
      </c>
      <c r="B144" s="294"/>
      <c r="C144" s="203"/>
      <c r="D144" s="301"/>
      <c r="E144" s="301"/>
      <c r="F144" s="301"/>
      <c r="G144" s="301"/>
      <c r="H144" s="302"/>
      <c r="I144" s="292"/>
      <c r="J144" s="61"/>
      <c r="K144" s="303"/>
      <c r="L144" s="303"/>
      <c r="M144" s="203"/>
      <c r="N144" s="84" t="str">
        <f>IF($AI144&lt;&gt;"",Master!$N$37,IF($AC144&lt;&gt;"",Master!$N$38,IF($S144&lt;&gt;"",Master!$N$39,IF($C144&lt;&gt;"",Master!$N$40,Master!$N$41))))</f>
        <v>起票</v>
      </c>
      <c r="O144" s="202" t="str">
        <f>IF($N144=Master!$N$37,MAX($S144,$AC144,$AI144),"")</f>
        <v/>
      </c>
      <c r="P144" s="65"/>
      <c r="Q144" s="203"/>
      <c r="R144" s="303"/>
      <c r="S144" s="203"/>
      <c r="T144" s="310"/>
      <c r="U144" s="304"/>
      <c r="V144" s="303"/>
      <c r="W144" s="306"/>
      <c r="X144" s="306"/>
      <c r="Y144" s="305"/>
      <c r="Z144" s="303"/>
      <c r="AA144" s="203"/>
      <c r="AB144" s="306"/>
      <c r="AC144" s="203"/>
      <c r="AD144" s="307"/>
      <c r="AE144" s="308"/>
      <c r="AF144" s="309"/>
      <c r="AG144" s="310"/>
      <c r="AH144" s="303"/>
      <c r="AI144" s="203"/>
      <c r="AJ144" s="311"/>
      <c r="AK144" s="451"/>
      <c r="AL144" s="59"/>
      <c r="AM144" s="60"/>
      <c r="AO144" s="137" t="e">
        <f t="shared" si="21"/>
        <v>#N/A</v>
      </c>
      <c r="AP144" s="138" t="e">
        <f t="shared" si="22"/>
        <v>#N/A</v>
      </c>
      <c r="AQ144" s="138" t="e">
        <f t="shared" si="23"/>
        <v>#N/A</v>
      </c>
      <c r="AR144" s="138" t="e">
        <f t="shared" si="24"/>
        <v>#N/A</v>
      </c>
      <c r="AS144" s="138" t="e">
        <f t="shared" si="25"/>
        <v>#N/A</v>
      </c>
      <c r="AT144" s="139" t="e">
        <f t="shared" si="26"/>
        <v>#N/A</v>
      </c>
      <c r="BB144" s="16" t="s">
        <v>596</v>
      </c>
    </row>
    <row r="145" spans="1:54" ht="102.75" customHeight="1">
      <c r="A145" s="428">
        <f t="shared" si="27"/>
        <v>137</v>
      </c>
      <c r="B145" s="294"/>
      <c r="C145" s="203"/>
      <c r="D145" s="301"/>
      <c r="E145" s="301"/>
      <c r="F145" s="301"/>
      <c r="G145" s="301"/>
      <c r="H145" s="302"/>
      <c r="I145" s="292"/>
      <c r="J145" s="61"/>
      <c r="K145" s="303"/>
      <c r="L145" s="303"/>
      <c r="M145" s="203"/>
      <c r="N145" s="84" t="str">
        <f>IF($AI145&lt;&gt;"",Master!$N$37,IF($AC145&lt;&gt;"",Master!$N$38,IF($S145&lt;&gt;"",Master!$N$39,IF($C145&lt;&gt;"",Master!$N$40,Master!$N$41))))</f>
        <v>起票</v>
      </c>
      <c r="O145" s="202" t="str">
        <f>IF($N145=Master!$N$37,MAX($S145,$AC145,$AI145),"")</f>
        <v/>
      </c>
      <c r="P145" s="65"/>
      <c r="Q145" s="203"/>
      <c r="R145" s="303"/>
      <c r="S145" s="203"/>
      <c r="T145" s="310"/>
      <c r="U145" s="304"/>
      <c r="V145" s="303"/>
      <c r="W145" s="306"/>
      <c r="X145" s="306"/>
      <c r="Y145" s="305"/>
      <c r="Z145" s="303"/>
      <c r="AA145" s="203"/>
      <c r="AB145" s="306"/>
      <c r="AC145" s="203"/>
      <c r="AD145" s="307"/>
      <c r="AE145" s="308"/>
      <c r="AF145" s="309"/>
      <c r="AG145" s="310"/>
      <c r="AH145" s="303"/>
      <c r="AI145" s="203"/>
      <c r="AJ145" s="311"/>
      <c r="AK145" s="451"/>
      <c r="AL145" s="59"/>
      <c r="AM145" s="60"/>
      <c r="AO145" s="137" t="e">
        <f t="shared" si="21"/>
        <v>#N/A</v>
      </c>
      <c r="AP145" s="138" t="e">
        <f t="shared" si="22"/>
        <v>#N/A</v>
      </c>
      <c r="AQ145" s="138" t="e">
        <f t="shared" si="23"/>
        <v>#N/A</v>
      </c>
      <c r="AR145" s="138" t="e">
        <f t="shared" si="24"/>
        <v>#N/A</v>
      </c>
      <c r="AS145" s="138" t="e">
        <f t="shared" si="25"/>
        <v>#N/A</v>
      </c>
      <c r="AT145" s="139" t="e">
        <f t="shared" si="26"/>
        <v>#N/A</v>
      </c>
      <c r="BB145" s="16" t="s">
        <v>596</v>
      </c>
    </row>
    <row r="146" spans="1:54" ht="102.75" customHeight="1">
      <c r="A146" s="428">
        <f t="shared" si="27"/>
        <v>138</v>
      </c>
      <c r="B146" s="294"/>
      <c r="C146" s="203"/>
      <c r="D146" s="301"/>
      <c r="E146" s="301"/>
      <c r="F146" s="301"/>
      <c r="G146" s="301"/>
      <c r="H146" s="302"/>
      <c r="I146" s="292"/>
      <c r="J146" s="61"/>
      <c r="K146" s="303"/>
      <c r="L146" s="303"/>
      <c r="M146" s="203"/>
      <c r="N146" s="84" t="str">
        <f>IF($AI146&lt;&gt;"",Master!$N$37,IF($AC146&lt;&gt;"",Master!$N$38,IF($S146&lt;&gt;"",Master!$N$39,IF($C146&lt;&gt;"",Master!$N$40,Master!$N$41))))</f>
        <v>起票</v>
      </c>
      <c r="O146" s="202" t="str">
        <f>IF($N146=Master!$N$37,MAX($S146,$AC146,$AI146),"")</f>
        <v/>
      </c>
      <c r="P146" s="65"/>
      <c r="Q146" s="203"/>
      <c r="R146" s="303"/>
      <c r="S146" s="203"/>
      <c r="T146" s="310"/>
      <c r="U146" s="304"/>
      <c r="V146" s="303"/>
      <c r="W146" s="306"/>
      <c r="X146" s="306"/>
      <c r="Y146" s="305"/>
      <c r="Z146" s="303"/>
      <c r="AA146" s="203"/>
      <c r="AB146" s="306"/>
      <c r="AC146" s="203"/>
      <c r="AD146" s="307"/>
      <c r="AE146" s="308"/>
      <c r="AF146" s="309"/>
      <c r="AG146" s="310"/>
      <c r="AH146" s="303"/>
      <c r="AI146" s="203"/>
      <c r="AJ146" s="311"/>
      <c r="AK146" s="451"/>
      <c r="AL146" s="59"/>
      <c r="AM146" s="60"/>
      <c r="AO146" s="137" t="e">
        <f t="shared" si="21"/>
        <v>#N/A</v>
      </c>
      <c r="AP146" s="138" t="e">
        <f t="shared" si="22"/>
        <v>#N/A</v>
      </c>
      <c r="AQ146" s="138" t="e">
        <f t="shared" si="23"/>
        <v>#N/A</v>
      </c>
      <c r="AR146" s="138" t="e">
        <f t="shared" si="24"/>
        <v>#N/A</v>
      </c>
      <c r="AS146" s="138" t="e">
        <f t="shared" si="25"/>
        <v>#N/A</v>
      </c>
      <c r="AT146" s="139" t="e">
        <f t="shared" si="26"/>
        <v>#N/A</v>
      </c>
      <c r="BB146" s="16" t="s">
        <v>596</v>
      </c>
    </row>
    <row r="147" spans="1:54" ht="102.75" customHeight="1">
      <c r="A147" s="428">
        <f t="shared" si="27"/>
        <v>139</v>
      </c>
      <c r="B147" s="294"/>
      <c r="C147" s="203"/>
      <c r="D147" s="301"/>
      <c r="E147" s="301"/>
      <c r="F147" s="301"/>
      <c r="G147" s="301"/>
      <c r="H147" s="302"/>
      <c r="I147" s="292"/>
      <c r="J147" s="61"/>
      <c r="K147" s="303"/>
      <c r="L147" s="303"/>
      <c r="M147" s="203"/>
      <c r="N147" s="84" t="str">
        <f>IF($AI147&lt;&gt;"",Master!$N$37,IF($AC147&lt;&gt;"",Master!$N$38,IF($S147&lt;&gt;"",Master!$N$39,IF($C147&lt;&gt;"",Master!$N$40,Master!$N$41))))</f>
        <v>起票</v>
      </c>
      <c r="O147" s="202" t="str">
        <f>IF($N147=Master!$N$37,MAX($S147,$AC147,$AI147),"")</f>
        <v/>
      </c>
      <c r="P147" s="65"/>
      <c r="Q147" s="203"/>
      <c r="R147" s="303"/>
      <c r="S147" s="203"/>
      <c r="T147" s="310"/>
      <c r="U147" s="304"/>
      <c r="V147" s="303"/>
      <c r="W147" s="306"/>
      <c r="X147" s="306"/>
      <c r="Y147" s="305"/>
      <c r="Z147" s="303"/>
      <c r="AA147" s="203"/>
      <c r="AB147" s="306"/>
      <c r="AC147" s="203"/>
      <c r="AD147" s="307"/>
      <c r="AE147" s="308"/>
      <c r="AF147" s="309"/>
      <c r="AG147" s="310"/>
      <c r="AH147" s="303"/>
      <c r="AI147" s="203"/>
      <c r="AJ147" s="311"/>
      <c r="AK147" s="451"/>
      <c r="AL147" s="59"/>
      <c r="AM147" s="60"/>
      <c r="AO147" s="137" t="e">
        <f t="shared" si="21"/>
        <v>#N/A</v>
      </c>
      <c r="AP147" s="138" t="e">
        <f t="shared" si="22"/>
        <v>#N/A</v>
      </c>
      <c r="AQ147" s="138" t="e">
        <f t="shared" si="23"/>
        <v>#N/A</v>
      </c>
      <c r="AR147" s="138" t="e">
        <f t="shared" si="24"/>
        <v>#N/A</v>
      </c>
      <c r="AS147" s="138" t="e">
        <f t="shared" si="25"/>
        <v>#N/A</v>
      </c>
      <c r="AT147" s="139" t="e">
        <f t="shared" si="26"/>
        <v>#N/A</v>
      </c>
      <c r="BB147" s="16" t="s">
        <v>596</v>
      </c>
    </row>
    <row r="148" spans="1:54" ht="102.75" customHeight="1">
      <c r="A148" s="428">
        <f t="shared" si="27"/>
        <v>140</v>
      </c>
      <c r="B148" s="294"/>
      <c r="C148" s="203"/>
      <c r="D148" s="301"/>
      <c r="E148" s="301"/>
      <c r="F148" s="301"/>
      <c r="G148" s="301"/>
      <c r="H148" s="302"/>
      <c r="I148" s="292"/>
      <c r="J148" s="61"/>
      <c r="K148" s="303"/>
      <c r="L148" s="303"/>
      <c r="M148" s="203"/>
      <c r="N148" s="84" t="str">
        <f>IF($AI148&lt;&gt;"",Master!$N$37,IF($AC148&lt;&gt;"",Master!$N$38,IF($S148&lt;&gt;"",Master!$N$39,IF($C148&lt;&gt;"",Master!$N$40,Master!$N$41))))</f>
        <v>起票</v>
      </c>
      <c r="O148" s="202" t="str">
        <f>IF($N148=Master!$N$37,MAX($S148,$AC148,$AI148),"")</f>
        <v/>
      </c>
      <c r="P148" s="65"/>
      <c r="Q148" s="203"/>
      <c r="R148" s="303"/>
      <c r="S148" s="203"/>
      <c r="T148" s="310"/>
      <c r="U148" s="304"/>
      <c r="V148" s="303"/>
      <c r="W148" s="306"/>
      <c r="X148" s="306"/>
      <c r="Y148" s="305"/>
      <c r="Z148" s="303"/>
      <c r="AA148" s="203"/>
      <c r="AB148" s="306"/>
      <c r="AC148" s="203"/>
      <c r="AD148" s="307"/>
      <c r="AE148" s="308"/>
      <c r="AF148" s="309"/>
      <c r="AG148" s="310"/>
      <c r="AH148" s="303"/>
      <c r="AI148" s="203"/>
      <c r="AJ148" s="311"/>
      <c r="AK148" s="451"/>
      <c r="AL148" s="59"/>
      <c r="AM148" s="60"/>
      <c r="AO148" s="137" t="e">
        <f t="shared" si="21"/>
        <v>#N/A</v>
      </c>
      <c r="AP148" s="138" t="e">
        <f t="shared" si="22"/>
        <v>#N/A</v>
      </c>
      <c r="AQ148" s="138" t="e">
        <f t="shared" si="23"/>
        <v>#N/A</v>
      </c>
      <c r="AR148" s="138" t="e">
        <f t="shared" si="24"/>
        <v>#N/A</v>
      </c>
      <c r="AS148" s="138" t="e">
        <f t="shared" si="25"/>
        <v>#N/A</v>
      </c>
      <c r="AT148" s="139" t="e">
        <f t="shared" si="26"/>
        <v>#N/A</v>
      </c>
      <c r="BB148" s="16" t="s">
        <v>596</v>
      </c>
    </row>
    <row r="149" spans="1:54" ht="102.75" customHeight="1">
      <c r="A149" s="428">
        <f t="shared" si="27"/>
        <v>141</v>
      </c>
      <c r="B149" s="294"/>
      <c r="C149" s="203"/>
      <c r="D149" s="301"/>
      <c r="E149" s="301"/>
      <c r="F149" s="301"/>
      <c r="G149" s="301"/>
      <c r="H149" s="302"/>
      <c r="I149" s="292"/>
      <c r="J149" s="61"/>
      <c r="K149" s="303"/>
      <c r="L149" s="303"/>
      <c r="M149" s="203"/>
      <c r="N149" s="84" t="str">
        <f>IF($AI149&lt;&gt;"",Master!$N$37,IF($AC149&lt;&gt;"",Master!$N$38,IF($S149&lt;&gt;"",Master!$N$39,IF($C149&lt;&gt;"",Master!$N$40,Master!$N$41))))</f>
        <v>起票</v>
      </c>
      <c r="O149" s="202" t="str">
        <f>IF($N149=Master!$N$37,MAX($S149,$AC149,$AI149),"")</f>
        <v/>
      </c>
      <c r="P149" s="65"/>
      <c r="Q149" s="203"/>
      <c r="R149" s="303"/>
      <c r="S149" s="203"/>
      <c r="T149" s="310"/>
      <c r="U149" s="304"/>
      <c r="V149" s="303"/>
      <c r="W149" s="306"/>
      <c r="X149" s="306"/>
      <c r="Y149" s="305"/>
      <c r="Z149" s="303"/>
      <c r="AA149" s="203"/>
      <c r="AB149" s="306"/>
      <c r="AC149" s="203"/>
      <c r="AD149" s="307"/>
      <c r="AE149" s="308"/>
      <c r="AF149" s="309"/>
      <c r="AG149" s="310"/>
      <c r="AH149" s="303"/>
      <c r="AI149" s="203"/>
      <c r="AJ149" s="311"/>
      <c r="AK149" s="451"/>
      <c r="AL149" s="59"/>
      <c r="AM149" s="60"/>
      <c r="AO149" s="137" t="e">
        <f t="shared" si="21"/>
        <v>#N/A</v>
      </c>
      <c r="AP149" s="138" t="e">
        <f t="shared" si="22"/>
        <v>#N/A</v>
      </c>
      <c r="AQ149" s="138" t="e">
        <f t="shared" si="23"/>
        <v>#N/A</v>
      </c>
      <c r="AR149" s="138" t="e">
        <f t="shared" si="24"/>
        <v>#N/A</v>
      </c>
      <c r="AS149" s="138" t="e">
        <f t="shared" si="25"/>
        <v>#N/A</v>
      </c>
      <c r="AT149" s="139" t="e">
        <f t="shared" si="26"/>
        <v>#N/A</v>
      </c>
      <c r="BB149" s="16" t="s">
        <v>596</v>
      </c>
    </row>
    <row r="150" spans="1:54" ht="102.75" customHeight="1">
      <c r="A150" s="428">
        <f t="shared" si="27"/>
        <v>142</v>
      </c>
      <c r="B150" s="294"/>
      <c r="C150" s="203"/>
      <c r="D150" s="301"/>
      <c r="E150" s="301"/>
      <c r="F150" s="301"/>
      <c r="G150" s="301"/>
      <c r="H150" s="302"/>
      <c r="I150" s="292"/>
      <c r="J150" s="61"/>
      <c r="K150" s="303"/>
      <c r="L150" s="303"/>
      <c r="M150" s="203"/>
      <c r="N150" s="84" t="str">
        <f>IF($AI150&lt;&gt;"",Master!$N$37,IF($AC150&lt;&gt;"",Master!$N$38,IF($S150&lt;&gt;"",Master!$N$39,IF($C150&lt;&gt;"",Master!$N$40,Master!$N$41))))</f>
        <v>起票</v>
      </c>
      <c r="O150" s="202" t="str">
        <f>IF($N150=Master!$N$37,MAX($S150,$AC150,$AI150),"")</f>
        <v/>
      </c>
      <c r="P150" s="65"/>
      <c r="Q150" s="203"/>
      <c r="R150" s="303"/>
      <c r="S150" s="203"/>
      <c r="T150" s="310"/>
      <c r="U150" s="304"/>
      <c r="V150" s="303"/>
      <c r="W150" s="306"/>
      <c r="X150" s="306"/>
      <c r="Y150" s="305"/>
      <c r="Z150" s="303"/>
      <c r="AA150" s="203"/>
      <c r="AB150" s="306"/>
      <c r="AC150" s="203"/>
      <c r="AD150" s="307"/>
      <c r="AE150" s="308"/>
      <c r="AF150" s="309"/>
      <c r="AG150" s="310"/>
      <c r="AH150" s="303"/>
      <c r="AI150" s="203"/>
      <c r="AJ150" s="311"/>
      <c r="AK150" s="451"/>
      <c r="AL150" s="59"/>
      <c r="AM150" s="60"/>
      <c r="AO150" s="137" t="e">
        <f t="shared" si="21"/>
        <v>#N/A</v>
      </c>
      <c r="AP150" s="138" t="e">
        <f t="shared" si="22"/>
        <v>#N/A</v>
      </c>
      <c r="AQ150" s="138" t="e">
        <f t="shared" si="23"/>
        <v>#N/A</v>
      </c>
      <c r="AR150" s="138" t="e">
        <f t="shared" si="24"/>
        <v>#N/A</v>
      </c>
      <c r="AS150" s="138" t="e">
        <f t="shared" si="25"/>
        <v>#N/A</v>
      </c>
      <c r="AT150" s="139" t="e">
        <f t="shared" si="26"/>
        <v>#N/A</v>
      </c>
      <c r="BB150" s="16" t="s">
        <v>596</v>
      </c>
    </row>
    <row r="151" spans="1:54" ht="102.75" customHeight="1">
      <c r="A151" s="428">
        <f t="shared" si="27"/>
        <v>143</v>
      </c>
      <c r="B151" s="294"/>
      <c r="C151" s="203"/>
      <c r="D151" s="301"/>
      <c r="E151" s="301"/>
      <c r="F151" s="301"/>
      <c r="G151" s="301"/>
      <c r="H151" s="302"/>
      <c r="I151" s="292"/>
      <c r="J151" s="61"/>
      <c r="K151" s="303"/>
      <c r="L151" s="303"/>
      <c r="M151" s="203"/>
      <c r="N151" s="84" t="str">
        <f>IF($AI151&lt;&gt;"",Master!$N$37,IF($AC151&lt;&gt;"",Master!$N$38,IF($S151&lt;&gt;"",Master!$N$39,IF($C151&lt;&gt;"",Master!$N$40,Master!$N$41))))</f>
        <v>起票</v>
      </c>
      <c r="O151" s="202" t="str">
        <f>IF($N151=Master!$N$37,MAX($S151,$AC151,$AI151),"")</f>
        <v/>
      </c>
      <c r="P151" s="65"/>
      <c r="Q151" s="203"/>
      <c r="R151" s="303"/>
      <c r="S151" s="203"/>
      <c r="T151" s="310"/>
      <c r="U151" s="304"/>
      <c r="V151" s="303"/>
      <c r="W151" s="306"/>
      <c r="X151" s="306"/>
      <c r="Y151" s="305"/>
      <c r="Z151" s="303"/>
      <c r="AA151" s="203"/>
      <c r="AB151" s="306"/>
      <c r="AC151" s="203"/>
      <c r="AD151" s="307"/>
      <c r="AE151" s="308"/>
      <c r="AF151" s="309"/>
      <c r="AG151" s="310"/>
      <c r="AH151" s="303"/>
      <c r="AI151" s="203"/>
      <c r="AJ151" s="311"/>
      <c r="AK151" s="451"/>
      <c r="AL151" s="59"/>
      <c r="AM151" s="60"/>
      <c r="AO151" s="137" t="e">
        <f t="shared" si="21"/>
        <v>#N/A</v>
      </c>
      <c r="AP151" s="138" t="e">
        <f t="shared" si="22"/>
        <v>#N/A</v>
      </c>
      <c r="AQ151" s="138" t="e">
        <f t="shared" si="23"/>
        <v>#N/A</v>
      </c>
      <c r="AR151" s="138" t="e">
        <f t="shared" si="24"/>
        <v>#N/A</v>
      </c>
      <c r="AS151" s="138" t="e">
        <f t="shared" si="25"/>
        <v>#N/A</v>
      </c>
      <c r="AT151" s="139" t="e">
        <f t="shared" si="26"/>
        <v>#N/A</v>
      </c>
      <c r="BB151" s="16" t="s">
        <v>596</v>
      </c>
    </row>
    <row r="152" spans="1:54" ht="102.75" customHeight="1">
      <c r="A152" s="428">
        <f t="shared" si="27"/>
        <v>144</v>
      </c>
      <c r="B152" s="294"/>
      <c r="C152" s="203"/>
      <c r="D152" s="301"/>
      <c r="E152" s="301"/>
      <c r="F152" s="301"/>
      <c r="G152" s="301"/>
      <c r="H152" s="302"/>
      <c r="I152" s="292"/>
      <c r="J152" s="61"/>
      <c r="K152" s="303"/>
      <c r="L152" s="303"/>
      <c r="M152" s="203"/>
      <c r="N152" s="84" t="str">
        <f>IF($AI152&lt;&gt;"",Master!$N$37,IF($AC152&lt;&gt;"",Master!$N$38,IF($S152&lt;&gt;"",Master!$N$39,IF($C152&lt;&gt;"",Master!$N$40,Master!$N$41))))</f>
        <v>起票</v>
      </c>
      <c r="O152" s="202" t="str">
        <f>IF($N152=Master!$N$37,MAX($S152,$AC152,$AI152),"")</f>
        <v/>
      </c>
      <c r="P152" s="65"/>
      <c r="Q152" s="203"/>
      <c r="R152" s="303"/>
      <c r="S152" s="203"/>
      <c r="T152" s="310"/>
      <c r="U152" s="304"/>
      <c r="V152" s="303"/>
      <c r="W152" s="306"/>
      <c r="X152" s="306"/>
      <c r="Y152" s="305"/>
      <c r="Z152" s="303"/>
      <c r="AA152" s="203"/>
      <c r="AB152" s="306"/>
      <c r="AC152" s="203"/>
      <c r="AD152" s="307"/>
      <c r="AE152" s="308"/>
      <c r="AF152" s="309"/>
      <c r="AG152" s="310"/>
      <c r="AH152" s="303"/>
      <c r="AI152" s="203"/>
      <c r="AJ152" s="311"/>
      <c r="AK152" s="451"/>
      <c r="AL152" s="59"/>
      <c r="AM152" s="60"/>
      <c r="AO152" s="137" t="e">
        <f t="shared" si="21"/>
        <v>#N/A</v>
      </c>
      <c r="AP152" s="138" t="e">
        <f t="shared" si="22"/>
        <v>#N/A</v>
      </c>
      <c r="AQ152" s="138" t="e">
        <f t="shared" si="23"/>
        <v>#N/A</v>
      </c>
      <c r="AR152" s="138" t="e">
        <f t="shared" si="24"/>
        <v>#N/A</v>
      </c>
      <c r="AS152" s="138" t="e">
        <f t="shared" si="25"/>
        <v>#N/A</v>
      </c>
      <c r="AT152" s="139" t="e">
        <f t="shared" si="26"/>
        <v>#N/A</v>
      </c>
      <c r="BB152" s="16" t="s">
        <v>596</v>
      </c>
    </row>
    <row r="153" spans="1:54" ht="102.75" customHeight="1">
      <c r="A153" s="428">
        <f t="shared" si="27"/>
        <v>145</v>
      </c>
      <c r="B153" s="294"/>
      <c r="C153" s="203"/>
      <c r="D153" s="301"/>
      <c r="E153" s="301"/>
      <c r="F153" s="301"/>
      <c r="G153" s="301"/>
      <c r="H153" s="302"/>
      <c r="I153" s="292"/>
      <c r="J153" s="61"/>
      <c r="K153" s="303"/>
      <c r="L153" s="303"/>
      <c r="M153" s="203"/>
      <c r="N153" s="84" t="str">
        <f>IF($AI153&lt;&gt;"",Master!$N$37,IF($AC153&lt;&gt;"",Master!$N$38,IF($S153&lt;&gt;"",Master!$N$39,IF($C153&lt;&gt;"",Master!$N$40,Master!$N$41))))</f>
        <v>起票</v>
      </c>
      <c r="O153" s="202" t="str">
        <f>IF($N153=Master!$N$37,MAX($S153,$AC153,$AI153),"")</f>
        <v/>
      </c>
      <c r="P153" s="65"/>
      <c r="Q153" s="203"/>
      <c r="R153" s="303"/>
      <c r="S153" s="203"/>
      <c r="T153" s="310"/>
      <c r="U153" s="304"/>
      <c r="V153" s="303"/>
      <c r="W153" s="306"/>
      <c r="X153" s="306"/>
      <c r="Y153" s="305"/>
      <c r="Z153" s="303"/>
      <c r="AA153" s="203"/>
      <c r="AB153" s="306"/>
      <c r="AC153" s="203"/>
      <c r="AD153" s="307"/>
      <c r="AE153" s="308"/>
      <c r="AF153" s="309"/>
      <c r="AG153" s="310"/>
      <c r="AH153" s="303"/>
      <c r="AI153" s="203"/>
      <c r="AJ153" s="311"/>
      <c r="AK153" s="451"/>
      <c r="AL153" s="59"/>
      <c r="AM153" s="60"/>
      <c r="AO153" s="137" t="e">
        <f t="shared" si="21"/>
        <v>#N/A</v>
      </c>
      <c r="AP153" s="138" t="e">
        <f t="shared" si="22"/>
        <v>#N/A</v>
      </c>
      <c r="AQ153" s="138" t="e">
        <f t="shared" si="23"/>
        <v>#N/A</v>
      </c>
      <c r="AR153" s="138" t="e">
        <f t="shared" si="24"/>
        <v>#N/A</v>
      </c>
      <c r="AS153" s="138" t="e">
        <f t="shared" si="25"/>
        <v>#N/A</v>
      </c>
      <c r="AT153" s="139" t="e">
        <f t="shared" si="26"/>
        <v>#N/A</v>
      </c>
      <c r="BB153" s="16" t="s">
        <v>596</v>
      </c>
    </row>
    <row r="154" spans="1:54" ht="102.75" customHeight="1">
      <c r="A154" s="428">
        <f t="shared" si="27"/>
        <v>146</v>
      </c>
      <c r="B154" s="294"/>
      <c r="C154" s="203"/>
      <c r="D154" s="301"/>
      <c r="E154" s="301"/>
      <c r="F154" s="301"/>
      <c r="G154" s="301"/>
      <c r="H154" s="302"/>
      <c r="I154" s="292"/>
      <c r="J154" s="61"/>
      <c r="K154" s="303"/>
      <c r="L154" s="303"/>
      <c r="M154" s="203"/>
      <c r="N154" s="84" t="str">
        <f>IF($AI154&lt;&gt;"",Master!$N$37,IF($AC154&lt;&gt;"",Master!$N$38,IF($S154&lt;&gt;"",Master!$N$39,IF($C154&lt;&gt;"",Master!$N$40,Master!$N$41))))</f>
        <v>起票</v>
      </c>
      <c r="O154" s="202" t="str">
        <f>IF($N154=Master!$N$37,MAX($S154,$AC154,$AI154),"")</f>
        <v/>
      </c>
      <c r="P154" s="65"/>
      <c r="Q154" s="203"/>
      <c r="R154" s="303"/>
      <c r="S154" s="203"/>
      <c r="T154" s="310"/>
      <c r="U154" s="304"/>
      <c r="V154" s="303"/>
      <c r="W154" s="306"/>
      <c r="X154" s="306"/>
      <c r="Y154" s="305"/>
      <c r="Z154" s="303"/>
      <c r="AA154" s="203"/>
      <c r="AB154" s="306"/>
      <c r="AC154" s="203"/>
      <c r="AD154" s="307"/>
      <c r="AE154" s="308"/>
      <c r="AF154" s="309"/>
      <c r="AG154" s="310"/>
      <c r="AH154" s="303"/>
      <c r="AI154" s="203"/>
      <c r="AJ154" s="311"/>
      <c r="AK154" s="451"/>
      <c r="AL154" s="59"/>
      <c r="AM154" s="60"/>
      <c r="AO154" s="137" t="e">
        <f t="shared" si="21"/>
        <v>#N/A</v>
      </c>
      <c r="AP154" s="138" t="e">
        <f t="shared" si="22"/>
        <v>#N/A</v>
      </c>
      <c r="AQ154" s="138" t="e">
        <f t="shared" si="23"/>
        <v>#N/A</v>
      </c>
      <c r="AR154" s="138" t="e">
        <f t="shared" si="24"/>
        <v>#N/A</v>
      </c>
      <c r="AS154" s="138" t="e">
        <f t="shared" si="25"/>
        <v>#N/A</v>
      </c>
      <c r="AT154" s="139" t="e">
        <f t="shared" si="26"/>
        <v>#N/A</v>
      </c>
      <c r="BB154" s="16" t="s">
        <v>596</v>
      </c>
    </row>
    <row r="155" spans="1:54" ht="102.75" customHeight="1">
      <c r="A155" s="428">
        <f t="shared" si="27"/>
        <v>147</v>
      </c>
      <c r="B155" s="294"/>
      <c r="C155" s="203"/>
      <c r="D155" s="301"/>
      <c r="E155" s="301"/>
      <c r="F155" s="301"/>
      <c r="G155" s="301"/>
      <c r="H155" s="302"/>
      <c r="I155" s="292"/>
      <c r="J155" s="61"/>
      <c r="K155" s="303"/>
      <c r="L155" s="303"/>
      <c r="M155" s="203"/>
      <c r="N155" s="84" t="str">
        <f>IF($AI155&lt;&gt;"",Master!$N$37,IF($AC155&lt;&gt;"",Master!$N$38,IF($S155&lt;&gt;"",Master!$N$39,IF($C155&lt;&gt;"",Master!$N$40,Master!$N$41))))</f>
        <v>起票</v>
      </c>
      <c r="O155" s="202" t="str">
        <f>IF($N155=Master!$N$37,MAX($S155,$AC155,$AI155),"")</f>
        <v/>
      </c>
      <c r="P155" s="65"/>
      <c r="Q155" s="203"/>
      <c r="R155" s="303"/>
      <c r="S155" s="203"/>
      <c r="T155" s="310"/>
      <c r="U155" s="304"/>
      <c r="V155" s="303"/>
      <c r="W155" s="306"/>
      <c r="X155" s="306"/>
      <c r="Y155" s="305"/>
      <c r="Z155" s="303"/>
      <c r="AA155" s="203"/>
      <c r="AB155" s="306"/>
      <c r="AC155" s="203"/>
      <c r="AD155" s="307"/>
      <c r="AE155" s="308"/>
      <c r="AF155" s="309"/>
      <c r="AG155" s="310"/>
      <c r="AH155" s="303"/>
      <c r="AI155" s="203"/>
      <c r="AJ155" s="311"/>
      <c r="AK155" s="451"/>
      <c r="AL155" s="59"/>
      <c r="AM155" s="60"/>
      <c r="AO155" s="137" t="e">
        <f t="shared" si="21"/>
        <v>#N/A</v>
      </c>
      <c r="AP155" s="138" t="e">
        <f t="shared" si="22"/>
        <v>#N/A</v>
      </c>
      <c r="AQ155" s="138" t="e">
        <f t="shared" si="23"/>
        <v>#N/A</v>
      </c>
      <c r="AR155" s="138" t="e">
        <f t="shared" si="24"/>
        <v>#N/A</v>
      </c>
      <c r="AS155" s="138" t="e">
        <f t="shared" si="25"/>
        <v>#N/A</v>
      </c>
      <c r="AT155" s="139" t="e">
        <f t="shared" si="26"/>
        <v>#N/A</v>
      </c>
      <c r="BB155" s="16" t="s">
        <v>596</v>
      </c>
    </row>
    <row r="156" spans="1:54" ht="102.75" customHeight="1">
      <c r="A156" s="428">
        <f t="shared" si="27"/>
        <v>148</v>
      </c>
      <c r="B156" s="294"/>
      <c r="C156" s="203"/>
      <c r="D156" s="301"/>
      <c r="E156" s="301"/>
      <c r="F156" s="301"/>
      <c r="G156" s="301"/>
      <c r="H156" s="302"/>
      <c r="I156" s="292"/>
      <c r="J156" s="61"/>
      <c r="K156" s="303"/>
      <c r="L156" s="303"/>
      <c r="M156" s="203"/>
      <c r="N156" s="84" t="str">
        <f>IF($AI156&lt;&gt;"",Master!$N$37,IF($AC156&lt;&gt;"",Master!$N$38,IF($S156&lt;&gt;"",Master!$N$39,IF($C156&lt;&gt;"",Master!$N$40,Master!$N$41))))</f>
        <v>起票</v>
      </c>
      <c r="O156" s="202" t="str">
        <f>IF($N156=Master!$N$37,MAX($S156,$AC156,$AI156),"")</f>
        <v/>
      </c>
      <c r="P156" s="65"/>
      <c r="Q156" s="203"/>
      <c r="R156" s="303"/>
      <c r="S156" s="203"/>
      <c r="T156" s="310"/>
      <c r="U156" s="304"/>
      <c r="V156" s="303"/>
      <c r="W156" s="306"/>
      <c r="X156" s="306"/>
      <c r="Y156" s="305"/>
      <c r="Z156" s="303"/>
      <c r="AA156" s="203"/>
      <c r="AB156" s="306"/>
      <c r="AC156" s="203"/>
      <c r="AD156" s="307"/>
      <c r="AE156" s="308"/>
      <c r="AF156" s="309"/>
      <c r="AG156" s="310"/>
      <c r="AH156" s="303"/>
      <c r="AI156" s="203"/>
      <c r="AJ156" s="311"/>
      <c r="AK156" s="451"/>
      <c r="AL156" s="59"/>
      <c r="AM156" s="60"/>
      <c r="AO156" s="137" t="e">
        <f t="shared" si="21"/>
        <v>#N/A</v>
      </c>
      <c r="AP156" s="138" t="e">
        <f t="shared" si="22"/>
        <v>#N/A</v>
      </c>
      <c r="AQ156" s="138" t="e">
        <f t="shared" si="23"/>
        <v>#N/A</v>
      </c>
      <c r="AR156" s="138" t="e">
        <f t="shared" si="24"/>
        <v>#N/A</v>
      </c>
      <c r="AS156" s="138" t="e">
        <f t="shared" si="25"/>
        <v>#N/A</v>
      </c>
      <c r="AT156" s="139" t="e">
        <f t="shared" si="26"/>
        <v>#N/A</v>
      </c>
      <c r="BB156" s="16" t="s">
        <v>596</v>
      </c>
    </row>
    <row r="157" spans="1:54" ht="102.75" customHeight="1">
      <c r="A157" s="428">
        <f t="shared" si="27"/>
        <v>149</v>
      </c>
      <c r="B157" s="294"/>
      <c r="C157" s="203"/>
      <c r="D157" s="301"/>
      <c r="E157" s="301"/>
      <c r="F157" s="301"/>
      <c r="G157" s="301"/>
      <c r="H157" s="302"/>
      <c r="I157" s="292"/>
      <c r="J157" s="61"/>
      <c r="K157" s="303"/>
      <c r="L157" s="303"/>
      <c r="M157" s="203"/>
      <c r="N157" s="84" t="str">
        <f>IF($AI157&lt;&gt;"",Master!$N$37,IF($AC157&lt;&gt;"",Master!$N$38,IF($S157&lt;&gt;"",Master!$N$39,IF($C157&lt;&gt;"",Master!$N$40,Master!$N$41))))</f>
        <v>起票</v>
      </c>
      <c r="O157" s="202" t="str">
        <f>IF($N157=Master!$N$37,MAX($S157,$AC157,$AI157),"")</f>
        <v/>
      </c>
      <c r="P157" s="65"/>
      <c r="Q157" s="203"/>
      <c r="R157" s="303"/>
      <c r="S157" s="203"/>
      <c r="T157" s="310"/>
      <c r="U157" s="304"/>
      <c r="V157" s="303"/>
      <c r="W157" s="306"/>
      <c r="X157" s="306"/>
      <c r="Y157" s="305"/>
      <c r="Z157" s="303"/>
      <c r="AA157" s="203"/>
      <c r="AB157" s="306"/>
      <c r="AC157" s="203"/>
      <c r="AD157" s="307"/>
      <c r="AE157" s="308"/>
      <c r="AF157" s="309"/>
      <c r="AG157" s="310"/>
      <c r="AH157" s="303"/>
      <c r="AI157" s="203"/>
      <c r="AJ157" s="311"/>
      <c r="AK157" s="451"/>
      <c r="AL157" s="59"/>
      <c r="AM157" s="60"/>
      <c r="AO157" s="137" t="e">
        <f t="shared" si="21"/>
        <v>#N/A</v>
      </c>
      <c r="AP157" s="138" t="e">
        <f t="shared" si="22"/>
        <v>#N/A</v>
      </c>
      <c r="AQ157" s="138" t="e">
        <f t="shared" si="23"/>
        <v>#N/A</v>
      </c>
      <c r="AR157" s="138" t="e">
        <f t="shared" si="24"/>
        <v>#N/A</v>
      </c>
      <c r="AS157" s="138" t="e">
        <f t="shared" si="25"/>
        <v>#N/A</v>
      </c>
      <c r="AT157" s="139" t="e">
        <f t="shared" si="26"/>
        <v>#N/A</v>
      </c>
      <c r="BB157" s="16" t="s">
        <v>596</v>
      </c>
    </row>
    <row r="158" spans="1:54" ht="102.75" customHeight="1">
      <c r="A158" s="428">
        <f t="shared" si="27"/>
        <v>150</v>
      </c>
      <c r="B158" s="294"/>
      <c r="C158" s="203"/>
      <c r="D158" s="301"/>
      <c r="E158" s="301"/>
      <c r="F158" s="301"/>
      <c r="G158" s="301"/>
      <c r="H158" s="302"/>
      <c r="I158" s="292"/>
      <c r="J158" s="61"/>
      <c r="K158" s="303"/>
      <c r="L158" s="303"/>
      <c r="M158" s="203"/>
      <c r="N158" s="84" t="str">
        <f>IF($AI158&lt;&gt;"",Master!$N$37,IF($AC158&lt;&gt;"",Master!$N$38,IF($S158&lt;&gt;"",Master!$N$39,IF($C158&lt;&gt;"",Master!$N$40,Master!$N$41))))</f>
        <v>起票</v>
      </c>
      <c r="O158" s="202" t="str">
        <f>IF($N158=Master!$N$37,MAX($S158,$AC158,$AI158),"")</f>
        <v/>
      </c>
      <c r="P158" s="65"/>
      <c r="Q158" s="203"/>
      <c r="R158" s="303"/>
      <c r="S158" s="203"/>
      <c r="T158" s="310"/>
      <c r="U158" s="304"/>
      <c r="V158" s="303"/>
      <c r="W158" s="306"/>
      <c r="X158" s="306"/>
      <c r="Y158" s="305"/>
      <c r="Z158" s="303"/>
      <c r="AA158" s="203"/>
      <c r="AB158" s="306"/>
      <c r="AC158" s="203"/>
      <c r="AD158" s="307"/>
      <c r="AE158" s="308"/>
      <c r="AF158" s="309"/>
      <c r="AG158" s="310"/>
      <c r="AH158" s="303"/>
      <c r="AI158" s="203"/>
      <c r="AJ158" s="311"/>
      <c r="AK158" s="451"/>
      <c r="AL158" s="59"/>
      <c r="AM158" s="60"/>
      <c r="AO158" s="137" t="e">
        <f t="shared" si="21"/>
        <v>#N/A</v>
      </c>
      <c r="AP158" s="138" t="e">
        <f t="shared" si="22"/>
        <v>#N/A</v>
      </c>
      <c r="AQ158" s="138" t="e">
        <f t="shared" si="23"/>
        <v>#N/A</v>
      </c>
      <c r="AR158" s="138" t="e">
        <f t="shared" si="24"/>
        <v>#N/A</v>
      </c>
      <c r="AS158" s="138" t="e">
        <f t="shared" si="25"/>
        <v>#N/A</v>
      </c>
      <c r="AT158" s="139" t="e">
        <f t="shared" si="26"/>
        <v>#N/A</v>
      </c>
      <c r="BB158" s="16" t="s">
        <v>596</v>
      </c>
    </row>
    <row r="159" spans="1:54" ht="102.75" customHeight="1">
      <c r="A159" s="428">
        <f t="shared" si="27"/>
        <v>151</v>
      </c>
      <c r="B159" s="294"/>
      <c r="C159" s="203"/>
      <c r="D159" s="301"/>
      <c r="E159" s="301"/>
      <c r="F159" s="301"/>
      <c r="G159" s="301"/>
      <c r="H159" s="302"/>
      <c r="I159" s="292"/>
      <c r="J159" s="61"/>
      <c r="K159" s="303"/>
      <c r="L159" s="303"/>
      <c r="M159" s="203"/>
      <c r="N159" s="84" t="str">
        <f>IF($AI159&lt;&gt;"",Master!$N$37,IF($AC159&lt;&gt;"",Master!$N$38,IF($S159&lt;&gt;"",Master!$N$39,IF($C159&lt;&gt;"",Master!$N$40,Master!$N$41))))</f>
        <v>起票</v>
      </c>
      <c r="O159" s="202" t="str">
        <f>IF($N159=Master!$N$37,MAX($S159,$AC159,$AI159),"")</f>
        <v/>
      </c>
      <c r="P159" s="65"/>
      <c r="Q159" s="203"/>
      <c r="R159" s="303"/>
      <c r="S159" s="203"/>
      <c r="T159" s="310"/>
      <c r="U159" s="304"/>
      <c r="V159" s="303"/>
      <c r="W159" s="306"/>
      <c r="X159" s="306"/>
      <c r="Y159" s="305"/>
      <c r="Z159" s="303"/>
      <c r="AA159" s="203"/>
      <c r="AB159" s="306"/>
      <c r="AC159" s="203"/>
      <c r="AD159" s="307"/>
      <c r="AE159" s="308"/>
      <c r="AF159" s="309"/>
      <c r="AG159" s="310"/>
      <c r="AH159" s="303"/>
      <c r="AI159" s="203"/>
      <c r="AJ159" s="311"/>
      <c r="AK159" s="451"/>
      <c r="AL159" s="59"/>
      <c r="AM159" s="60"/>
      <c r="AO159" s="137" t="e">
        <f t="shared" si="21"/>
        <v>#N/A</v>
      </c>
      <c r="AP159" s="138" t="e">
        <f t="shared" si="22"/>
        <v>#N/A</v>
      </c>
      <c r="AQ159" s="138" t="e">
        <f t="shared" si="23"/>
        <v>#N/A</v>
      </c>
      <c r="AR159" s="138" t="e">
        <f t="shared" si="24"/>
        <v>#N/A</v>
      </c>
      <c r="AS159" s="138" t="e">
        <f t="shared" si="25"/>
        <v>#N/A</v>
      </c>
      <c r="AT159" s="139" t="e">
        <f t="shared" si="26"/>
        <v>#N/A</v>
      </c>
      <c r="BB159" s="16" t="s">
        <v>596</v>
      </c>
    </row>
    <row r="160" spans="1:54" ht="102.75" customHeight="1">
      <c r="A160" s="428">
        <f t="shared" si="27"/>
        <v>152</v>
      </c>
      <c r="B160" s="294"/>
      <c r="C160" s="203"/>
      <c r="D160" s="301"/>
      <c r="E160" s="301"/>
      <c r="F160" s="301"/>
      <c r="G160" s="301"/>
      <c r="H160" s="302"/>
      <c r="I160" s="292"/>
      <c r="J160" s="61"/>
      <c r="K160" s="303"/>
      <c r="L160" s="303"/>
      <c r="M160" s="203"/>
      <c r="N160" s="84" t="str">
        <f>IF($AI160&lt;&gt;"",Master!$N$37,IF($AC160&lt;&gt;"",Master!$N$38,IF($S160&lt;&gt;"",Master!$N$39,IF($C160&lt;&gt;"",Master!$N$40,Master!$N$41))))</f>
        <v>起票</v>
      </c>
      <c r="O160" s="202" t="str">
        <f>IF($N160=Master!$N$37,MAX($S160,$AC160,$AI160),"")</f>
        <v/>
      </c>
      <c r="P160" s="65"/>
      <c r="Q160" s="203"/>
      <c r="R160" s="303"/>
      <c r="S160" s="203"/>
      <c r="T160" s="310"/>
      <c r="U160" s="304"/>
      <c r="V160" s="303"/>
      <c r="W160" s="306"/>
      <c r="X160" s="306"/>
      <c r="Y160" s="305"/>
      <c r="Z160" s="303"/>
      <c r="AA160" s="203"/>
      <c r="AB160" s="306"/>
      <c r="AC160" s="203"/>
      <c r="AD160" s="307"/>
      <c r="AE160" s="308"/>
      <c r="AF160" s="309"/>
      <c r="AG160" s="310"/>
      <c r="AH160" s="303"/>
      <c r="AI160" s="203"/>
      <c r="AJ160" s="311"/>
      <c r="AK160" s="451"/>
      <c r="AL160" s="59"/>
      <c r="AM160" s="60"/>
      <c r="AO160" s="137" t="e">
        <f t="shared" si="21"/>
        <v>#N/A</v>
      </c>
      <c r="AP160" s="138" t="e">
        <f t="shared" si="22"/>
        <v>#N/A</v>
      </c>
      <c r="AQ160" s="138" t="e">
        <f t="shared" si="23"/>
        <v>#N/A</v>
      </c>
      <c r="AR160" s="138" t="e">
        <f t="shared" si="24"/>
        <v>#N/A</v>
      </c>
      <c r="AS160" s="138" t="e">
        <f t="shared" si="25"/>
        <v>#N/A</v>
      </c>
      <c r="AT160" s="139" t="e">
        <f t="shared" si="26"/>
        <v>#N/A</v>
      </c>
      <c r="BB160" s="16" t="s">
        <v>596</v>
      </c>
    </row>
    <row r="161" spans="1:54" ht="102.75" customHeight="1">
      <c r="A161" s="428">
        <f t="shared" si="27"/>
        <v>153</v>
      </c>
      <c r="B161" s="294"/>
      <c r="C161" s="203"/>
      <c r="D161" s="301"/>
      <c r="E161" s="301"/>
      <c r="F161" s="301"/>
      <c r="G161" s="301"/>
      <c r="H161" s="302"/>
      <c r="I161" s="292"/>
      <c r="J161" s="61"/>
      <c r="K161" s="303"/>
      <c r="L161" s="303"/>
      <c r="M161" s="203"/>
      <c r="N161" s="84" t="str">
        <f>IF($AI161&lt;&gt;"",Master!$N$37,IF($AC161&lt;&gt;"",Master!$N$38,IF($S161&lt;&gt;"",Master!$N$39,IF($C161&lt;&gt;"",Master!$N$40,Master!$N$41))))</f>
        <v>起票</v>
      </c>
      <c r="O161" s="202" t="str">
        <f>IF($N161=Master!$N$37,MAX($S161,$AC161,$AI161),"")</f>
        <v/>
      </c>
      <c r="P161" s="65"/>
      <c r="Q161" s="203"/>
      <c r="R161" s="303"/>
      <c r="S161" s="203"/>
      <c r="T161" s="310"/>
      <c r="U161" s="304"/>
      <c r="V161" s="303"/>
      <c r="W161" s="306"/>
      <c r="X161" s="306"/>
      <c r="Y161" s="305"/>
      <c r="Z161" s="303"/>
      <c r="AA161" s="203"/>
      <c r="AB161" s="306"/>
      <c r="AC161" s="203"/>
      <c r="AD161" s="307"/>
      <c r="AE161" s="308"/>
      <c r="AF161" s="309"/>
      <c r="AG161" s="310"/>
      <c r="AH161" s="303"/>
      <c r="AI161" s="203"/>
      <c r="AJ161" s="311"/>
      <c r="AK161" s="451"/>
      <c r="AL161" s="59"/>
      <c r="AM161" s="60"/>
      <c r="AO161" s="137" t="e">
        <f t="shared" si="21"/>
        <v>#N/A</v>
      </c>
      <c r="AP161" s="138" t="e">
        <f t="shared" si="22"/>
        <v>#N/A</v>
      </c>
      <c r="AQ161" s="138" t="e">
        <f t="shared" si="23"/>
        <v>#N/A</v>
      </c>
      <c r="AR161" s="138" t="e">
        <f t="shared" si="24"/>
        <v>#N/A</v>
      </c>
      <c r="AS161" s="138" t="e">
        <f t="shared" si="25"/>
        <v>#N/A</v>
      </c>
      <c r="AT161" s="139" t="e">
        <f t="shared" si="26"/>
        <v>#N/A</v>
      </c>
      <c r="BB161" s="16" t="s">
        <v>596</v>
      </c>
    </row>
    <row r="162" spans="1:54" ht="102.75" customHeight="1">
      <c r="A162" s="428">
        <f t="shared" si="27"/>
        <v>154</v>
      </c>
      <c r="B162" s="294"/>
      <c r="C162" s="203"/>
      <c r="D162" s="301"/>
      <c r="E162" s="301"/>
      <c r="F162" s="301"/>
      <c r="G162" s="301"/>
      <c r="H162" s="302"/>
      <c r="I162" s="292"/>
      <c r="J162" s="61"/>
      <c r="K162" s="303"/>
      <c r="L162" s="303"/>
      <c r="M162" s="203"/>
      <c r="N162" s="84" t="str">
        <f>IF($AI162&lt;&gt;"",Master!$N$37,IF($AC162&lt;&gt;"",Master!$N$38,IF($S162&lt;&gt;"",Master!$N$39,IF($C162&lt;&gt;"",Master!$N$40,Master!$N$41))))</f>
        <v>起票</v>
      </c>
      <c r="O162" s="202" t="str">
        <f>IF($N162=Master!$N$37,MAX($S162,$AC162,$AI162),"")</f>
        <v/>
      </c>
      <c r="P162" s="65"/>
      <c r="Q162" s="203"/>
      <c r="R162" s="303"/>
      <c r="S162" s="203"/>
      <c r="T162" s="310"/>
      <c r="U162" s="304"/>
      <c r="V162" s="303"/>
      <c r="W162" s="306"/>
      <c r="X162" s="306"/>
      <c r="Y162" s="305"/>
      <c r="Z162" s="303"/>
      <c r="AA162" s="203"/>
      <c r="AB162" s="306"/>
      <c r="AC162" s="203"/>
      <c r="AD162" s="307"/>
      <c r="AE162" s="308"/>
      <c r="AF162" s="309"/>
      <c r="AG162" s="310"/>
      <c r="AH162" s="303"/>
      <c r="AI162" s="203"/>
      <c r="AJ162" s="311"/>
      <c r="AK162" s="451"/>
      <c r="AL162" s="59"/>
      <c r="AM162" s="60"/>
      <c r="AO162" s="137" t="e">
        <f t="shared" si="21"/>
        <v>#N/A</v>
      </c>
      <c r="AP162" s="138" t="e">
        <f t="shared" si="22"/>
        <v>#N/A</v>
      </c>
      <c r="AQ162" s="138" t="e">
        <f t="shared" si="23"/>
        <v>#N/A</v>
      </c>
      <c r="AR162" s="138" t="e">
        <f t="shared" si="24"/>
        <v>#N/A</v>
      </c>
      <c r="AS162" s="138" t="e">
        <f t="shared" si="25"/>
        <v>#N/A</v>
      </c>
      <c r="AT162" s="139" t="e">
        <f t="shared" si="26"/>
        <v>#N/A</v>
      </c>
      <c r="BB162" s="16" t="s">
        <v>596</v>
      </c>
    </row>
    <row r="163" spans="1:54" ht="102.75" customHeight="1">
      <c r="A163" s="428">
        <f t="shared" si="27"/>
        <v>155</v>
      </c>
      <c r="B163" s="294"/>
      <c r="C163" s="203"/>
      <c r="D163" s="301"/>
      <c r="E163" s="301"/>
      <c r="F163" s="301"/>
      <c r="G163" s="301"/>
      <c r="H163" s="302"/>
      <c r="I163" s="292"/>
      <c r="J163" s="61"/>
      <c r="K163" s="303"/>
      <c r="L163" s="303"/>
      <c r="M163" s="203"/>
      <c r="N163" s="84" t="str">
        <f>IF($AI163&lt;&gt;"",Master!$N$37,IF($AC163&lt;&gt;"",Master!$N$38,IF($S163&lt;&gt;"",Master!$N$39,IF($C163&lt;&gt;"",Master!$N$40,Master!$N$41))))</f>
        <v>起票</v>
      </c>
      <c r="O163" s="202" t="str">
        <f>IF($N163=Master!$N$37,MAX($S163,$AC163,$AI163),"")</f>
        <v/>
      </c>
      <c r="P163" s="65"/>
      <c r="Q163" s="203"/>
      <c r="R163" s="303"/>
      <c r="S163" s="203"/>
      <c r="T163" s="310"/>
      <c r="U163" s="304"/>
      <c r="V163" s="303"/>
      <c r="W163" s="306"/>
      <c r="X163" s="306"/>
      <c r="Y163" s="305"/>
      <c r="Z163" s="303"/>
      <c r="AA163" s="203"/>
      <c r="AB163" s="306"/>
      <c r="AC163" s="203"/>
      <c r="AD163" s="307"/>
      <c r="AE163" s="308"/>
      <c r="AF163" s="309"/>
      <c r="AG163" s="310"/>
      <c r="AH163" s="303"/>
      <c r="AI163" s="203"/>
      <c r="AJ163" s="311"/>
      <c r="AK163" s="451"/>
      <c r="AL163" s="59"/>
      <c r="AM163" s="60"/>
      <c r="AO163" s="137" t="e">
        <f t="shared" si="21"/>
        <v>#N/A</v>
      </c>
      <c r="AP163" s="138" t="e">
        <f t="shared" si="22"/>
        <v>#N/A</v>
      </c>
      <c r="AQ163" s="138" t="e">
        <f t="shared" si="23"/>
        <v>#N/A</v>
      </c>
      <c r="AR163" s="138" t="e">
        <f t="shared" si="24"/>
        <v>#N/A</v>
      </c>
      <c r="AS163" s="138" t="e">
        <f t="shared" si="25"/>
        <v>#N/A</v>
      </c>
      <c r="AT163" s="139" t="e">
        <f t="shared" si="26"/>
        <v>#N/A</v>
      </c>
      <c r="BB163" s="16" t="s">
        <v>596</v>
      </c>
    </row>
    <row r="164" spans="1:54" ht="102.75" customHeight="1">
      <c r="A164" s="428">
        <f t="shared" si="27"/>
        <v>156</v>
      </c>
      <c r="B164" s="294"/>
      <c r="C164" s="203"/>
      <c r="D164" s="301"/>
      <c r="E164" s="301"/>
      <c r="F164" s="301"/>
      <c r="G164" s="301"/>
      <c r="H164" s="302"/>
      <c r="I164" s="292"/>
      <c r="J164" s="61"/>
      <c r="K164" s="303"/>
      <c r="L164" s="303"/>
      <c r="M164" s="203"/>
      <c r="N164" s="84" t="str">
        <f>IF($AI164&lt;&gt;"",Master!$N$37,IF($AC164&lt;&gt;"",Master!$N$38,IF($S164&lt;&gt;"",Master!$N$39,IF($C164&lt;&gt;"",Master!$N$40,Master!$N$41))))</f>
        <v>起票</v>
      </c>
      <c r="O164" s="202" t="str">
        <f>IF($N164=Master!$N$37,MAX($S164,$AC164,$AI164),"")</f>
        <v/>
      </c>
      <c r="P164" s="65"/>
      <c r="Q164" s="203"/>
      <c r="R164" s="303"/>
      <c r="S164" s="203"/>
      <c r="T164" s="310"/>
      <c r="U164" s="304"/>
      <c r="V164" s="303"/>
      <c r="W164" s="306"/>
      <c r="X164" s="306"/>
      <c r="Y164" s="305"/>
      <c r="Z164" s="303"/>
      <c r="AA164" s="203"/>
      <c r="AB164" s="306"/>
      <c r="AC164" s="203"/>
      <c r="AD164" s="307"/>
      <c r="AE164" s="308"/>
      <c r="AF164" s="309"/>
      <c r="AG164" s="310"/>
      <c r="AH164" s="303"/>
      <c r="AI164" s="203"/>
      <c r="AJ164" s="311"/>
      <c r="AK164" s="451"/>
      <c r="AL164" s="59"/>
      <c r="AM164" s="60"/>
      <c r="AO164" s="137" t="e">
        <f t="shared" si="21"/>
        <v>#N/A</v>
      </c>
      <c r="AP164" s="138" t="e">
        <f t="shared" si="22"/>
        <v>#N/A</v>
      </c>
      <c r="AQ164" s="138" t="e">
        <f t="shared" si="23"/>
        <v>#N/A</v>
      </c>
      <c r="AR164" s="138" t="e">
        <f t="shared" si="24"/>
        <v>#N/A</v>
      </c>
      <c r="AS164" s="138" t="e">
        <f t="shared" si="25"/>
        <v>#N/A</v>
      </c>
      <c r="AT164" s="139" t="e">
        <f t="shared" si="26"/>
        <v>#N/A</v>
      </c>
      <c r="BB164" s="16" t="s">
        <v>596</v>
      </c>
    </row>
    <row r="165" spans="1:54" ht="102.75" customHeight="1">
      <c r="A165" s="428">
        <f t="shared" si="27"/>
        <v>157</v>
      </c>
      <c r="B165" s="294"/>
      <c r="C165" s="203"/>
      <c r="D165" s="301"/>
      <c r="E165" s="301"/>
      <c r="F165" s="301"/>
      <c r="G165" s="301"/>
      <c r="H165" s="302"/>
      <c r="I165" s="292"/>
      <c r="J165" s="61"/>
      <c r="K165" s="303"/>
      <c r="L165" s="303"/>
      <c r="M165" s="203"/>
      <c r="N165" s="84" t="str">
        <f>IF($AI165&lt;&gt;"",Master!$N$37,IF($AC165&lt;&gt;"",Master!$N$38,IF($S165&lt;&gt;"",Master!$N$39,IF($C165&lt;&gt;"",Master!$N$40,Master!$N$41))))</f>
        <v>起票</v>
      </c>
      <c r="O165" s="202" t="str">
        <f>IF($N165=Master!$N$37,MAX($S165,$AC165,$AI165),"")</f>
        <v/>
      </c>
      <c r="P165" s="65"/>
      <c r="Q165" s="203"/>
      <c r="R165" s="303"/>
      <c r="S165" s="203"/>
      <c r="T165" s="310"/>
      <c r="U165" s="304"/>
      <c r="V165" s="303"/>
      <c r="W165" s="306"/>
      <c r="X165" s="306"/>
      <c r="Y165" s="305"/>
      <c r="Z165" s="303"/>
      <c r="AA165" s="203"/>
      <c r="AB165" s="306"/>
      <c r="AC165" s="203"/>
      <c r="AD165" s="307"/>
      <c r="AE165" s="308"/>
      <c r="AF165" s="309"/>
      <c r="AG165" s="310"/>
      <c r="AH165" s="303"/>
      <c r="AI165" s="203"/>
      <c r="AJ165" s="311"/>
      <c r="AK165" s="451"/>
      <c r="AL165" s="59"/>
      <c r="AM165" s="60"/>
      <c r="AO165" s="137" t="e">
        <f t="shared" si="21"/>
        <v>#N/A</v>
      </c>
      <c r="AP165" s="138" t="e">
        <f t="shared" si="22"/>
        <v>#N/A</v>
      </c>
      <c r="AQ165" s="138" t="e">
        <f t="shared" si="23"/>
        <v>#N/A</v>
      </c>
      <c r="AR165" s="138" t="e">
        <f t="shared" si="24"/>
        <v>#N/A</v>
      </c>
      <c r="AS165" s="138" t="e">
        <f t="shared" si="25"/>
        <v>#N/A</v>
      </c>
      <c r="AT165" s="139" t="e">
        <f t="shared" si="26"/>
        <v>#N/A</v>
      </c>
      <c r="BB165" s="16" t="s">
        <v>596</v>
      </c>
    </row>
    <row r="166" spans="1:54" ht="102.75" customHeight="1">
      <c r="A166" s="428">
        <f t="shared" si="27"/>
        <v>158</v>
      </c>
      <c r="B166" s="294"/>
      <c r="C166" s="203"/>
      <c r="D166" s="301"/>
      <c r="E166" s="301"/>
      <c r="F166" s="301"/>
      <c r="G166" s="301"/>
      <c r="H166" s="302"/>
      <c r="I166" s="292"/>
      <c r="J166" s="61"/>
      <c r="K166" s="303"/>
      <c r="L166" s="303"/>
      <c r="M166" s="203"/>
      <c r="N166" s="84" t="str">
        <f>IF($AI166&lt;&gt;"",Master!$N$37,IF($AC166&lt;&gt;"",Master!$N$38,IF($S166&lt;&gt;"",Master!$N$39,IF($C166&lt;&gt;"",Master!$N$40,Master!$N$41))))</f>
        <v>起票</v>
      </c>
      <c r="O166" s="202" t="str">
        <f>IF($N166=Master!$N$37,MAX($S166,$AC166,$AI166),"")</f>
        <v/>
      </c>
      <c r="P166" s="65"/>
      <c r="Q166" s="203"/>
      <c r="R166" s="303"/>
      <c r="S166" s="203"/>
      <c r="T166" s="310"/>
      <c r="U166" s="304"/>
      <c r="V166" s="303"/>
      <c r="W166" s="306"/>
      <c r="X166" s="306"/>
      <c r="Y166" s="305"/>
      <c r="Z166" s="303"/>
      <c r="AA166" s="203"/>
      <c r="AB166" s="306"/>
      <c r="AC166" s="203"/>
      <c r="AD166" s="307"/>
      <c r="AE166" s="308"/>
      <c r="AF166" s="309"/>
      <c r="AG166" s="310"/>
      <c r="AH166" s="303"/>
      <c r="AI166" s="203"/>
      <c r="AJ166" s="311"/>
      <c r="AK166" s="451"/>
      <c r="AL166" s="59"/>
      <c r="AM166" s="60"/>
      <c r="AO166" s="137" t="e">
        <f t="shared" si="21"/>
        <v>#N/A</v>
      </c>
      <c r="AP166" s="138" t="e">
        <f t="shared" si="22"/>
        <v>#N/A</v>
      </c>
      <c r="AQ166" s="138" t="e">
        <f t="shared" si="23"/>
        <v>#N/A</v>
      </c>
      <c r="AR166" s="138" t="e">
        <f t="shared" si="24"/>
        <v>#N/A</v>
      </c>
      <c r="AS166" s="138" t="e">
        <f t="shared" si="25"/>
        <v>#N/A</v>
      </c>
      <c r="AT166" s="139" t="e">
        <f t="shared" si="26"/>
        <v>#N/A</v>
      </c>
      <c r="BB166" s="16" t="s">
        <v>596</v>
      </c>
    </row>
    <row r="167" spans="1:54" ht="102.75" customHeight="1">
      <c r="A167" s="428">
        <f t="shared" si="27"/>
        <v>159</v>
      </c>
      <c r="B167" s="294"/>
      <c r="C167" s="203"/>
      <c r="D167" s="301"/>
      <c r="E167" s="301"/>
      <c r="F167" s="301"/>
      <c r="G167" s="301"/>
      <c r="H167" s="302"/>
      <c r="I167" s="292"/>
      <c r="J167" s="61"/>
      <c r="K167" s="303"/>
      <c r="L167" s="303"/>
      <c r="M167" s="203"/>
      <c r="N167" s="84" t="str">
        <f>IF($AI167&lt;&gt;"",Master!$N$37,IF($AC167&lt;&gt;"",Master!$N$38,IF($S167&lt;&gt;"",Master!$N$39,IF($C167&lt;&gt;"",Master!$N$40,Master!$N$41))))</f>
        <v>起票</v>
      </c>
      <c r="O167" s="202" t="str">
        <f>IF($N167=Master!$N$37,MAX($S167,$AC167,$AI167),"")</f>
        <v/>
      </c>
      <c r="P167" s="65"/>
      <c r="Q167" s="203"/>
      <c r="R167" s="303"/>
      <c r="S167" s="203"/>
      <c r="T167" s="310"/>
      <c r="U167" s="304"/>
      <c r="V167" s="303"/>
      <c r="W167" s="306"/>
      <c r="X167" s="306"/>
      <c r="Y167" s="305"/>
      <c r="Z167" s="303"/>
      <c r="AA167" s="203"/>
      <c r="AB167" s="306"/>
      <c r="AC167" s="203"/>
      <c r="AD167" s="307"/>
      <c r="AE167" s="308"/>
      <c r="AF167" s="309"/>
      <c r="AG167" s="310"/>
      <c r="AH167" s="303"/>
      <c r="AI167" s="203"/>
      <c r="AJ167" s="311"/>
      <c r="AK167" s="451"/>
      <c r="AL167" s="59"/>
      <c r="AM167" s="60"/>
      <c r="AO167" s="137" t="e">
        <f t="shared" si="21"/>
        <v>#N/A</v>
      </c>
      <c r="AP167" s="138" t="e">
        <f t="shared" si="22"/>
        <v>#N/A</v>
      </c>
      <c r="AQ167" s="138" t="e">
        <f t="shared" si="23"/>
        <v>#N/A</v>
      </c>
      <c r="AR167" s="138" t="e">
        <f t="shared" si="24"/>
        <v>#N/A</v>
      </c>
      <c r="AS167" s="138" t="e">
        <f t="shared" si="25"/>
        <v>#N/A</v>
      </c>
      <c r="AT167" s="139" t="e">
        <f t="shared" si="26"/>
        <v>#N/A</v>
      </c>
      <c r="BB167" s="16" t="s">
        <v>596</v>
      </c>
    </row>
    <row r="168" spans="1:54" ht="102.75" customHeight="1">
      <c r="A168" s="428">
        <f t="shared" si="27"/>
        <v>160</v>
      </c>
      <c r="B168" s="294"/>
      <c r="C168" s="203"/>
      <c r="D168" s="301"/>
      <c r="E168" s="301"/>
      <c r="F168" s="301"/>
      <c r="G168" s="301"/>
      <c r="H168" s="302"/>
      <c r="I168" s="292"/>
      <c r="J168" s="61"/>
      <c r="K168" s="303"/>
      <c r="L168" s="303"/>
      <c r="M168" s="203"/>
      <c r="N168" s="84" t="str">
        <f>IF($AI168&lt;&gt;"",Master!$N$37,IF($AC168&lt;&gt;"",Master!$N$38,IF($S168&lt;&gt;"",Master!$N$39,IF($C168&lt;&gt;"",Master!$N$40,Master!$N$41))))</f>
        <v>起票</v>
      </c>
      <c r="O168" s="202" t="str">
        <f>IF($N168=Master!$N$37,MAX($S168,$AC168,$AI168),"")</f>
        <v/>
      </c>
      <c r="P168" s="65"/>
      <c r="Q168" s="203"/>
      <c r="R168" s="303"/>
      <c r="S168" s="203"/>
      <c r="T168" s="310"/>
      <c r="U168" s="304"/>
      <c r="V168" s="303"/>
      <c r="W168" s="306"/>
      <c r="X168" s="306"/>
      <c r="Y168" s="305"/>
      <c r="Z168" s="303"/>
      <c r="AA168" s="203"/>
      <c r="AB168" s="306"/>
      <c r="AC168" s="203"/>
      <c r="AD168" s="307"/>
      <c r="AE168" s="308"/>
      <c r="AF168" s="309"/>
      <c r="AG168" s="310"/>
      <c r="AH168" s="303"/>
      <c r="AI168" s="203"/>
      <c r="AJ168" s="311"/>
      <c r="AK168" s="451"/>
      <c r="AL168" s="59"/>
      <c r="AM168" s="60"/>
      <c r="AO168" s="137" t="e">
        <f t="shared" si="21"/>
        <v>#N/A</v>
      </c>
      <c r="AP168" s="138" t="e">
        <f t="shared" si="22"/>
        <v>#N/A</v>
      </c>
      <c r="AQ168" s="138" t="e">
        <f t="shared" si="23"/>
        <v>#N/A</v>
      </c>
      <c r="AR168" s="138" t="e">
        <f t="shared" si="24"/>
        <v>#N/A</v>
      </c>
      <c r="AS168" s="138" t="e">
        <f t="shared" si="25"/>
        <v>#N/A</v>
      </c>
      <c r="AT168" s="139" t="e">
        <f t="shared" si="26"/>
        <v>#N/A</v>
      </c>
      <c r="BB168" s="16" t="s">
        <v>596</v>
      </c>
    </row>
    <row r="169" spans="1:54" ht="102.75" customHeight="1">
      <c r="A169" s="428">
        <f t="shared" si="27"/>
        <v>161</v>
      </c>
      <c r="B169" s="294"/>
      <c r="C169" s="203"/>
      <c r="D169" s="301"/>
      <c r="E169" s="301"/>
      <c r="F169" s="301"/>
      <c r="G169" s="301"/>
      <c r="H169" s="302"/>
      <c r="I169" s="292"/>
      <c r="J169" s="61"/>
      <c r="K169" s="303"/>
      <c r="L169" s="303"/>
      <c r="M169" s="203"/>
      <c r="N169" s="84" t="str">
        <f>IF($AI169&lt;&gt;"",Master!$N$37,IF($AC169&lt;&gt;"",Master!$N$38,IF($S169&lt;&gt;"",Master!$N$39,IF($C169&lt;&gt;"",Master!$N$40,Master!$N$41))))</f>
        <v>起票</v>
      </c>
      <c r="O169" s="202" t="str">
        <f>IF($N169=Master!$N$37,MAX($S169,$AC169,$AI169),"")</f>
        <v/>
      </c>
      <c r="P169" s="65"/>
      <c r="Q169" s="203"/>
      <c r="R169" s="303"/>
      <c r="S169" s="203"/>
      <c r="T169" s="310"/>
      <c r="U169" s="304"/>
      <c r="V169" s="303"/>
      <c r="W169" s="306"/>
      <c r="X169" s="306"/>
      <c r="Y169" s="305"/>
      <c r="Z169" s="303"/>
      <c r="AA169" s="203"/>
      <c r="AB169" s="306"/>
      <c r="AC169" s="203"/>
      <c r="AD169" s="307"/>
      <c r="AE169" s="308"/>
      <c r="AF169" s="309"/>
      <c r="AG169" s="310"/>
      <c r="AH169" s="303"/>
      <c r="AI169" s="203"/>
      <c r="AJ169" s="311"/>
      <c r="AK169" s="451"/>
      <c r="AL169" s="59"/>
      <c r="AM169" s="60"/>
      <c r="AO169" s="137" t="e">
        <f t="shared" si="21"/>
        <v>#N/A</v>
      </c>
      <c r="AP169" s="138" t="e">
        <f t="shared" si="22"/>
        <v>#N/A</v>
      </c>
      <c r="AQ169" s="138" t="e">
        <f t="shared" si="23"/>
        <v>#N/A</v>
      </c>
      <c r="AR169" s="138" t="e">
        <f t="shared" si="24"/>
        <v>#N/A</v>
      </c>
      <c r="AS169" s="138" t="e">
        <f t="shared" si="25"/>
        <v>#N/A</v>
      </c>
      <c r="AT169" s="139" t="e">
        <f t="shared" si="26"/>
        <v>#N/A</v>
      </c>
      <c r="BB169" s="16" t="s">
        <v>596</v>
      </c>
    </row>
    <row r="170" spans="1:54" ht="102.75" customHeight="1">
      <c r="A170" s="428">
        <f t="shared" si="27"/>
        <v>162</v>
      </c>
      <c r="B170" s="294"/>
      <c r="C170" s="203"/>
      <c r="D170" s="301"/>
      <c r="E170" s="301"/>
      <c r="F170" s="301"/>
      <c r="G170" s="301"/>
      <c r="H170" s="302"/>
      <c r="I170" s="292"/>
      <c r="J170" s="61"/>
      <c r="K170" s="303"/>
      <c r="L170" s="303"/>
      <c r="M170" s="203"/>
      <c r="N170" s="84" t="str">
        <f>IF($AI170&lt;&gt;"",Master!$N$37,IF($AC170&lt;&gt;"",Master!$N$38,IF($S170&lt;&gt;"",Master!$N$39,IF($C170&lt;&gt;"",Master!$N$40,Master!$N$41))))</f>
        <v>起票</v>
      </c>
      <c r="O170" s="202" t="str">
        <f>IF($N170=Master!$N$37,MAX($S170,$AC170,$AI170),"")</f>
        <v/>
      </c>
      <c r="P170" s="65"/>
      <c r="Q170" s="203"/>
      <c r="R170" s="303"/>
      <c r="S170" s="203"/>
      <c r="T170" s="310"/>
      <c r="U170" s="304"/>
      <c r="V170" s="303"/>
      <c r="W170" s="306"/>
      <c r="X170" s="306"/>
      <c r="Y170" s="305"/>
      <c r="Z170" s="303"/>
      <c r="AA170" s="203"/>
      <c r="AB170" s="306"/>
      <c r="AC170" s="203"/>
      <c r="AD170" s="307"/>
      <c r="AE170" s="308"/>
      <c r="AF170" s="309"/>
      <c r="AG170" s="310"/>
      <c r="AH170" s="303"/>
      <c r="AI170" s="203"/>
      <c r="AJ170" s="311"/>
      <c r="AK170" s="451"/>
      <c r="AL170" s="59"/>
      <c r="AM170" s="60"/>
      <c r="AO170" s="137" t="e">
        <f t="shared" si="21"/>
        <v>#N/A</v>
      </c>
      <c r="AP170" s="138" t="e">
        <f t="shared" si="22"/>
        <v>#N/A</v>
      </c>
      <c r="AQ170" s="138" t="e">
        <f t="shared" si="23"/>
        <v>#N/A</v>
      </c>
      <c r="AR170" s="138" t="e">
        <f t="shared" si="24"/>
        <v>#N/A</v>
      </c>
      <c r="AS170" s="138" t="e">
        <f t="shared" si="25"/>
        <v>#N/A</v>
      </c>
      <c r="AT170" s="139" t="e">
        <f t="shared" si="26"/>
        <v>#N/A</v>
      </c>
      <c r="BB170" s="16" t="s">
        <v>596</v>
      </c>
    </row>
    <row r="171" spans="1:54" ht="102.75" customHeight="1">
      <c r="A171" s="428">
        <f t="shared" si="27"/>
        <v>163</v>
      </c>
      <c r="B171" s="294"/>
      <c r="C171" s="203"/>
      <c r="D171" s="301"/>
      <c r="E171" s="301"/>
      <c r="F171" s="301"/>
      <c r="G171" s="301"/>
      <c r="H171" s="302"/>
      <c r="I171" s="292"/>
      <c r="J171" s="61"/>
      <c r="K171" s="303"/>
      <c r="L171" s="303"/>
      <c r="M171" s="203"/>
      <c r="N171" s="84" t="str">
        <f>IF($AI171&lt;&gt;"",Master!$N$37,IF($AC171&lt;&gt;"",Master!$N$38,IF($S171&lt;&gt;"",Master!$N$39,IF($C171&lt;&gt;"",Master!$N$40,Master!$N$41))))</f>
        <v>起票</v>
      </c>
      <c r="O171" s="202" t="str">
        <f>IF($N171=Master!$N$37,MAX($S171,$AC171,$AI171),"")</f>
        <v/>
      </c>
      <c r="P171" s="65"/>
      <c r="Q171" s="203"/>
      <c r="R171" s="303"/>
      <c r="S171" s="203"/>
      <c r="T171" s="310"/>
      <c r="U171" s="304"/>
      <c r="V171" s="303"/>
      <c r="W171" s="306"/>
      <c r="X171" s="306"/>
      <c r="Y171" s="305"/>
      <c r="Z171" s="303"/>
      <c r="AA171" s="203"/>
      <c r="AB171" s="306"/>
      <c r="AC171" s="203"/>
      <c r="AD171" s="307"/>
      <c r="AE171" s="308"/>
      <c r="AF171" s="309"/>
      <c r="AG171" s="310"/>
      <c r="AH171" s="303"/>
      <c r="AI171" s="203"/>
      <c r="AJ171" s="311"/>
      <c r="AK171" s="451"/>
      <c r="AL171" s="59"/>
      <c r="AM171" s="60"/>
      <c r="AO171" s="137" t="e">
        <f t="shared" si="21"/>
        <v>#N/A</v>
      </c>
      <c r="AP171" s="138" t="e">
        <f t="shared" si="22"/>
        <v>#N/A</v>
      </c>
      <c r="AQ171" s="138" t="e">
        <f t="shared" si="23"/>
        <v>#N/A</v>
      </c>
      <c r="AR171" s="138" t="e">
        <f t="shared" si="24"/>
        <v>#N/A</v>
      </c>
      <c r="AS171" s="138" t="e">
        <f t="shared" si="25"/>
        <v>#N/A</v>
      </c>
      <c r="AT171" s="139" t="e">
        <f t="shared" si="26"/>
        <v>#N/A</v>
      </c>
      <c r="BB171" s="16" t="s">
        <v>596</v>
      </c>
    </row>
    <row r="172" spans="1:54" ht="102.75" customHeight="1">
      <c r="A172" s="428">
        <f t="shared" si="27"/>
        <v>164</v>
      </c>
      <c r="B172" s="294"/>
      <c r="C172" s="203"/>
      <c r="D172" s="301"/>
      <c r="E172" s="301"/>
      <c r="F172" s="301"/>
      <c r="G172" s="301"/>
      <c r="H172" s="302"/>
      <c r="I172" s="292"/>
      <c r="J172" s="61"/>
      <c r="K172" s="303"/>
      <c r="L172" s="303"/>
      <c r="M172" s="203"/>
      <c r="N172" s="84" t="str">
        <f>IF($AI172&lt;&gt;"",Master!$N$37,IF($AC172&lt;&gt;"",Master!$N$38,IF($S172&lt;&gt;"",Master!$N$39,IF($C172&lt;&gt;"",Master!$N$40,Master!$N$41))))</f>
        <v>起票</v>
      </c>
      <c r="O172" s="202" t="str">
        <f>IF($N172=Master!$N$37,MAX($S172,$AC172,$AI172),"")</f>
        <v/>
      </c>
      <c r="P172" s="65"/>
      <c r="Q172" s="203"/>
      <c r="R172" s="303"/>
      <c r="S172" s="203"/>
      <c r="T172" s="310"/>
      <c r="U172" s="304"/>
      <c r="V172" s="303"/>
      <c r="W172" s="306"/>
      <c r="X172" s="306"/>
      <c r="Y172" s="305"/>
      <c r="Z172" s="303"/>
      <c r="AA172" s="203"/>
      <c r="AB172" s="306"/>
      <c r="AC172" s="203"/>
      <c r="AD172" s="307"/>
      <c r="AE172" s="308"/>
      <c r="AF172" s="309"/>
      <c r="AG172" s="310"/>
      <c r="AH172" s="303"/>
      <c r="AI172" s="203"/>
      <c r="AJ172" s="311"/>
      <c r="AK172" s="451"/>
      <c r="AL172" s="59"/>
      <c r="AM172" s="60"/>
      <c r="AO172" s="137" t="e">
        <f t="shared" si="21"/>
        <v>#N/A</v>
      </c>
      <c r="AP172" s="138" t="e">
        <f t="shared" si="22"/>
        <v>#N/A</v>
      </c>
      <c r="AQ172" s="138" t="e">
        <f t="shared" si="23"/>
        <v>#N/A</v>
      </c>
      <c r="AR172" s="138" t="e">
        <f t="shared" si="24"/>
        <v>#N/A</v>
      </c>
      <c r="AS172" s="138" t="e">
        <f t="shared" si="25"/>
        <v>#N/A</v>
      </c>
      <c r="AT172" s="139" t="e">
        <f t="shared" si="26"/>
        <v>#N/A</v>
      </c>
      <c r="BB172" s="16" t="s">
        <v>596</v>
      </c>
    </row>
    <row r="173" spans="1:54" ht="102.75" customHeight="1">
      <c r="A173" s="428">
        <f t="shared" si="27"/>
        <v>165</v>
      </c>
      <c r="B173" s="294"/>
      <c r="C173" s="203"/>
      <c r="D173" s="301"/>
      <c r="E173" s="301"/>
      <c r="F173" s="301"/>
      <c r="G173" s="301"/>
      <c r="H173" s="302"/>
      <c r="I173" s="292"/>
      <c r="J173" s="61"/>
      <c r="K173" s="303"/>
      <c r="L173" s="303"/>
      <c r="M173" s="203"/>
      <c r="N173" s="84" t="str">
        <f>IF($AI173&lt;&gt;"",Master!$N$37,IF($AC173&lt;&gt;"",Master!$N$38,IF($S173&lt;&gt;"",Master!$N$39,IF($C173&lt;&gt;"",Master!$N$40,Master!$N$41))))</f>
        <v>起票</v>
      </c>
      <c r="O173" s="202" t="str">
        <f>IF($N173=Master!$N$37,MAX($S173,$AC173,$AI173),"")</f>
        <v/>
      </c>
      <c r="P173" s="65"/>
      <c r="Q173" s="203"/>
      <c r="R173" s="303"/>
      <c r="S173" s="203"/>
      <c r="T173" s="310"/>
      <c r="U173" s="304"/>
      <c r="V173" s="303"/>
      <c r="W173" s="306"/>
      <c r="X173" s="306"/>
      <c r="Y173" s="305"/>
      <c r="Z173" s="303"/>
      <c r="AA173" s="203"/>
      <c r="AB173" s="306"/>
      <c r="AC173" s="203"/>
      <c r="AD173" s="307"/>
      <c r="AE173" s="308"/>
      <c r="AF173" s="309"/>
      <c r="AG173" s="310"/>
      <c r="AH173" s="303"/>
      <c r="AI173" s="203"/>
      <c r="AJ173" s="311"/>
      <c r="AK173" s="451"/>
      <c r="AL173" s="59"/>
      <c r="AM173" s="60"/>
      <c r="AO173" s="137" t="e">
        <f t="shared" si="21"/>
        <v>#N/A</v>
      </c>
      <c r="AP173" s="138" t="e">
        <f t="shared" si="22"/>
        <v>#N/A</v>
      </c>
      <c r="AQ173" s="138" t="e">
        <f t="shared" si="23"/>
        <v>#N/A</v>
      </c>
      <c r="AR173" s="138" t="e">
        <f t="shared" si="24"/>
        <v>#N/A</v>
      </c>
      <c r="AS173" s="138" t="e">
        <f t="shared" si="25"/>
        <v>#N/A</v>
      </c>
      <c r="AT173" s="139" t="e">
        <f t="shared" si="26"/>
        <v>#N/A</v>
      </c>
      <c r="BB173" s="16" t="s">
        <v>596</v>
      </c>
    </row>
    <row r="174" spans="1:54" ht="102.75" customHeight="1">
      <c r="A174" s="428">
        <f t="shared" si="27"/>
        <v>166</v>
      </c>
      <c r="B174" s="294"/>
      <c r="C174" s="203"/>
      <c r="D174" s="301"/>
      <c r="E174" s="301"/>
      <c r="F174" s="301"/>
      <c r="G174" s="301"/>
      <c r="H174" s="302"/>
      <c r="I174" s="292"/>
      <c r="J174" s="61"/>
      <c r="K174" s="303"/>
      <c r="L174" s="303"/>
      <c r="M174" s="203"/>
      <c r="N174" s="84" t="str">
        <f>IF($AI174&lt;&gt;"",Master!$N$37,IF($AC174&lt;&gt;"",Master!$N$38,IF($S174&lt;&gt;"",Master!$N$39,IF($C174&lt;&gt;"",Master!$N$40,Master!$N$41))))</f>
        <v>起票</v>
      </c>
      <c r="O174" s="202" t="str">
        <f>IF($N174=Master!$N$37,MAX($S174,$AC174,$AI174),"")</f>
        <v/>
      </c>
      <c r="P174" s="65"/>
      <c r="Q174" s="203"/>
      <c r="R174" s="303"/>
      <c r="S174" s="203"/>
      <c r="T174" s="310"/>
      <c r="U174" s="304"/>
      <c r="V174" s="303"/>
      <c r="W174" s="306"/>
      <c r="X174" s="306"/>
      <c r="Y174" s="305"/>
      <c r="Z174" s="303"/>
      <c r="AA174" s="203"/>
      <c r="AB174" s="306"/>
      <c r="AC174" s="203"/>
      <c r="AD174" s="307"/>
      <c r="AE174" s="308"/>
      <c r="AF174" s="309"/>
      <c r="AG174" s="310"/>
      <c r="AH174" s="303"/>
      <c r="AI174" s="203"/>
      <c r="AJ174" s="311"/>
      <c r="AK174" s="451"/>
      <c r="AL174" s="59"/>
      <c r="AM174" s="60"/>
      <c r="AO174" s="137" t="e">
        <f t="shared" si="21"/>
        <v>#N/A</v>
      </c>
      <c r="AP174" s="138" t="e">
        <f t="shared" si="22"/>
        <v>#N/A</v>
      </c>
      <c r="AQ174" s="138" t="e">
        <f t="shared" si="23"/>
        <v>#N/A</v>
      </c>
      <c r="AR174" s="138" t="e">
        <f t="shared" si="24"/>
        <v>#N/A</v>
      </c>
      <c r="AS174" s="138" t="e">
        <f t="shared" si="25"/>
        <v>#N/A</v>
      </c>
      <c r="AT174" s="139" t="e">
        <f t="shared" si="26"/>
        <v>#N/A</v>
      </c>
      <c r="BB174" s="16" t="s">
        <v>596</v>
      </c>
    </row>
    <row r="175" spans="1:54" ht="102.75" customHeight="1">
      <c r="A175" s="428">
        <f t="shared" si="27"/>
        <v>167</v>
      </c>
      <c r="B175" s="294"/>
      <c r="C175" s="203"/>
      <c r="D175" s="301"/>
      <c r="E175" s="301"/>
      <c r="F175" s="301"/>
      <c r="G175" s="301"/>
      <c r="H175" s="302"/>
      <c r="I175" s="292"/>
      <c r="J175" s="61"/>
      <c r="K175" s="303"/>
      <c r="L175" s="303"/>
      <c r="M175" s="203"/>
      <c r="N175" s="84" t="str">
        <f>IF($AI175&lt;&gt;"",Master!$N$37,IF($AC175&lt;&gt;"",Master!$N$38,IF($S175&lt;&gt;"",Master!$N$39,IF($C175&lt;&gt;"",Master!$N$40,Master!$N$41))))</f>
        <v>起票</v>
      </c>
      <c r="O175" s="202" t="str">
        <f>IF($N175=Master!$N$37,MAX($S175,$AC175,$AI175),"")</f>
        <v/>
      </c>
      <c r="P175" s="65"/>
      <c r="Q175" s="203"/>
      <c r="R175" s="303"/>
      <c r="S175" s="203"/>
      <c r="T175" s="310"/>
      <c r="U175" s="304"/>
      <c r="V175" s="303"/>
      <c r="W175" s="306"/>
      <c r="X175" s="306"/>
      <c r="Y175" s="305"/>
      <c r="Z175" s="303"/>
      <c r="AA175" s="203"/>
      <c r="AB175" s="306"/>
      <c r="AC175" s="203"/>
      <c r="AD175" s="307"/>
      <c r="AE175" s="308"/>
      <c r="AF175" s="309"/>
      <c r="AG175" s="310"/>
      <c r="AH175" s="303"/>
      <c r="AI175" s="203"/>
      <c r="AJ175" s="311"/>
      <c r="AK175" s="451"/>
      <c r="AL175" s="59"/>
      <c r="AM175" s="60"/>
      <c r="AO175" s="137" t="e">
        <f t="shared" si="21"/>
        <v>#N/A</v>
      </c>
      <c r="AP175" s="138" t="e">
        <f t="shared" si="22"/>
        <v>#N/A</v>
      </c>
      <c r="AQ175" s="138" t="e">
        <f t="shared" si="23"/>
        <v>#N/A</v>
      </c>
      <c r="AR175" s="138" t="e">
        <f t="shared" si="24"/>
        <v>#N/A</v>
      </c>
      <c r="AS175" s="138" t="e">
        <f t="shared" si="25"/>
        <v>#N/A</v>
      </c>
      <c r="AT175" s="139" t="e">
        <f t="shared" si="26"/>
        <v>#N/A</v>
      </c>
      <c r="BB175" s="16" t="s">
        <v>596</v>
      </c>
    </row>
    <row r="176" spans="1:54" ht="102.75" customHeight="1">
      <c r="A176" s="428">
        <f t="shared" si="27"/>
        <v>168</v>
      </c>
      <c r="B176" s="294"/>
      <c r="C176" s="203"/>
      <c r="D176" s="301"/>
      <c r="E176" s="301"/>
      <c r="F176" s="301"/>
      <c r="G176" s="301"/>
      <c r="H176" s="302"/>
      <c r="I176" s="292"/>
      <c r="J176" s="61"/>
      <c r="K176" s="303"/>
      <c r="L176" s="303"/>
      <c r="M176" s="203"/>
      <c r="N176" s="84" t="str">
        <f>IF($AI176&lt;&gt;"",Master!$N$37,IF($AC176&lt;&gt;"",Master!$N$38,IF($S176&lt;&gt;"",Master!$N$39,IF($C176&lt;&gt;"",Master!$N$40,Master!$N$41))))</f>
        <v>起票</v>
      </c>
      <c r="O176" s="202" t="str">
        <f>IF($N176=Master!$N$37,MAX($S176,$AC176,$AI176),"")</f>
        <v/>
      </c>
      <c r="P176" s="65"/>
      <c r="Q176" s="203"/>
      <c r="R176" s="303"/>
      <c r="S176" s="203"/>
      <c r="T176" s="310"/>
      <c r="U176" s="304"/>
      <c r="V176" s="303"/>
      <c r="W176" s="306"/>
      <c r="X176" s="306"/>
      <c r="Y176" s="305"/>
      <c r="Z176" s="303"/>
      <c r="AA176" s="203"/>
      <c r="AB176" s="306"/>
      <c r="AC176" s="203"/>
      <c r="AD176" s="307"/>
      <c r="AE176" s="308"/>
      <c r="AF176" s="309"/>
      <c r="AG176" s="310"/>
      <c r="AH176" s="303"/>
      <c r="AI176" s="203"/>
      <c r="AJ176" s="311"/>
      <c r="AK176" s="451"/>
      <c r="AL176" s="59"/>
      <c r="AM176" s="60"/>
      <c r="AO176" s="137" t="e">
        <f t="shared" si="21"/>
        <v>#N/A</v>
      </c>
      <c r="AP176" s="138" t="e">
        <f t="shared" si="22"/>
        <v>#N/A</v>
      </c>
      <c r="AQ176" s="138" t="e">
        <f t="shared" si="23"/>
        <v>#N/A</v>
      </c>
      <c r="AR176" s="138" t="e">
        <f t="shared" si="24"/>
        <v>#N/A</v>
      </c>
      <c r="AS176" s="138" t="e">
        <f t="shared" si="25"/>
        <v>#N/A</v>
      </c>
      <c r="AT176" s="139" t="e">
        <f t="shared" si="26"/>
        <v>#N/A</v>
      </c>
      <c r="BB176" s="16" t="s">
        <v>596</v>
      </c>
    </row>
    <row r="177" spans="1:54" ht="102.75" customHeight="1">
      <c r="A177" s="428">
        <f t="shared" si="27"/>
        <v>169</v>
      </c>
      <c r="B177" s="294"/>
      <c r="C177" s="203"/>
      <c r="D177" s="301"/>
      <c r="E177" s="301"/>
      <c r="F177" s="301"/>
      <c r="G177" s="301"/>
      <c r="H177" s="302"/>
      <c r="I177" s="292"/>
      <c r="J177" s="61"/>
      <c r="K177" s="303"/>
      <c r="L177" s="303"/>
      <c r="M177" s="203"/>
      <c r="N177" s="84" t="str">
        <f>IF($AI177&lt;&gt;"",Master!$N$37,IF($AC177&lt;&gt;"",Master!$N$38,IF($S177&lt;&gt;"",Master!$N$39,IF($C177&lt;&gt;"",Master!$N$40,Master!$N$41))))</f>
        <v>起票</v>
      </c>
      <c r="O177" s="202" t="str">
        <f>IF($N177=Master!$N$37,MAX($S177,$AC177,$AI177),"")</f>
        <v/>
      </c>
      <c r="P177" s="65"/>
      <c r="Q177" s="203"/>
      <c r="R177" s="303"/>
      <c r="S177" s="203"/>
      <c r="T177" s="310"/>
      <c r="U177" s="304"/>
      <c r="V177" s="303"/>
      <c r="W177" s="306"/>
      <c r="X177" s="306"/>
      <c r="Y177" s="305"/>
      <c r="Z177" s="303"/>
      <c r="AA177" s="203"/>
      <c r="AB177" s="306"/>
      <c r="AC177" s="203"/>
      <c r="AD177" s="307"/>
      <c r="AE177" s="308"/>
      <c r="AF177" s="309"/>
      <c r="AG177" s="310"/>
      <c r="AH177" s="303"/>
      <c r="AI177" s="203"/>
      <c r="AJ177" s="311"/>
      <c r="AK177" s="451"/>
      <c r="AL177" s="59"/>
      <c r="AM177" s="60"/>
      <c r="AO177" s="137" t="e">
        <f t="shared" si="21"/>
        <v>#N/A</v>
      </c>
      <c r="AP177" s="138" t="e">
        <f t="shared" si="22"/>
        <v>#N/A</v>
      </c>
      <c r="AQ177" s="138" t="e">
        <f t="shared" si="23"/>
        <v>#N/A</v>
      </c>
      <c r="AR177" s="138" t="e">
        <f t="shared" si="24"/>
        <v>#N/A</v>
      </c>
      <c r="AS177" s="138" t="e">
        <f t="shared" si="25"/>
        <v>#N/A</v>
      </c>
      <c r="AT177" s="139" t="e">
        <f t="shared" si="26"/>
        <v>#N/A</v>
      </c>
      <c r="BB177" s="16" t="s">
        <v>596</v>
      </c>
    </row>
    <row r="178" spans="1:54" ht="102.75" customHeight="1">
      <c r="A178" s="428">
        <f t="shared" si="27"/>
        <v>170</v>
      </c>
      <c r="B178" s="294"/>
      <c r="C178" s="203"/>
      <c r="D178" s="301"/>
      <c r="E178" s="301"/>
      <c r="F178" s="301"/>
      <c r="G178" s="301"/>
      <c r="H178" s="302"/>
      <c r="I178" s="292"/>
      <c r="J178" s="61"/>
      <c r="K178" s="303"/>
      <c r="L178" s="303"/>
      <c r="M178" s="203"/>
      <c r="N178" s="84" t="str">
        <f>IF($AI178&lt;&gt;"",Master!$N$37,IF($AC178&lt;&gt;"",Master!$N$38,IF($S178&lt;&gt;"",Master!$N$39,IF($C178&lt;&gt;"",Master!$N$40,Master!$N$41))))</f>
        <v>起票</v>
      </c>
      <c r="O178" s="202" t="str">
        <f>IF($N178=Master!$N$37,MAX($S178,$AC178,$AI178),"")</f>
        <v/>
      </c>
      <c r="P178" s="65"/>
      <c r="Q178" s="203"/>
      <c r="R178" s="303"/>
      <c r="S178" s="203"/>
      <c r="T178" s="310"/>
      <c r="U178" s="304"/>
      <c r="V178" s="303"/>
      <c r="W178" s="306"/>
      <c r="X178" s="306"/>
      <c r="Y178" s="305"/>
      <c r="Z178" s="303"/>
      <c r="AA178" s="203"/>
      <c r="AB178" s="306"/>
      <c r="AC178" s="203"/>
      <c r="AD178" s="307"/>
      <c r="AE178" s="308"/>
      <c r="AF178" s="309"/>
      <c r="AG178" s="310"/>
      <c r="AH178" s="303"/>
      <c r="AI178" s="203"/>
      <c r="AJ178" s="311"/>
      <c r="AK178" s="451"/>
      <c r="AL178" s="59"/>
      <c r="AM178" s="60"/>
      <c r="AO178" s="137" t="e">
        <f t="shared" si="21"/>
        <v>#N/A</v>
      </c>
      <c r="AP178" s="138" t="e">
        <f t="shared" si="22"/>
        <v>#N/A</v>
      </c>
      <c r="AQ178" s="138" t="e">
        <f t="shared" si="23"/>
        <v>#N/A</v>
      </c>
      <c r="AR178" s="138" t="e">
        <f t="shared" si="24"/>
        <v>#N/A</v>
      </c>
      <c r="AS178" s="138" t="e">
        <f t="shared" si="25"/>
        <v>#N/A</v>
      </c>
      <c r="AT178" s="139" t="e">
        <f t="shared" si="26"/>
        <v>#N/A</v>
      </c>
      <c r="BB178" s="16" t="s">
        <v>596</v>
      </c>
    </row>
    <row r="179" spans="1:54" ht="102.75" customHeight="1">
      <c r="A179" s="428">
        <f t="shared" si="27"/>
        <v>171</v>
      </c>
      <c r="B179" s="294"/>
      <c r="C179" s="203"/>
      <c r="D179" s="301"/>
      <c r="E179" s="301"/>
      <c r="F179" s="301"/>
      <c r="G179" s="301"/>
      <c r="H179" s="302"/>
      <c r="I179" s="292"/>
      <c r="J179" s="61"/>
      <c r="K179" s="303"/>
      <c r="L179" s="303"/>
      <c r="M179" s="203"/>
      <c r="N179" s="84" t="str">
        <f>IF($AI179&lt;&gt;"",Master!$N$37,IF($AC179&lt;&gt;"",Master!$N$38,IF($S179&lt;&gt;"",Master!$N$39,IF($C179&lt;&gt;"",Master!$N$40,Master!$N$41))))</f>
        <v>起票</v>
      </c>
      <c r="O179" s="202" t="str">
        <f>IF($N179=Master!$N$37,MAX($S179,$AC179,$AI179),"")</f>
        <v/>
      </c>
      <c r="P179" s="65"/>
      <c r="Q179" s="203"/>
      <c r="R179" s="303"/>
      <c r="S179" s="203"/>
      <c r="T179" s="310"/>
      <c r="U179" s="304"/>
      <c r="V179" s="303"/>
      <c r="W179" s="306"/>
      <c r="X179" s="306"/>
      <c r="Y179" s="305"/>
      <c r="Z179" s="303"/>
      <c r="AA179" s="203"/>
      <c r="AB179" s="306"/>
      <c r="AC179" s="203"/>
      <c r="AD179" s="307"/>
      <c r="AE179" s="308"/>
      <c r="AF179" s="309"/>
      <c r="AG179" s="310"/>
      <c r="AH179" s="303"/>
      <c r="AI179" s="203"/>
      <c r="AJ179" s="311"/>
      <c r="AK179" s="451"/>
      <c r="AL179" s="59"/>
      <c r="AM179" s="60"/>
      <c r="AO179" s="137" t="e">
        <f t="shared" si="21"/>
        <v>#N/A</v>
      </c>
      <c r="AP179" s="138" t="e">
        <f t="shared" si="22"/>
        <v>#N/A</v>
      </c>
      <c r="AQ179" s="138" t="e">
        <f t="shared" si="23"/>
        <v>#N/A</v>
      </c>
      <c r="AR179" s="138" t="e">
        <f t="shared" si="24"/>
        <v>#N/A</v>
      </c>
      <c r="AS179" s="138" t="e">
        <f t="shared" si="25"/>
        <v>#N/A</v>
      </c>
      <c r="AT179" s="139" t="e">
        <f t="shared" si="26"/>
        <v>#N/A</v>
      </c>
      <c r="BB179" s="16" t="s">
        <v>596</v>
      </c>
    </row>
    <row r="180" spans="1:54" ht="102.75" customHeight="1">
      <c r="A180" s="428">
        <f t="shared" si="27"/>
        <v>172</v>
      </c>
      <c r="B180" s="294"/>
      <c r="C180" s="203"/>
      <c r="D180" s="301"/>
      <c r="E180" s="301"/>
      <c r="F180" s="301"/>
      <c r="G180" s="301"/>
      <c r="H180" s="302"/>
      <c r="I180" s="292"/>
      <c r="J180" s="61"/>
      <c r="K180" s="303"/>
      <c r="L180" s="303"/>
      <c r="M180" s="203"/>
      <c r="N180" s="84" t="str">
        <f>IF($AI180&lt;&gt;"",Master!$N$37,IF($AC180&lt;&gt;"",Master!$N$38,IF($S180&lt;&gt;"",Master!$N$39,IF($C180&lt;&gt;"",Master!$N$40,Master!$N$41))))</f>
        <v>起票</v>
      </c>
      <c r="O180" s="202" t="str">
        <f>IF($N180=Master!$N$37,MAX($S180,$AC180,$AI180),"")</f>
        <v/>
      </c>
      <c r="P180" s="65"/>
      <c r="Q180" s="203"/>
      <c r="R180" s="303"/>
      <c r="S180" s="203"/>
      <c r="T180" s="310"/>
      <c r="U180" s="304"/>
      <c r="V180" s="303"/>
      <c r="W180" s="306"/>
      <c r="X180" s="306"/>
      <c r="Y180" s="305"/>
      <c r="Z180" s="303"/>
      <c r="AA180" s="203"/>
      <c r="AB180" s="306"/>
      <c r="AC180" s="203"/>
      <c r="AD180" s="307"/>
      <c r="AE180" s="308"/>
      <c r="AF180" s="309"/>
      <c r="AG180" s="310"/>
      <c r="AH180" s="303"/>
      <c r="AI180" s="203"/>
      <c r="AJ180" s="311"/>
      <c r="AK180" s="451"/>
      <c r="AL180" s="59"/>
      <c r="AM180" s="60"/>
      <c r="AO180" s="137" t="e">
        <f t="shared" si="21"/>
        <v>#N/A</v>
      </c>
      <c r="AP180" s="138" t="e">
        <f t="shared" si="22"/>
        <v>#N/A</v>
      </c>
      <c r="AQ180" s="138" t="e">
        <f t="shared" si="23"/>
        <v>#N/A</v>
      </c>
      <c r="AR180" s="138" t="e">
        <f t="shared" si="24"/>
        <v>#N/A</v>
      </c>
      <c r="AS180" s="138" t="e">
        <f t="shared" si="25"/>
        <v>#N/A</v>
      </c>
      <c r="AT180" s="139" t="e">
        <f t="shared" si="26"/>
        <v>#N/A</v>
      </c>
      <c r="BB180" s="16" t="s">
        <v>596</v>
      </c>
    </row>
    <row r="181" spans="1:54" ht="102.75" customHeight="1">
      <c r="A181" s="428">
        <f t="shared" si="27"/>
        <v>173</v>
      </c>
      <c r="B181" s="294"/>
      <c r="C181" s="203"/>
      <c r="D181" s="301"/>
      <c r="E181" s="301"/>
      <c r="F181" s="301"/>
      <c r="G181" s="301"/>
      <c r="H181" s="302"/>
      <c r="I181" s="292"/>
      <c r="J181" s="61"/>
      <c r="K181" s="303"/>
      <c r="L181" s="303"/>
      <c r="M181" s="203"/>
      <c r="N181" s="84" t="str">
        <f>IF($AI181&lt;&gt;"",Master!$N$37,IF($AC181&lt;&gt;"",Master!$N$38,IF($S181&lt;&gt;"",Master!$N$39,IF($C181&lt;&gt;"",Master!$N$40,Master!$N$41))))</f>
        <v>起票</v>
      </c>
      <c r="O181" s="202" t="str">
        <f>IF($N181=Master!$N$37,MAX($S181,$AC181,$AI181),"")</f>
        <v/>
      </c>
      <c r="P181" s="65"/>
      <c r="Q181" s="203"/>
      <c r="R181" s="303"/>
      <c r="S181" s="203"/>
      <c r="T181" s="310"/>
      <c r="U181" s="304"/>
      <c r="V181" s="303"/>
      <c r="W181" s="306"/>
      <c r="X181" s="306"/>
      <c r="Y181" s="305"/>
      <c r="Z181" s="303"/>
      <c r="AA181" s="203"/>
      <c r="AB181" s="306"/>
      <c r="AC181" s="203"/>
      <c r="AD181" s="307"/>
      <c r="AE181" s="308"/>
      <c r="AF181" s="309"/>
      <c r="AG181" s="310"/>
      <c r="AH181" s="303"/>
      <c r="AI181" s="203"/>
      <c r="AJ181" s="311"/>
      <c r="AK181" s="451"/>
      <c r="AL181" s="59"/>
      <c r="AM181" s="60"/>
      <c r="AO181" s="137" t="e">
        <f t="shared" si="21"/>
        <v>#N/A</v>
      </c>
      <c r="AP181" s="138" t="e">
        <f t="shared" si="22"/>
        <v>#N/A</v>
      </c>
      <c r="AQ181" s="138" t="e">
        <f t="shared" si="23"/>
        <v>#N/A</v>
      </c>
      <c r="AR181" s="138" t="e">
        <f t="shared" si="24"/>
        <v>#N/A</v>
      </c>
      <c r="AS181" s="138" t="e">
        <f t="shared" si="25"/>
        <v>#N/A</v>
      </c>
      <c r="AT181" s="139" t="e">
        <f t="shared" si="26"/>
        <v>#N/A</v>
      </c>
      <c r="BB181" s="16" t="s">
        <v>596</v>
      </c>
    </row>
    <row r="182" spans="1:54" ht="102.75" customHeight="1">
      <c r="A182" s="428">
        <f t="shared" si="27"/>
        <v>174</v>
      </c>
      <c r="B182" s="294"/>
      <c r="C182" s="203"/>
      <c r="D182" s="301"/>
      <c r="E182" s="301"/>
      <c r="F182" s="301"/>
      <c r="G182" s="301"/>
      <c r="H182" s="302"/>
      <c r="I182" s="292"/>
      <c r="J182" s="61"/>
      <c r="K182" s="303"/>
      <c r="L182" s="303"/>
      <c r="M182" s="203"/>
      <c r="N182" s="84" t="str">
        <f>IF($AI182&lt;&gt;"",Master!$N$37,IF($AC182&lt;&gt;"",Master!$N$38,IF($S182&lt;&gt;"",Master!$N$39,IF($C182&lt;&gt;"",Master!$N$40,Master!$N$41))))</f>
        <v>起票</v>
      </c>
      <c r="O182" s="202" t="str">
        <f>IF($N182=Master!$N$37,MAX($S182,$AC182,$AI182),"")</f>
        <v/>
      </c>
      <c r="P182" s="65"/>
      <c r="Q182" s="203"/>
      <c r="R182" s="303"/>
      <c r="S182" s="203"/>
      <c r="T182" s="310"/>
      <c r="U182" s="304"/>
      <c r="V182" s="303"/>
      <c r="W182" s="306"/>
      <c r="X182" s="306"/>
      <c r="Y182" s="305"/>
      <c r="Z182" s="303"/>
      <c r="AA182" s="203"/>
      <c r="AB182" s="306"/>
      <c r="AC182" s="203"/>
      <c r="AD182" s="307"/>
      <c r="AE182" s="308"/>
      <c r="AF182" s="309"/>
      <c r="AG182" s="310"/>
      <c r="AH182" s="303"/>
      <c r="AI182" s="203"/>
      <c r="AJ182" s="311"/>
      <c r="AK182" s="451"/>
      <c r="AL182" s="59"/>
      <c r="AM182" s="60"/>
      <c r="AO182" s="137" t="e">
        <f t="shared" si="21"/>
        <v>#N/A</v>
      </c>
      <c r="AP182" s="138" t="e">
        <f t="shared" si="22"/>
        <v>#N/A</v>
      </c>
      <c r="AQ182" s="138" t="e">
        <f t="shared" si="23"/>
        <v>#N/A</v>
      </c>
      <c r="AR182" s="138" t="e">
        <f t="shared" si="24"/>
        <v>#N/A</v>
      </c>
      <c r="AS182" s="138" t="e">
        <f t="shared" si="25"/>
        <v>#N/A</v>
      </c>
      <c r="AT182" s="139" t="e">
        <f t="shared" si="26"/>
        <v>#N/A</v>
      </c>
      <c r="BB182" s="16" t="s">
        <v>596</v>
      </c>
    </row>
    <row r="183" spans="1:54" ht="102.75" customHeight="1">
      <c r="A183" s="428">
        <f t="shared" si="27"/>
        <v>175</v>
      </c>
      <c r="B183" s="294"/>
      <c r="C183" s="203"/>
      <c r="D183" s="301"/>
      <c r="E183" s="301"/>
      <c r="F183" s="301"/>
      <c r="G183" s="301"/>
      <c r="H183" s="302"/>
      <c r="I183" s="292"/>
      <c r="J183" s="61"/>
      <c r="K183" s="303"/>
      <c r="L183" s="303"/>
      <c r="M183" s="203"/>
      <c r="N183" s="84" t="str">
        <f>IF($AI183&lt;&gt;"",Master!$N$37,IF($AC183&lt;&gt;"",Master!$N$38,IF($S183&lt;&gt;"",Master!$N$39,IF($C183&lt;&gt;"",Master!$N$40,Master!$N$41))))</f>
        <v>起票</v>
      </c>
      <c r="O183" s="202" t="str">
        <f>IF($N183=Master!$N$37,MAX($S183,$AC183,$AI183),"")</f>
        <v/>
      </c>
      <c r="P183" s="65"/>
      <c r="Q183" s="203"/>
      <c r="R183" s="303"/>
      <c r="S183" s="203"/>
      <c r="T183" s="310"/>
      <c r="U183" s="304"/>
      <c r="V183" s="303"/>
      <c r="W183" s="306"/>
      <c r="X183" s="306"/>
      <c r="Y183" s="305"/>
      <c r="Z183" s="303"/>
      <c r="AA183" s="203"/>
      <c r="AB183" s="306"/>
      <c r="AC183" s="203"/>
      <c r="AD183" s="307"/>
      <c r="AE183" s="308"/>
      <c r="AF183" s="309"/>
      <c r="AG183" s="310"/>
      <c r="AH183" s="303"/>
      <c r="AI183" s="203"/>
      <c r="AJ183" s="311"/>
      <c r="AK183" s="451"/>
      <c r="AL183" s="59"/>
      <c r="AM183" s="60"/>
      <c r="AO183" s="137" t="e">
        <f t="shared" si="21"/>
        <v>#N/A</v>
      </c>
      <c r="AP183" s="138" t="e">
        <f t="shared" si="22"/>
        <v>#N/A</v>
      </c>
      <c r="AQ183" s="138" t="e">
        <f t="shared" si="23"/>
        <v>#N/A</v>
      </c>
      <c r="AR183" s="138" t="e">
        <f t="shared" si="24"/>
        <v>#N/A</v>
      </c>
      <c r="AS183" s="138" t="e">
        <f t="shared" si="25"/>
        <v>#N/A</v>
      </c>
      <c r="AT183" s="139" t="e">
        <f t="shared" si="26"/>
        <v>#N/A</v>
      </c>
      <c r="BB183" s="16" t="s">
        <v>596</v>
      </c>
    </row>
    <row r="184" spans="1:54" ht="102.75" customHeight="1">
      <c r="A184" s="428">
        <f t="shared" si="27"/>
        <v>176</v>
      </c>
      <c r="B184" s="294"/>
      <c r="C184" s="203"/>
      <c r="D184" s="301"/>
      <c r="E184" s="301"/>
      <c r="F184" s="301"/>
      <c r="G184" s="301"/>
      <c r="H184" s="302"/>
      <c r="I184" s="292"/>
      <c r="J184" s="61"/>
      <c r="K184" s="303"/>
      <c r="L184" s="303"/>
      <c r="M184" s="203"/>
      <c r="N184" s="84" t="str">
        <f>IF($AI184&lt;&gt;"",Master!$N$37,IF($AC184&lt;&gt;"",Master!$N$38,IF($S184&lt;&gt;"",Master!$N$39,IF($C184&lt;&gt;"",Master!$N$40,Master!$N$41))))</f>
        <v>起票</v>
      </c>
      <c r="O184" s="202" t="str">
        <f>IF($N184=Master!$N$37,MAX($S184,$AC184,$AI184),"")</f>
        <v/>
      </c>
      <c r="P184" s="65"/>
      <c r="Q184" s="203"/>
      <c r="R184" s="303"/>
      <c r="S184" s="203"/>
      <c r="T184" s="310"/>
      <c r="U184" s="304"/>
      <c r="V184" s="303"/>
      <c r="W184" s="306"/>
      <c r="X184" s="306"/>
      <c r="Y184" s="305"/>
      <c r="Z184" s="303"/>
      <c r="AA184" s="203"/>
      <c r="AB184" s="306"/>
      <c r="AC184" s="203"/>
      <c r="AD184" s="307"/>
      <c r="AE184" s="308"/>
      <c r="AF184" s="309"/>
      <c r="AG184" s="310"/>
      <c r="AH184" s="303"/>
      <c r="AI184" s="203"/>
      <c r="AJ184" s="311"/>
      <c r="AK184" s="451"/>
      <c r="AL184" s="59"/>
      <c r="AM184" s="60"/>
      <c r="AO184" s="137" t="e">
        <f t="shared" si="21"/>
        <v>#N/A</v>
      </c>
      <c r="AP184" s="138" t="e">
        <f t="shared" si="22"/>
        <v>#N/A</v>
      </c>
      <c r="AQ184" s="138" t="e">
        <f t="shared" si="23"/>
        <v>#N/A</v>
      </c>
      <c r="AR184" s="138" t="e">
        <f t="shared" si="24"/>
        <v>#N/A</v>
      </c>
      <c r="AS184" s="138" t="e">
        <f t="shared" si="25"/>
        <v>#N/A</v>
      </c>
      <c r="AT184" s="139" t="e">
        <f t="shared" si="26"/>
        <v>#N/A</v>
      </c>
      <c r="BB184" s="16" t="s">
        <v>596</v>
      </c>
    </row>
    <row r="185" spans="1:54" ht="102.75" customHeight="1">
      <c r="A185" s="428">
        <f t="shared" si="27"/>
        <v>177</v>
      </c>
      <c r="B185" s="294"/>
      <c r="C185" s="203"/>
      <c r="D185" s="301"/>
      <c r="E185" s="301"/>
      <c r="F185" s="301"/>
      <c r="G185" s="301"/>
      <c r="H185" s="302"/>
      <c r="I185" s="292"/>
      <c r="J185" s="61"/>
      <c r="K185" s="303"/>
      <c r="L185" s="303"/>
      <c r="M185" s="203"/>
      <c r="N185" s="84" t="str">
        <f>IF($AI185&lt;&gt;"",Master!$N$37,IF($AC185&lt;&gt;"",Master!$N$38,IF($S185&lt;&gt;"",Master!$N$39,IF($C185&lt;&gt;"",Master!$N$40,Master!$N$41))))</f>
        <v>起票</v>
      </c>
      <c r="O185" s="202" t="str">
        <f>IF($N185=Master!$N$37,MAX($S185,$AC185,$AI185),"")</f>
        <v/>
      </c>
      <c r="P185" s="65"/>
      <c r="Q185" s="203"/>
      <c r="R185" s="303"/>
      <c r="S185" s="203"/>
      <c r="T185" s="310"/>
      <c r="U185" s="304"/>
      <c r="V185" s="303"/>
      <c r="W185" s="306"/>
      <c r="X185" s="306"/>
      <c r="Y185" s="305"/>
      <c r="Z185" s="303"/>
      <c r="AA185" s="203"/>
      <c r="AB185" s="306"/>
      <c r="AC185" s="203"/>
      <c r="AD185" s="307"/>
      <c r="AE185" s="308"/>
      <c r="AF185" s="309"/>
      <c r="AG185" s="310"/>
      <c r="AH185" s="303"/>
      <c r="AI185" s="203"/>
      <c r="AJ185" s="311"/>
      <c r="AK185" s="451"/>
      <c r="AL185" s="59"/>
      <c r="AM185" s="60"/>
      <c r="AO185" s="137" t="e">
        <f t="shared" si="21"/>
        <v>#N/A</v>
      </c>
      <c r="AP185" s="138" t="e">
        <f t="shared" si="22"/>
        <v>#N/A</v>
      </c>
      <c r="AQ185" s="138" t="e">
        <f t="shared" si="23"/>
        <v>#N/A</v>
      </c>
      <c r="AR185" s="138" t="e">
        <f t="shared" si="24"/>
        <v>#N/A</v>
      </c>
      <c r="AS185" s="138" t="e">
        <f t="shared" si="25"/>
        <v>#N/A</v>
      </c>
      <c r="AT185" s="139" t="e">
        <f t="shared" si="26"/>
        <v>#N/A</v>
      </c>
      <c r="BB185" s="16" t="s">
        <v>596</v>
      </c>
    </row>
    <row r="186" spans="1:54" ht="102.75" customHeight="1">
      <c r="A186" s="428">
        <f t="shared" si="27"/>
        <v>178</v>
      </c>
      <c r="B186" s="294"/>
      <c r="C186" s="203"/>
      <c r="D186" s="301"/>
      <c r="E186" s="301"/>
      <c r="F186" s="301"/>
      <c r="G186" s="301"/>
      <c r="H186" s="302"/>
      <c r="I186" s="292"/>
      <c r="J186" s="61"/>
      <c r="K186" s="303"/>
      <c r="L186" s="303"/>
      <c r="M186" s="203"/>
      <c r="N186" s="84" t="str">
        <f>IF($AI186&lt;&gt;"",Master!$N$37,IF($AC186&lt;&gt;"",Master!$N$38,IF($S186&lt;&gt;"",Master!$N$39,IF($C186&lt;&gt;"",Master!$N$40,Master!$N$41))))</f>
        <v>起票</v>
      </c>
      <c r="O186" s="202" t="str">
        <f>IF($N186=Master!$N$37,MAX($S186,$AC186,$AI186),"")</f>
        <v/>
      </c>
      <c r="P186" s="65"/>
      <c r="Q186" s="203"/>
      <c r="R186" s="303"/>
      <c r="S186" s="203"/>
      <c r="T186" s="310"/>
      <c r="U186" s="304"/>
      <c r="V186" s="303"/>
      <c r="W186" s="306"/>
      <c r="X186" s="306"/>
      <c r="Y186" s="305"/>
      <c r="Z186" s="303"/>
      <c r="AA186" s="203"/>
      <c r="AB186" s="306"/>
      <c r="AC186" s="203"/>
      <c r="AD186" s="307"/>
      <c r="AE186" s="308"/>
      <c r="AF186" s="309"/>
      <c r="AG186" s="310"/>
      <c r="AH186" s="303"/>
      <c r="AI186" s="203"/>
      <c r="AJ186" s="311"/>
      <c r="AK186" s="451"/>
      <c r="AL186" s="59"/>
      <c r="AM186" s="60"/>
      <c r="AO186" s="137" t="e">
        <f t="shared" si="21"/>
        <v>#N/A</v>
      </c>
      <c r="AP186" s="138" t="e">
        <f t="shared" si="22"/>
        <v>#N/A</v>
      </c>
      <c r="AQ186" s="138" t="e">
        <f t="shared" si="23"/>
        <v>#N/A</v>
      </c>
      <c r="AR186" s="138" t="e">
        <f t="shared" si="24"/>
        <v>#N/A</v>
      </c>
      <c r="AS186" s="138" t="e">
        <f t="shared" si="25"/>
        <v>#N/A</v>
      </c>
      <c r="AT186" s="139" t="e">
        <f t="shared" si="26"/>
        <v>#N/A</v>
      </c>
      <c r="BB186" s="16" t="s">
        <v>596</v>
      </c>
    </row>
    <row r="187" spans="1:54" ht="102.75" customHeight="1">
      <c r="A187" s="428">
        <f t="shared" si="27"/>
        <v>179</v>
      </c>
      <c r="B187" s="294"/>
      <c r="C187" s="203"/>
      <c r="D187" s="301"/>
      <c r="E187" s="301"/>
      <c r="F187" s="301"/>
      <c r="G187" s="301"/>
      <c r="H187" s="302"/>
      <c r="I187" s="292"/>
      <c r="J187" s="61"/>
      <c r="K187" s="303"/>
      <c r="L187" s="303"/>
      <c r="M187" s="203"/>
      <c r="N187" s="84" t="str">
        <f>IF($AI187&lt;&gt;"",Master!$N$37,IF($AC187&lt;&gt;"",Master!$N$38,IF($S187&lt;&gt;"",Master!$N$39,IF($C187&lt;&gt;"",Master!$N$40,Master!$N$41))))</f>
        <v>起票</v>
      </c>
      <c r="O187" s="202" t="str">
        <f>IF($N187=Master!$N$37,MAX($S187,$AC187,$AI187),"")</f>
        <v/>
      </c>
      <c r="P187" s="65"/>
      <c r="Q187" s="203"/>
      <c r="R187" s="303"/>
      <c r="S187" s="203"/>
      <c r="T187" s="310"/>
      <c r="U187" s="304"/>
      <c r="V187" s="303"/>
      <c r="W187" s="306"/>
      <c r="X187" s="306"/>
      <c r="Y187" s="305"/>
      <c r="Z187" s="303"/>
      <c r="AA187" s="203"/>
      <c r="AB187" s="306"/>
      <c r="AC187" s="203"/>
      <c r="AD187" s="307"/>
      <c r="AE187" s="308"/>
      <c r="AF187" s="309"/>
      <c r="AG187" s="310"/>
      <c r="AH187" s="303"/>
      <c r="AI187" s="203"/>
      <c r="AJ187" s="311"/>
      <c r="AK187" s="451"/>
      <c r="AL187" s="59"/>
      <c r="AM187" s="60"/>
      <c r="AO187" s="137" t="e">
        <f t="shared" si="21"/>
        <v>#N/A</v>
      </c>
      <c r="AP187" s="138" t="e">
        <f t="shared" si="22"/>
        <v>#N/A</v>
      </c>
      <c r="AQ187" s="138" t="e">
        <f t="shared" si="23"/>
        <v>#N/A</v>
      </c>
      <c r="AR187" s="138" t="e">
        <f t="shared" si="24"/>
        <v>#N/A</v>
      </c>
      <c r="AS187" s="138" t="e">
        <f t="shared" si="25"/>
        <v>#N/A</v>
      </c>
      <c r="AT187" s="139" t="e">
        <f t="shared" si="26"/>
        <v>#N/A</v>
      </c>
      <c r="BB187" s="16" t="s">
        <v>596</v>
      </c>
    </row>
    <row r="188" spans="1:54" ht="102.75" customHeight="1">
      <c r="A188" s="428">
        <f t="shared" si="27"/>
        <v>180</v>
      </c>
      <c r="B188" s="294"/>
      <c r="C188" s="203"/>
      <c r="D188" s="301"/>
      <c r="E188" s="301"/>
      <c r="F188" s="301"/>
      <c r="G188" s="301"/>
      <c r="H188" s="302"/>
      <c r="I188" s="292"/>
      <c r="J188" s="61"/>
      <c r="K188" s="303"/>
      <c r="L188" s="303"/>
      <c r="M188" s="203"/>
      <c r="N188" s="84" t="str">
        <f>IF($AI188&lt;&gt;"",Master!$N$37,IF($AC188&lt;&gt;"",Master!$N$38,IF($S188&lt;&gt;"",Master!$N$39,IF($C188&lt;&gt;"",Master!$N$40,Master!$N$41))))</f>
        <v>起票</v>
      </c>
      <c r="O188" s="202" t="str">
        <f>IF($N188=Master!$N$37,MAX($S188,$AC188,$AI188),"")</f>
        <v/>
      </c>
      <c r="P188" s="65"/>
      <c r="Q188" s="203"/>
      <c r="R188" s="303"/>
      <c r="S188" s="203"/>
      <c r="T188" s="310"/>
      <c r="U188" s="304"/>
      <c r="V188" s="303"/>
      <c r="W188" s="306"/>
      <c r="X188" s="306"/>
      <c r="Y188" s="305"/>
      <c r="Z188" s="303"/>
      <c r="AA188" s="203"/>
      <c r="AB188" s="306"/>
      <c r="AC188" s="203"/>
      <c r="AD188" s="307"/>
      <c r="AE188" s="308"/>
      <c r="AF188" s="309"/>
      <c r="AG188" s="310"/>
      <c r="AH188" s="303"/>
      <c r="AI188" s="203"/>
      <c r="AJ188" s="311"/>
      <c r="AK188" s="451"/>
      <c r="AL188" s="59"/>
      <c r="AM188" s="60"/>
      <c r="AO188" s="137" t="e">
        <f t="shared" si="21"/>
        <v>#N/A</v>
      </c>
      <c r="AP188" s="138" t="e">
        <f t="shared" si="22"/>
        <v>#N/A</v>
      </c>
      <c r="AQ188" s="138" t="e">
        <f t="shared" si="23"/>
        <v>#N/A</v>
      </c>
      <c r="AR188" s="138" t="e">
        <f t="shared" si="24"/>
        <v>#N/A</v>
      </c>
      <c r="AS188" s="138" t="e">
        <f t="shared" si="25"/>
        <v>#N/A</v>
      </c>
      <c r="AT188" s="139" t="e">
        <f t="shared" si="26"/>
        <v>#N/A</v>
      </c>
      <c r="BB188" s="16" t="s">
        <v>596</v>
      </c>
    </row>
    <row r="189" spans="1:54" ht="102.75" customHeight="1">
      <c r="A189" s="428">
        <f t="shared" si="27"/>
        <v>181</v>
      </c>
      <c r="B189" s="294"/>
      <c r="C189" s="203"/>
      <c r="D189" s="301"/>
      <c r="E189" s="301"/>
      <c r="F189" s="301"/>
      <c r="G189" s="301"/>
      <c r="H189" s="302"/>
      <c r="I189" s="292"/>
      <c r="J189" s="61"/>
      <c r="K189" s="303"/>
      <c r="L189" s="303"/>
      <c r="M189" s="203"/>
      <c r="N189" s="84" t="str">
        <f>IF($AI189&lt;&gt;"",Master!$N$37,IF($AC189&lt;&gt;"",Master!$N$38,IF($S189&lt;&gt;"",Master!$N$39,IF($C189&lt;&gt;"",Master!$N$40,Master!$N$41))))</f>
        <v>起票</v>
      </c>
      <c r="O189" s="202" t="str">
        <f>IF($N189=Master!$N$37,MAX($S189,$AC189,$AI189),"")</f>
        <v/>
      </c>
      <c r="P189" s="65"/>
      <c r="Q189" s="203"/>
      <c r="R189" s="303"/>
      <c r="S189" s="203"/>
      <c r="T189" s="310"/>
      <c r="U189" s="304"/>
      <c r="V189" s="303"/>
      <c r="W189" s="306"/>
      <c r="X189" s="306"/>
      <c r="Y189" s="305"/>
      <c r="Z189" s="303"/>
      <c r="AA189" s="203"/>
      <c r="AB189" s="306"/>
      <c r="AC189" s="203"/>
      <c r="AD189" s="307"/>
      <c r="AE189" s="308"/>
      <c r="AF189" s="309"/>
      <c r="AG189" s="310"/>
      <c r="AH189" s="303"/>
      <c r="AI189" s="203"/>
      <c r="AJ189" s="311"/>
      <c r="AK189" s="451"/>
      <c r="AL189" s="59"/>
      <c r="AM189" s="60"/>
      <c r="AO189" s="137" t="e">
        <f t="shared" si="21"/>
        <v>#N/A</v>
      </c>
      <c r="AP189" s="138" t="e">
        <f t="shared" si="22"/>
        <v>#N/A</v>
      </c>
      <c r="AQ189" s="138" t="e">
        <f t="shared" si="23"/>
        <v>#N/A</v>
      </c>
      <c r="AR189" s="138" t="e">
        <f t="shared" si="24"/>
        <v>#N/A</v>
      </c>
      <c r="AS189" s="138" t="e">
        <f t="shared" si="25"/>
        <v>#N/A</v>
      </c>
      <c r="AT189" s="139" t="e">
        <f t="shared" si="26"/>
        <v>#N/A</v>
      </c>
      <c r="BB189" s="16" t="s">
        <v>596</v>
      </c>
    </row>
    <row r="190" spans="1:54" ht="102.75" customHeight="1">
      <c r="A190" s="428">
        <f t="shared" si="27"/>
        <v>182</v>
      </c>
      <c r="B190" s="294"/>
      <c r="C190" s="203"/>
      <c r="D190" s="301"/>
      <c r="E190" s="301"/>
      <c r="F190" s="301"/>
      <c r="G190" s="301"/>
      <c r="H190" s="302"/>
      <c r="I190" s="292"/>
      <c r="J190" s="61"/>
      <c r="K190" s="303"/>
      <c r="L190" s="303"/>
      <c r="M190" s="203"/>
      <c r="N190" s="84" t="str">
        <f>IF($AI190&lt;&gt;"",Master!$N$37,IF($AC190&lt;&gt;"",Master!$N$38,IF($S190&lt;&gt;"",Master!$N$39,IF($C190&lt;&gt;"",Master!$N$40,Master!$N$41))))</f>
        <v>起票</v>
      </c>
      <c r="O190" s="202" t="str">
        <f>IF($N190=Master!$N$37,MAX($S190,$AC190,$AI190),"")</f>
        <v/>
      </c>
      <c r="P190" s="65"/>
      <c r="Q190" s="203"/>
      <c r="R190" s="303"/>
      <c r="S190" s="203"/>
      <c r="T190" s="310"/>
      <c r="U190" s="304"/>
      <c r="V190" s="303"/>
      <c r="W190" s="306"/>
      <c r="X190" s="306"/>
      <c r="Y190" s="305"/>
      <c r="Z190" s="303"/>
      <c r="AA190" s="203"/>
      <c r="AB190" s="306"/>
      <c r="AC190" s="203"/>
      <c r="AD190" s="307"/>
      <c r="AE190" s="308"/>
      <c r="AF190" s="309"/>
      <c r="AG190" s="310"/>
      <c r="AH190" s="303"/>
      <c r="AI190" s="203"/>
      <c r="AJ190" s="311"/>
      <c r="AK190" s="451"/>
      <c r="AL190" s="59"/>
      <c r="AM190" s="60"/>
      <c r="AO190" s="137" t="e">
        <f t="shared" si="21"/>
        <v>#N/A</v>
      </c>
      <c r="AP190" s="138" t="e">
        <f t="shared" si="22"/>
        <v>#N/A</v>
      </c>
      <c r="AQ190" s="138" t="e">
        <f t="shared" si="23"/>
        <v>#N/A</v>
      </c>
      <c r="AR190" s="138" t="e">
        <f t="shared" si="24"/>
        <v>#N/A</v>
      </c>
      <c r="AS190" s="138" t="e">
        <f t="shared" si="25"/>
        <v>#N/A</v>
      </c>
      <c r="AT190" s="139" t="e">
        <f t="shared" si="26"/>
        <v>#N/A</v>
      </c>
      <c r="BB190" s="16" t="s">
        <v>596</v>
      </c>
    </row>
    <row r="191" spans="1:54" ht="102.75" customHeight="1">
      <c r="A191" s="428">
        <f t="shared" si="27"/>
        <v>183</v>
      </c>
      <c r="B191" s="294"/>
      <c r="C191" s="203"/>
      <c r="D191" s="301"/>
      <c r="E191" s="301"/>
      <c r="F191" s="301"/>
      <c r="G191" s="301"/>
      <c r="H191" s="302"/>
      <c r="I191" s="292"/>
      <c r="J191" s="61"/>
      <c r="K191" s="303"/>
      <c r="L191" s="303"/>
      <c r="M191" s="203"/>
      <c r="N191" s="84" t="str">
        <f>IF($AI191&lt;&gt;"",Master!$N$37,IF($AC191&lt;&gt;"",Master!$N$38,IF($S191&lt;&gt;"",Master!$N$39,IF($C191&lt;&gt;"",Master!$N$40,Master!$N$41))))</f>
        <v>起票</v>
      </c>
      <c r="O191" s="202" t="str">
        <f>IF($N191=Master!$N$37,MAX($S191,$AC191,$AI191),"")</f>
        <v/>
      </c>
      <c r="P191" s="65"/>
      <c r="Q191" s="203"/>
      <c r="R191" s="303"/>
      <c r="S191" s="203"/>
      <c r="T191" s="310"/>
      <c r="U191" s="304"/>
      <c r="V191" s="303"/>
      <c r="W191" s="306"/>
      <c r="X191" s="306"/>
      <c r="Y191" s="305"/>
      <c r="Z191" s="303"/>
      <c r="AA191" s="203"/>
      <c r="AB191" s="306"/>
      <c r="AC191" s="203"/>
      <c r="AD191" s="307"/>
      <c r="AE191" s="308"/>
      <c r="AF191" s="309"/>
      <c r="AG191" s="310"/>
      <c r="AH191" s="303"/>
      <c r="AI191" s="203"/>
      <c r="AJ191" s="311"/>
      <c r="AK191" s="451"/>
      <c r="AL191" s="59"/>
      <c r="AM191" s="60"/>
      <c r="AO191" s="137" t="e">
        <f t="shared" si="21"/>
        <v>#N/A</v>
      </c>
      <c r="AP191" s="138" t="e">
        <f t="shared" si="22"/>
        <v>#N/A</v>
      </c>
      <c r="AQ191" s="138" t="e">
        <f t="shared" si="23"/>
        <v>#N/A</v>
      </c>
      <c r="AR191" s="138" t="e">
        <f t="shared" si="24"/>
        <v>#N/A</v>
      </c>
      <c r="AS191" s="138" t="e">
        <f t="shared" si="25"/>
        <v>#N/A</v>
      </c>
      <c r="AT191" s="139" t="e">
        <f t="shared" si="26"/>
        <v>#N/A</v>
      </c>
      <c r="BB191" s="16" t="s">
        <v>596</v>
      </c>
    </row>
    <row r="192" spans="1:54" ht="102.75" customHeight="1">
      <c r="A192" s="428">
        <f t="shared" si="27"/>
        <v>184</v>
      </c>
      <c r="B192" s="294"/>
      <c r="C192" s="203"/>
      <c r="D192" s="301"/>
      <c r="E192" s="301"/>
      <c r="F192" s="301"/>
      <c r="G192" s="301"/>
      <c r="H192" s="302"/>
      <c r="I192" s="292"/>
      <c r="J192" s="61"/>
      <c r="K192" s="303"/>
      <c r="L192" s="303"/>
      <c r="M192" s="203"/>
      <c r="N192" s="84" t="str">
        <f>IF($AI192&lt;&gt;"",Master!$N$37,IF($AC192&lt;&gt;"",Master!$N$38,IF($S192&lt;&gt;"",Master!$N$39,IF($C192&lt;&gt;"",Master!$N$40,Master!$N$41))))</f>
        <v>起票</v>
      </c>
      <c r="O192" s="202" t="str">
        <f>IF($N192=Master!$N$37,MAX($S192,$AC192,$AI192),"")</f>
        <v/>
      </c>
      <c r="P192" s="65"/>
      <c r="Q192" s="203"/>
      <c r="R192" s="303"/>
      <c r="S192" s="203"/>
      <c r="T192" s="310"/>
      <c r="U192" s="304"/>
      <c r="V192" s="303"/>
      <c r="W192" s="306"/>
      <c r="X192" s="306"/>
      <c r="Y192" s="305"/>
      <c r="Z192" s="303"/>
      <c r="AA192" s="203"/>
      <c r="AB192" s="306"/>
      <c r="AC192" s="203"/>
      <c r="AD192" s="307"/>
      <c r="AE192" s="308"/>
      <c r="AF192" s="309"/>
      <c r="AG192" s="310"/>
      <c r="AH192" s="303"/>
      <c r="AI192" s="203"/>
      <c r="AJ192" s="311"/>
      <c r="AK192" s="451"/>
      <c r="AL192" s="59"/>
      <c r="AM192" s="60"/>
      <c r="AO192" s="137" t="e">
        <f t="shared" si="21"/>
        <v>#N/A</v>
      </c>
      <c r="AP192" s="138" t="e">
        <f t="shared" si="22"/>
        <v>#N/A</v>
      </c>
      <c r="AQ192" s="138" t="e">
        <f t="shared" si="23"/>
        <v>#N/A</v>
      </c>
      <c r="AR192" s="138" t="e">
        <f t="shared" si="24"/>
        <v>#N/A</v>
      </c>
      <c r="AS192" s="138" t="e">
        <f t="shared" si="25"/>
        <v>#N/A</v>
      </c>
      <c r="AT192" s="139" t="e">
        <f t="shared" si="26"/>
        <v>#N/A</v>
      </c>
      <c r="BB192" s="16" t="s">
        <v>596</v>
      </c>
    </row>
    <row r="193" spans="1:54" ht="102.75" customHeight="1">
      <c r="A193" s="428">
        <f t="shared" si="27"/>
        <v>185</v>
      </c>
      <c r="B193" s="294"/>
      <c r="C193" s="203"/>
      <c r="D193" s="301"/>
      <c r="E193" s="301"/>
      <c r="F193" s="301"/>
      <c r="G193" s="301"/>
      <c r="H193" s="302"/>
      <c r="I193" s="292"/>
      <c r="J193" s="61"/>
      <c r="K193" s="303"/>
      <c r="L193" s="303"/>
      <c r="M193" s="203"/>
      <c r="N193" s="84" t="str">
        <f>IF($AI193&lt;&gt;"",Master!$N$37,IF($AC193&lt;&gt;"",Master!$N$38,IF($S193&lt;&gt;"",Master!$N$39,IF($C193&lt;&gt;"",Master!$N$40,Master!$N$41))))</f>
        <v>起票</v>
      </c>
      <c r="O193" s="202" t="str">
        <f>IF($N193=Master!$N$37,MAX($S193,$AC193,$AI193),"")</f>
        <v/>
      </c>
      <c r="P193" s="65"/>
      <c r="Q193" s="203"/>
      <c r="R193" s="303"/>
      <c r="S193" s="203"/>
      <c r="T193" s="310"/>
      <c r="U193" s="304"/>
      <c r="V193" s="303"/>
      <c r="W193" s="306"/>
      <c r="X193" s="306"/>
      <c r="Y193" s="305"/>
      <c r="Z193" s="303"/>
      <c r="AA193" s="203"/>
      <c r="AB193" s="306"/>
      <c r="AC193" s="203"/>
      <c r="AD193" s="307"/>
      <c r="AE193" s="308"/>
      <c r="AF193" s="309"/>
      <c r="AG193" s="310"/>
      <c r="AH193" s="303"/>
      <c r="AI193" s="203"/>
      <c r="AJ193" s="311"/>
      <c r="AK193" s="451"/>
      <c r="AL193" s="59"/>
      <c r="AM193" s="60"/>
      <c r="AO193" s="137" t="e">
        <f t="shared" si="21"/>
        <v>#N/A</v>
      </c>
      <c r="AP193" s="138" t="e">
        <f t="shared" si="22"/>
        <v>#N/A</v>
      </c>
      <c r="AQ193" s="138" t="e">
        <f t="shared" si="23"/>
        <v>#N/A</v>
      </c>
      <c r="AR193" s="138" t="e">
        <f t="shared" si="24"/>
        <v>#N/A</v>
      </c>
      <c r="AS193" s="138" t="e">
        <f t="shared" si="25"/>
        <v>#N/A</v>
      </c>
      <c r="AT193" s="139" t="e">
        <f t="shared" si="26"/>
        <v>#N/A</v>
      </c>
      <c r="BB193" s="16" t="s">
        <v>596</v>
      </c>
    </row>
    <row r="194" spans="1:54" ht="102.75" customHeight="1">
      <c r="A194" s="428">
        <f t="shared" si="27"/>
        <v>186</v>
      </c>
      <c r="B194" s="294"/>
      <c r="C194" s="203"/>
      <c r="D194" s="301"/>
      <c r="E194" s="301"/>
      <c r="F194" s="301"/>
      <c r="G194" s="301"/>
      <c r="H194" s="302"/>
      <c r="I194" s="292"/>
      <c r="J194" s="61"/>
      <c r="K194" s="303"/>
      <c r="L194" s="303"/>
      <c r="M194" s="203"/>
      <c r="N194" s="84" t="str">
        <f>IF($AI194&lt;&gt;"",Master!$N$37,IF($AC194&lt;&gt;"",Master!$N$38,IF($S194&lt;&gt;"",Master!$N$39,IF($C194&lt;&gt;"",Master!$N$40,Master!$N$41))))</f>
        <v>起票</v>
      </c>
      <c r="O194" s="202" t="str">
        <f>IF($N194=Master!$N$37,MAX($S194,$AC194,$AI194),"")</f>
        <v/>
      </c>
      <c r="P194" s="65"/>
      <c r="Q194" s="203"/>
      <c r="R194" s="303"/>
      <c r="S194" s="203"/>
      <c r="T194" s="310"/>
      <c r="U194" s="304"/>
      <c r="V194" s="303"/>
      <c r="W194" s="306"/>
      <c r="X194" s="306"/>
      <c r="Y194" s="305"/>
      <c r="Z194" s="303"/>
      <c r="AA194" s="203"/>
      <c r="AB194" s="306"/>
      <c r="AC194" s="203"/>
      <c r="AD194" s="307"/>
      <c r="AE194" s="308"/>
      <c r="AF194" s="309"/>
      <c r="AG194" s="310"/>
      <c r="AH194" s="303"/>
      <c r="AI194" s="203"/>
      <c r="AJ194" s="311"/>
      <c r="AK194" s="451"/>
      <c r="AL194" s="59"/>
      <c r="AM194" s="60"/>
      <c r="AO194" s="137" t="e">
        <f t="shared" si="21"/>
        <v>#N/A</v>
      </c>
      <c r="AP194" s="138" t="e">
        <f t="shared" si="22"/>
        <v>#N/A</v>
      </c>
      <c r="AQ194" s="138" t="e">
        <f t="shared" si="23"/>
        <v>#N/A</v>
      </c>
      <c r="AR194" s="138" t="e">
        <f t="shared" si="24"/>
        <v>#N/A</v>
      </c>
      <c r="AS194" s="138" t="e">
        <f t="shared" si="25"/>
        <v>#N/A</v>
      </c>
      <c r="AT194" s="139" t="e">
        <f t="shared" si="26"/>
        <v>#N/A</v>
      </c>
      <c r="BB194" s="16" t="s">
        <v>596</v>
      </c>
    </row>
    <row r="195" spans="1:54" ht="102.75" customHeight="1">
      <c r="A195" s="428">
        <f t="shared" si="27"/>
        <v>187</v>
      </c>
      <c r="B195" s="294"/>
      <c r="C195" s="203"/>
      <c r="D195" s="301"/>
      <c r="E195" s="301"/>
      <c r="F195" s="301"/>
      <c r="G195" s="301"/>
      <c r="H195" s="302"/>
      <c r="I195" s="292"/>
      <c r="J195" s="61"/>
      <c r="K195" s="303"/>
      <c r="L195" s="303"/>
      <c r="M195" s="203"/>
      <c r="N195" s="84" t="str">
        <f>IF($AI195&lt;&gt;"",Master!$N$37,IF($AC195&lt;&gt;"",Master!$N$38,IF($S195&lt;&gt;"",Master!$N$39,IF($C195&lt;&gt;"",Master!$N$40,Master!$N$41))))</f>
        <v>起票</v>
      </c>
      <c r="O195" s="202" t="str">
        <f>IF($N195=Master!$N$37,MAX($S195,$AC195,$AI195),"")</f>
        <v/>
      </c>
      <c r="P195" s="65"/>
      <c r="Q195" s="203"/>
      <c r="R195" s="303"/>
      <c r="S195" s="203"/>
      <c r="T195" s="310"/>
      <c r="U195" s="304"/>
      <c r="V195" s="303"/>
      <c r="W195" s="306"/>
      <c r="X195" s="306"/>
      <c r="Y195" s="305"/>
      <c r="Z195" s="303"/>
      <c r="AA195" s="203"/>
      <c r="AB195" s="306"/>
      <c r="AC195" s="203"/>
      <c r="AD195" s="307"/>
      <c r="AE195" s="308"/>
      <c r="AF195" s="309"/>
      <c r="AG195" s="310"/>
      <c r="AH195" s="303"/>
      <c r="AI195" s="203"/>
      <c r="AJ195" s="311"/>
      <c r="AK195" s="451"/>
      <c r="AL195" s="59"/>
      <c r="AM195" s="60"/>
      <c r="AO195" s="137" t="e">
        <f t="shared" si="21"/>
        <v>#N/A</v>
      </c>
      <c r="AP195" s="138" t="e">
        <f t="shared" si="22"/>
        <v>#N/A</v>
      </c>
      <c r="AQ195" s="138" t="e">
        <f t="shared" si="23"/>
        <v>#N/A</v>
      </c>
      <c r="AR195" s="138" t="e">
        <f t="shared" si="24"/>
        <v>#N/A</v>
      </c>
      <c r="AS195" s="138" t="e">
        <f t="shared" si="25"/>
        <v>#N/A</v>
      </c>
      <c r="AT195" s="139" t="e">
        <f t="shared" si="26"/>
        <v>#N/A</v>
      </c>
      <c r="BB195" s="16" t="s">
        <v>596</v>
      </c>
    </row>
    <row r="196" spans="1:54" ht="102.75" customHeight="1">
      <c r="A196" s="428">
        <f t="shared" si="27"/>
        <v>188</v>
      </c>
      <c r="B196" s="294"/>
      <c r="C196" s="203"/>
      <c r="D196" s="301"/>
      <c r="E196" s="301"/>
      <c r="F196" s="301"/>
      <c r="G196" s="301"/>
      <c r="H196" s="302"/>
      <c r="I196" s="292"/>
      <c r="J196" s="61"/>
      <c r="K196" s="303"/>
      <c r="L196" s="303"/>
      <c r="M196" s="203"/>
      <c r="N196" s="84" t="str">
        <f>IF($AI196&lt;&gt;"",Master!$N$37,IF($AC196&lt;&gt;"",Master!$N$38,IF($S196&lt;&gt;"",Master!$N$39,IF($C196&lt;&gt;"",Master!$N$40,Master!$N$41))))</f>
        <v>起票</v>
      </c>
      <c r="O196" s="202" t="str">
        <f>IF($N196=Master!$N$37,MAX($S196,$AC196,$AI196),"")</f>
        <v/>
      </c>
      <c r="P196" s="65"/>
      <c r="Q196" s="203"/>
      <c r="R196" s="303"/>
      <c r="S196" s="203"/>
      <c r="T196" s="310"/>
      <c r="U196" s="304"/>
      <c r="V196" s="303"/>
      <c r="W196" s="306"/>
      <c r="X196" s="306"/>
      <c r="Y196" s="305"/>
      <c r="Z196" s="303"/>
      <c r="AA196" s="203"/>
      <c r="AB196" s="306"/>
      <c r="AC196" s="203"/>
      <c r="AD196" s="307"/>
      <c r="AE196" s="308"/>
      <c r="AF196" s="309"/>
      <c r="AG196" s="310"/>
      <c r="AH196" s="303"/>
      <c r="AI196" s="203"/>
      <c r="AJ196" s="311"/>
      <c r="AK196" s="451"/>
      <c r="AL196" s="59"/>
      <c r="AM196" s="60"/>
      <c r="AO196" s="137" t="e">
        <f t="shared" si="21"/>
        <v>#N/A</v>
      </c>
      <c r="AP196" s="138" t="e">
        <f t="shared" si="22"/>
        <v>#N/A</v>
      </c>
      <c r="AQ196" s="138" t="e">
        <f t="shared" si="23"/>
        <v>#N/A</v>
      </c>
      <c r="AR196" s="138" t="e">
        <f t="shared" si="24"/>
        <v>#N/A</v>
      </c>
      <c r="AS196" s="138" t="e">
        <f t="shared" si="25"/>
        <v>#N/A</v>
      </c>
      <c r="AT196" s="139" t="e">
        <f t="shared" si="26"/>
        <v>#N/A</v>
      </c>
      <c r="BB196" s="16" t="s">
        <v>596</v>
      </c>
    </row>
    <row r="197" spans="1:54" ht="102.75" customHeight="1">
      <c r="A197" s="428">
        <f t="shared" si="27"/>
        <v>189</v>
      </c>
      <c r="B197" s="294"/>
      <c r="C197" s="203"/>
      <c r="D197" s="301"/>
      <c r="E197" s="301"/>
      <c r="F197" s="301"/>
      <c r="G197" s="301"/>
      <c r="H197" s="302"/>
      <c r="I197" s="292"/>
      <c r="J197" s="61"/>
      <c r="K197" s="303"/>
      <c r="L197" s="303"/>
      <c r="M197" s="203"/>
      <c r="N197" s="84" t="str">
        <f>IF($AI197&lt;&gt;"",Master!$N$37,IF($AC197&lt;&gt;"",Master!$N$38,IF($S197&lt;&gt;"",Master!$N$39,IF($C197&lt;&gt;"",Master!$N$40,Master!$N$41))))</f>
        <v>起票</v>
      </c>
      <c r="O197" s="202" t="str">
        <f>IF($N197=Master!$N$37,MAX($S197,$AC197,$AI197),"")</f>
        <v/>
      </c>
      <c r="P197" s="65"/>
      <c r="Q197" s="203"/>
      <c r="R197" s="303"/>
      <c r="S197" s="203"/>
      <c r="T197" s="310"/>
      <c r="U197" s="304"/>
      <c r="V197" s="303"/>
      <c r="W197" s="306"/>
      <c r="X197" s="306"/>
      <c r="Y197" s="305"/>
      <c r="Z197" s="303"/>
      <c r="AA197" s="203"/>
      <c r="AB197" s="306"/>
      <c r="AC197" s="203"/>
      <c r="AD197" s="307"/>
      <c r="AE197" s="308"/>
      <c r="AF197" s="309"/>
      <c r="AG197" s="310"/>
      <c r="AH197" s="303"/>
      <c r="AI197" s="203"/>
      <c r="AJ197" s="311"/>
      <c r="AK197" s="451"/>
      <c r="AL197" s="59"/>
      <c r="AM197" s="60"/>
      <c r="AO197" s="137" t="e">
        <f t="shared" si="21"/>
        <v>#N/A</v>
      </c>
      <c r="AP197" s="138" t="e">
        <f t="shared" si="22"/>
        <v>#N/A</v>
      </c>
      <c r="AQ197" s="138" t="e">
        <f t="shared" si="23"/>
        <v>#N/A</v>
      </c>
      <c r="AR197" s="138" t="e">
        <f t="shared" si="24"/>
        <v>#N/A</v>
      </c>
      <c r="AS197" s="138" t="e">
        <f t="shared" si="25"/>
        <v>#N/A</v>
      </c>
      <c r="AT197" s="139" t="e">
        <f t="shared" si="26"/>
        <v>#N/A</v>
      </c>
      <c r="BB197" s="16" t="s">
        <v>596</v>
      </c>
    </row>
    <row r="198" spans="1:54" ht="102.75" customHeight="1">
      <c r="A198" s="428">
        <f t="shared" si="27"/>
        <v>190</v>
      </c>
      <c r="B198" s="294"/>
      <c r="C198" s="203"/>
      <c r="D198" s="301"/>
      <c r="E198" s="301"/>
      <c r="F198" s="301"/>
      <c r="G198" s="301"/>
      <c r="H198" s="302"/>
      <c r="I198" s="292"/>
      <c r="J198" s="61"/>
      <c r="K198" s="303"/>
      <c r="L198" s="303"/>
      <c r="M198" s="203"/>
      <c r="N198" s="84" t="str">
        <f>IF($AI198&lt;&gt;"",Master!$N$37,IF($AC198&lt;&gt;"",Master!$N$38,IF($S198&lt;&gt;"",Master!$N$39,IF($C198&lt;&gt;"",Master!$N$40,Master!$N$41))))</f>
        <v>起票</v>
      </c>
      <c r="O198" s="202" t="str">
        <f>IF($N198=Master!$N$37,MAX($S198,$AC198,$AI198),"")</f>
        <v/>
      </c>
      <c r="P198" s="65"/>
      <c r="Q198" s="203"/>
      <c r="R198" s="303"/>
      <c r="S198" s="203"/>
      <c r="T198" s="310"/>
      <c r="U198" s="304"/>
      <c r="V198" s="303"/>
      <c r="W198" s="306"/>
      <c r="X198" s="306"/>
      <c r="Y198" s="305"/>
      <c r="Z198" s="303"/>
      <c r="AA198" s="203"/>
      <c r="AB198" s="306"/>
      <c r="AC198" s="203"/>
      <c r="AD198" s="307"/>
      <c r="AE198" s="308"/>
      <c r="AF198" s="309"/>
      <c r="AG198" s="310"/>
      <c r="AH198" s="303"/>
      <c r="AI198" s="203"/>
      <c r="AJ198" s="311"/>
      <c r="AK198" s="451"/>
      <c r="AL198" s="59"/>
      <c r="AM198" s="60"/>
      <c r="AO198" s="137" t="e">
        <f t="shared" si="21"/>
        <v>#N/A</v>
      </c>
      <c r="AP198" s="138" t="e">
        <f t="shared" si="22"/>
        <v>#N/A</v>
      </c>
      <c r="AQ198" s="138" t="e">
        <f t="shared" si="23"/>
        <v>#N/A</v>
      </c>
      <c r="AR198" s="138" t="e">
        <f t="shared" si="24"/>
        <v>#N/A</v>
      </c>
      <c r="AS198" s="138" t="e">
        <f t="shared" si="25"/>
        <v>#N/A</v>
      </c>
      <c r="AT198" s="139" t="e">
        <f t="shared" si="26"/>
        <v>#N/A</v>
      </c>
      <c r="BB198" s="16" t="s">
        <v>596</v>
      </c>
    </row>
    <row r="199" spans="1:54" ht="102.75" customHeight="1">
      <c r="A199" s="428">
        <f t="shared" si="27"/>
        <v>191</v>
      </c>
      <c r="B199" s="294"/>
      <c r="C199" s="203"/>
      <c r="D199" s="301"/>
      <c r="E199" s="301"/>
      <c r="F199" s="301"/>
      <c r="G199" s="301"/>
      <c r="H199" s="302"/>
      <c r="I199" s="292"/>
      <c r="J199" s="61"/>
      <c r="K199" s="303"/>
      <c r="L199" s="303"/>
      <c r="M199" s="203"/>
      <c r="N199" s="84" t="str">
        <f>IF($AI199&lt;&gt;"",Master!$N$37,IF($AC199&lt;&gt;"",Master!$N$38,IF($S199&lt;&gt;"",Master!$N$39,IF($C199&lt;&gt;"",Master!$N$40,Master!$N$41))))</f>
        <v>起票</v>
      </c>
      <c r="O199" s="202" t="str">
        <f>IF($N199=Master!$N$37,MAX($S199,$AC199,$AI199),"")</f>
        <v/>
      </c>
      <c r="P199" s="65"/>
      <c r="Q199" s="203"/>
      <c r="R199" s="303"/>
      <c r="S199" s="203"/>
      <c r="T199" s="310"/>
      <c r="U199" s="304"/>
      <c r="V199" s="303"/>
      <c r="W199" s="306"/>
      <c r="X199" s="306"/>
      <c r="Y199" s="305"/>
      <c r="Z199" s="303"/>
      <c r="AA199" s="203"/>
      <c r="AB199" s="306"/>
      <c r="AC199" s="203"/>
      <c r="AD199" s="307"/>
      <c r="AE199" s="308"/>
      <c r="AF199" s="309"/>
      <c r="AG199" s="310"/>
      <c r="AH199" s="303"/>
      <c r="AI199" s="203"/>
      <c r="AJ199" s="311"/>
      <c r="AK199" s="451"/>
      <c r="AL199" s="59"/>
      <c r="AM199" s="60"/>
      <c r="AO199" s="137" t="e">
        <f t="shared" si="21"/>
        <v>#N/A</v>
      </c>
      <c r="AP199" s="138" t="e">
        <f t="shared" si="22"/>
        <v>#N/A</v>
      </c>
      <c r="AQ199" s="138" t="e">
        <f t="shared" si="23"/>
        <v>#N/A</v>
      </c>
      <c r="AR199" s="138" t="e">
        <f t="shared" si="24"/>
        <v>#N/A</v>
      </c>
      <c r="AS199" s="138" t="e">
        <f t="shared" si="25"/>
        <v>#N/A</v>
      </c>
      <c r="AT199" s="139" t="e">
        <f t="shared" si="26"/>
        <v>#N/A</v>
      </c>
      <c r="BB199" s="16" t="s">
        <v>596</v>
      </c>
    </row>
    <row r="200" spans="1:54" ht="102.75" customHeight="1">
      <c r="A200" s="428">
        <f t="shared" si="27"/>
        <v>192</v>
      </c>
      <c r="B200" s="294"/>
      <c r="C200" s="203"/>
      <c r="D200" s="301"/>
      <c r="E200" s="301"/>
      <c r="F200" s="301"/>
      <c r="G200" s="301"/>
      <c r="H200" s="302"/>
      <c r="I200" s="292"/>
      <c r="J200" s="61"/>
      <c r="K200" s="303"/>
      <c r="L200" s="303"/>
      <c r="M200" s="203"/>
      <c r="N200" s="84" t="str">
        <f>IF($AI200&lt;&gt;"",Master!$N$37,IF($AC200&lt;&gt;"",Master!$N$38,IF($S200&lt;&gt;"",Master!$N$39,IF($C200&lt;&gt;"",Master!$N$40,Master!$N$41))))</f>
        <v>起票</v>
      </c>
      <c r="O200" s="202" t="str">
        <f>IF($N200=Master!$N$37,MAX($S200,$AC200,$AI200),"")</f>
        <v/>
      </c>
      <c r="P200" s="65"/>
      <c r="Q200" s="203"/>
      <c r="R200" s="303"/>
      <c r="S200" s="203"/>
      <c r="T200" s="310"/>
      <c r="U200" s="304"/>
      <c r="V200" s="303"/>
      <c r="W200" s="306"/>
      <c r="X200" s="306"/>
      <c r="Y200" s="305"/>
      <c r="Z200" s="303"/>
      <c r="AA200" s="203"/>
      <c r="AB200" s="306"/>
      <c r="AC200" s="203"/>
      <c r="AD200" s="307"/>
      <c r="AE200" s="308"/>
      <c r="AF200" s="309"/>
      <c r="AG200" s="310"/>
      <c r="AH200" s="303"/>
      <c r="AI200" s="203"/>
      <c r="AJ200" s="311"/>
      <c r="AK200" s="451"/>
      <c r="AL200" s="59"/>
      <c r="AM200" s="60"/>
      <c r="AO200" s="137" t="e">
        <f t="shared" si="21"/>
        <v>#N/A</v>
      </c>
      <c r="AP200" s="138" t="e">
        <f t="shared" si="22"/>
        <v>#N/A</v>
      </c>
      <c r="AQ200" s="138" t="e">
        <f t="shared" si="23"/>
        <v>#N/A</v>
      </c>
      <c r="AR200" s="138" t="e">
        <f t="shared" si="24"/>
        <v>#N/A</v>
      </c>
      <c r="AS200" s="138" t="e">
        <f t="shared" si="25"/>
        <v>#N/A</v>
      </c>
      <c r="AT200" s="139" t="e">
        <f t="shared" si="26"/>
        <v>#N/A</v>
      </c>
      <c r="BB200" s="16" t="s">
        <v>596</v>
      </c>
    </row>
    <row r="201" spans="1:54" ht="102.75" customHeight="1">
      <c r="A201" s="428">
        <f t="shared" si="27"/>
        <v>193</v>
      </c>
      <c r="B201" s="294"/>
      <c r="C201" s="203"/>
      <c r="D201" s="301"/>
      <c r="E201" s="301"/>
      <c r="F201" s="301"/>
      <c r="G201" s="301"/>
      <c r="H201" s="302"/>
      <c r="I201" s="292"/>
      <c r="J201" s="61"/>
      <c r="K201" s="303"/>
      <c r="L201" s="303"/>
      <c r="M201" s="203"/>
      <c r="N201" s="84" t="str">
        <f>IF($AI201&lt;&gt;"",Master!$N$37,IF($AC201&lt;&gt;"",Master!$N$38,IF($S201&lt;&gt;"",Master!$N$39,IF($C201&lt;&gt;"",Master!$N$40,Master!$N$41))))</f>
        <v>起票</v>
      </c>
      <c r="O201" s="202" t="str">
        <f>IF($N201=Master!$N$37,MAX($S201,$AC201,$AI201),"")</f>
        <v/>
      </c>
      <c r="P201" s="65"/>
      <c r="Q201" s="203"/>
      <c r="R201" s="303"/>
      <c r="S201" s="203"/>
      <c r="T201" s="310"/>
      <c r="U201" s="304"/>
      <c r="V201" s="303"/>
      <c r="W201" s="306"/>
      <c r="X201" s="306"/>
      <c r="Y201" s="305"/>
      <c r="Z201" s="303"/>
      <c r="AA201" s="203"/>
      <c r="AB201" s="306"/>
      <c r="AC201" s="203"/>
      <c r="AD201" s="307"/>
      <c r="AE201" s="308"/>
      <c r="AF201" s="309"/>
      <c r="AG201" s="310"/>
      <c r="AH201" s="303"/>
      <c r="AI201" s="203"/>
      <c r="AJ201" s="311"/>
      <c r="AK201" s="451"/>
      <c r="AL201" s="59"/>
      <c r="AM201" s="60"/>
      <c r="AO201" s="137" t="e">
        <f t="shared" ref="AO201:AO264" si="28">IF(AND(C201&lt;&gt;"",C201&lt;=$AI$3),IF(E201="","",E201),NA())</f>
        <v>#N/A</v>
      </c>
      <c r="AP201" s="138" t="e">
        <f t="shared" ref="AP201:AP264" si="29">IF(AND(C201&lt;&gt;"",C201&lt;=$AI$3),IF(F201="","",F201),NA())</f>
        <v>#N/A</v>
      </c>
      <c r="AQ201" s="138" t="e">
        <f t="shared" ref="AQ201:AQ264" si="30">IF(AND(C201&lt;&gt;"",C201&lt;=$AI$3),IF(H201="","",H201),NA())</f>
        <v>#N/A</v>
      </c>
      <c r="AR201" s="138" t="e">
        <f t="shared" ref="AR201:AR264" si="31">IF(AND(C201&lt;&gt;"",C201&lt;=$AI$3),IF(U201="","",U201),NA())</f>
        <v>#N/A</v>
      </c>
      <c r="AS201" s="138" t="e">
        <f t="shared" ref="AS201:AS264" si="32">IF(AND(C201&lt;&gt;"",C201&lt;=$AI$3),IF(V201="","",V201),NA())</f>
        <v>#N/A</v>
      </c>
      <c r="AT201" s="139" t="e">
        <f t="shared" si="26"/>
        <v>#N/A</v>
      </c>
      <c r="BB201" s="16" t="s">
        <v>596</v>
      </c>
    </row>
    <row r="202" spans="1:54" ht="102.75" customHeight="1">
      <c r="A202" s="428">
        <f t="shared" si="27"/>
        <v>194</v>
      </c>
      <c r="B202" s="294"/>
      <c r="C202" s="203"/>
      <c r="D202" s="301"/>
      <c r="E202" s="301"/>
      <c r="F202" s="301"/>
      <c r="G202" s="301"/>
      <c r="H202" s="302"/>
      <c r="I202" s="292"/>
      <c r="J202" s="61"/>
      <c r="K202" s="303"/>
      <c r="L202" s="303"/>
      <c r="M202" s="203"/>
      <c r="N202" s="84" t="str">
        <f>IF($AI202&lt;&gt;"",Master!$N$37,IF($AC202&lt;&gt;"",Master!$N$38,IF($S202&lt;&gt;"",Master!$N$39,IF($C202&lt;&gt;"",Master!$N$40,Master!$N$41))))</f>
        <v>起票</v>
      </c>
      <c r="O202" s="202" t="str">
        <f>IF($N202=Master!$N$37,MAX($S202,$AC202,$AI202),"")</f>
        <v/>
      </c>
      <c r="P202" s="65"/>
      <c r="Q202" s="203"/>
      <c r="R202" s="303"/>
      <c r="S202" s="203"/>
      <c r="T202" s="310"/>
      <c r="U202" s="304"/>
      <c r="V202" s="303"/>
      <c r="W202" s="306"/>
      <c r="X202" s="306"/>
      <c r="Y202" s="305"/>
      <c r="Z202" s="303"/>
      <c r="AA202" s="203"/>
      <c r="AB202" s="306"/>
      <c r="AC202" s="203"/>
      <c r="AD202" s="307"/>
      <c r="AE202" s="308"/>
      <c r="AF202" s="309"/>
      <c r="AG202" s="310"/>
      <c r="AH202" s="303"/>
      <c r="AI202" s="203"/>
      <c r="AJ202" s="311"/>
      <c r="AK202" s="451"/>
      <c r="AL202" s="59"/>
      <c r="AM202" s="60"/>
      <c r="AO202" s="137" t="e">
        <f t="shared" si="28"/>
        <v>#N/A</v>
      </c>
      <c r="AP202" s="138" t="e">
        <f t="shared" si="29"/>
        <v>#N/A</v>
      </c>
      <c r="AQ202" s="138" t="e">
        <f t="shared" si="30"/>
        <v>#N/A</v>
      </c>
      <c r="AR202" s="138" t="e">
        <f t="shared" si="31"/>
        <v>#N/A</v>
      </c>
      <c r="AS202" s="138" t="e">
        <f t="shared" si="32"/>
        <v>#N/A</v>
      </c>
      <c r="AT202" s="139" t="e">
        <f t="shared" ref="AT202:AT265" si="33">IF(AND(C202&lt;&gt;"",C202&lt;=$AI$3),IF(AB202="","",AB202),NA())</f>
        <v>#N/A</v>
      </c>
      <c r="BB202" s="16" t="s">
        <v>596</v>
      </c>
    </row>
    <row r="203" spans="1:54" ht="102.75" customHeight="1">
      <c r="A203" s="428">
        <f t="shared" si="27"/>
        <v>195</v>
      </c>
      <c r="B203" s="294"/>
      <c r="C203" s="203"/>
      <c r="D203" s="301"/>
      <c r="E203" s="301"/>
      <c r="F203" s="301"/>
      <c r="G203" s="301"/>
      <c r="H203" s="302"/>
      <c r="I203" s="292"/>
      <c r="J203" s="61"/>
      <c r="K203" s="303"/>
      <c r="L203" s="303"/>
      <c r="M203" s="203"/>
      <c r="N203" s="84" t="str">
        <f>IF($AI203&lt;&gt;"",Master!$N$37,IF($AC203&lt;&gt;"",Master!$N$38,IF($S203&lt;&gt;"",Master!$N$39,IF($C203&lt;&gt;"",Master!$N$40,Master!$N$41))))</f>
        <v>起票</v>
      </c>
      <c r="O203" s="202" t="str">
        <f>IF($N203=Master!$N$37,MAX($S203,$AC203,$AI203),"")</f>
        <v/>
      </c>
      <c r="P203" s="65"/>
      <c r="Q203" s="203"/>
      <c r="R203" s="303"/>
      <c r="S203" s="203"/>
      <c r="T203" s="310"/>
      <c r="U203" s="304"/>
      <c r="V203" s="303"/>
      <c r="W203" s="306"/>
      <c r="X203" s="306"/>
      <c r="Y203" s="305"/>
      <c r="Z203" s="303"/>
      <c r="AA203" s="203"/>
      <c r="AB203" s="306"/>
      <c r="AC203" s="203"/>
      <c r="AD203" s="307"/>
      <c r="AE203" s="308"/>
      <c r="AF203" s="309"/>
      <c r="AG203" s="310"/>
      <c r="AH203" s="303"/>
      <c r="AI203" s="203"/>
      <c r="AJ203" s="311"/>
      <c r="AK203" s="451"/>
      <c r="AL203" s="59"/>
      <c r="AM203" s="60"/>
      <c r="AO203" s="137" t="e">
        <f t="shared" si="28"/>
        <v>#N/A</v>
      </c>
      <c r="AP203" s="138" t="e">
        <f t="shared" si="29"/>
        <v>#N/A</v>
      </c>
      <c r="AQ203" s="138" t="e">
        <f t="shared" si="30"/>
        <v>#N/A</v>
      </c>
      <c r="AR203" s="138" t="e">
        <f t="shared" si="31"/>
        <v>#N/A</v>
      </c>
      <c r="AS203" s="138" t="e">
        <f t="shared" si="32"/>
        <v>#N/A</v>
      </c>
      <c r="AT203" s="139" t="e">
        <f t="shared" si="33"/>
        <v>#N/A</v>
      </c>
      <c r="BB203" s="16" t="s">
        <v>596</v>
      </c>
    </row>
    <row r="204" spans="1:54" ht="102.75" customHeight="1">
      <c r="A204" s="428">
        <f t="shared" ref="A204:A267" si="34">A203+1</f>
        <v>196</v>
      </c>
      <c r="B204" s="294"/>
      <c r="C204" s="203"/>
      <c r="D204" s="301"/>
      <c r="E204" s="301"/>
      <c r="F204" s="301"/>
      <c r="G204" s="301"/>
      <c r="H204" s="302"/>
      <c r="I204" s="292"/>
      <c r="J204" s="61"/>
      <c r="K204" s="303"/>
      <c r="L204" s="303"/>
      <c r="M204" s="203"/>
      <c r="N204" s="84" t="str">
        <f>IF($AI204&lt;&gt;"",Master!$N$37,IF($AC204&lt;&gt;"",Master!$N$38,IF($S204&lt;&gt;"",Master!$N$39,IF($C204&lt;&gt;"",Master!$N$40,Master!$N$41))))</f>
        <v>起票</v>
      </c>
      <c r="O204" s="202" t="str">
        <f>IF($N204=Master!$N$37,MAX($S204,$AC204,$AI204),"")</f>
        <v/>
      </c>
      <c r="P204" s="65"/>
      <c r="Q204" s="203"/>
      <c r="R204" s="303"/>
      <c r="S204" s="203"/>
      <c r="T204" s="310"/>
      <c r="U204" s="304"/>
      <c r="V204" s="303"/>
      <c r="W204" s="306"/>
      <c r="X204" s="306"/>
      <c r="Y204" s="305"/>
      <c r="Z204" s="303"/>
      <c r="AA204" s="203"/>
      <c r="AB204" s="306"/>
      <c r="AC204" s="203"/>
      <c r="AD204" s="307"/>
      <c r="AE204" s="308"/>
      <c r="AF204" s="309"/>
      <c r="AG204" s="310"/>
      <c r="AH204" s="303"/>
      <c r="AI204" s="203"/>
      <c r="AJ204" s="311"/>
      <c r="AK204" s="451"/>
      <c r="AL204" s="59"/>
      <c r="AM204" s="60"/>
      <c r="AO204" s="137" t="e">
        <f t="shared" si="28"/>
        <v>#N/A</v>
      </c>
      <c r="AP204" s="138" t="e">
        <f t="shared" si="29"/>
        <v>#N/A</v>
      </c>
      <c r="AQ204" s="138" t="e">
        <f t="shared" si="30"/>
        <v>#N/A</v>
      </c>
      <c r="AR204" s="138" t="e">
        <f t="shared" si="31"/>
        <v>#N/A</v>
      </c>
      <c r="AS204" s="138" t="e">
        <f t="shared" si="32"/>
        <v>#N/A</v>
      </c>
      <c r="AT204" s="139" t="e">
        <f t="shared" si="33"/>
        <v>#N/A</v>
      </c>
      <c r="BB204" s="16" t="s">
        <v>596</v>
      </c>
    </row>
    <row r="205" spans="1:54" ht="102.75" customHeight="1">
      <c r="A205" s="428">
        <f t="shared" si="34"/>
        <v>197</v>
      </c>
      <c r="B205" s="294"/>
      <c r="C205" s="203"/>
      <c r="D205" s="301"/>
      <c r="E205" s="301"/>
      <c r="F205" s="301"/>
      <c r="G205" s="301"/>
      <c r="H205" s="302"/>
      <c r="I205" s="292"/>
      <c r="J205" s="61"/>
      <c r="K205" s="303"/>
      <c r="L205" s="303"/>
      <c r="M205" s="203"/>
      <c r="N205" s="84" t="str">
        <f>IF($AI205&lt;&gt;"",Master!$N$37,IF($AC205&lt;&gt;"",Master!$N$38,IF($S205&lt;&gt;"",Master!$N$39,IF($C205&lt;&gt;"",Master!$N$40,Master!$N$41))))</f>
        <v>起票</v>
      </c>
      <c r="O205" s="202" t="str">
        <f>IF($N205=Master!$N$37,MAX($S205,$AC205,$AI205),"")</f>
        <v/>
      </c>
      <c r="P205" s="65"/>
      <c r="Q205" s="203"/>
      <c r="R205" s="303"/>
      <c r="S205" s="203"/>
      <c r="T205" s="310"/>
      <c r="U205" s="304"/>
      <c r="V205" s="303"/>
      <c r="W205" s="306"/>
      <c r="X205" s="306"/>
      <c r="Y205" s="305"/>
      <c r="Z205" s="303"/>
      <c r="AA205" s="203"/>
      <c r="AB205" s="306"/>
      <c r="AC205" s="203"/>
      <c r="AD205" s="307"/>
      <c r="AE205" s="308"/>
      <c r="AF205" s="309"/>
      <c r="AG205" s="310"/>
      <c r="AH205" s="303"/>
      <c r="AI205" s="203"/>
      <c r="AJ205" s="311"/>
      <c r="AK205" s="451"/>
      <c r="AL205" s="59"/>
      <c r="AM205" s="60"/>
      <c r="AO205" s="137" t="e">
        <f t="shared" si="28"/>
        <v>#N/A</v>
      </c>
      <c r="AP205" s="138" t="e">
        <f t="shared" si="29"/>
        <v>#N/A</v>
      </c>
      <c r="AQ205" s="138" t="e">
        <f t="shared" si="30"/>
        <v>#N/A</v>
      </c>
      <c r="AR205" s="138" t="e">
        <f t="shared" si="31"/>
        <v>#N/A</v>
      </c>
      <c r="AS205" s="138" t="e">
        <f t="shared" si="32"/>
        <v>#N/A</v>
      </c>
      <c r="AT205" s="139" t="e">
        <f t="shared" si="33"/>
        <v>#N/A</v>
      </c>
      <c r="BB205" s="16" t="s">
        <v>596</v>
      </c>
    </row>
    <row r="206" spans="1:54" ht="102.75" customHeight="1">
      <c r="A206" s="428">
        <f t="shared" si="34"/>
        <v>198</v>
      </c>
      <c r="B206" s="294"/>
      <c r="C206" s="203"/>
      <c r="D206" s="301"/>
      <c r="E206" s="301"/>
      <c r="F206" s="301"/>
      <c r="G206" s="301"/>
      <c r="H206" s="302"/>
      <c r="I206" s="292"/>
      <c r="J206" s="61"/>
      <c r="K206" s="303"/>
      <c r="L206" s="303"/>
      <c r="M206" s="203"/>
      <c r="N206" s="84" t="str">
        <f>IF($AI206&lt;&gt;"",Master!$N$37,IF($AC206&lt;&gt;"",Master!$N$38,IF($S206&lt;&gt;"",Master!$N$39,IF($C206&lt;&gt;"",Master!$N$40,Master!$N$41))))</f>
        <v>起票</v>
      </c>
      <c r="O206" s="202" t="str">
        <f>IF($N206=Master!$N$37,MAX($S206,$AC206,$AI206),"")</f>
        <v/>
      </c>
      <c r="P206" s="65"/>
      <c r="Q206" s="203"/>
      <c r="R206" s="303"/>
      <c r="S206" s="203"/>
      <c r="T206" s="310"/>
      <c r="U206" s="304"/>
      <c r="V206" s="303"/>
      <c r="W206" s="306"/>
      <c r="X206" s="306"/>
      <c r="Y206" s="305"/>
      <c r="Z206" s="303"/>
      <c r="AA206" s="203"/>
      <c r="AB206" s="306"/>
      <c r="AC206" s="203"/>
      <c r="AD206" s="307"/>
      <c r="AE206" s="308"/>
      <c r="AF206" s="309"/>
      <c r="AG206" s="310"/>
      <c r="AH206" s="303"/>
      <c r="AI206" s="203"/>
      <c r="AJ206" s="311"/>
      <c r="AK206" s="451"/>
      <c r="AL206" s="59"/>
      <c r="AM206" s="60"/>
      <c r="AO206" s="137" t="e">
        <f t="shared" si="28"/>
        <v>#N/A</v>
      </c>
      <c r="AP206" s="138" t="e">
        <f t="shared" si="29"/>
        <v>#N/A</v>
      </c>
      <c r="AQ206" s="138" t="e">
        <f t="shared" si="30"/>
        <v>#N/A</v>
      </c>
      <c r="AR206" s="138" t="e">
        <f t="shared" si="31"/>
        <v>#N/A</v>
      </c>
      <c r="AS206" s="138" t="e">
        <f t="shared" si="32"/>
        <v>#N/A</v>
      </c>
      <c r="AT206" s="139" t="e">
        <f t="shared" si="33"/>
        <v>#N/A</v>
      </c>
      <c r="BB206" s="16" t="s">
        <v>596</v>
      </c>
    </row>
    <row r="207" spans="1:54" ht="102.75" customHeight="1">
      <c r="A207" s="428">
        <f t="shared" si="34"/>
        <v>199</v>
      </c>
      <c r="B207" s="294"/>
      <c r="C207" s="203"/>
      <c r="D207" s="301"/>
      <c r="E207" s="301"/>
      <c r="F207" s="301"/>
      <c r="G207" s="301"/>
      <c r="H207" s="302"/>
      <c r="I207" s="292"/>
      <c r="J207" s="61"/>
      <c r="K207" s="303"/>
      <c r="L207" s="303"/>
      <c r="M207" s="203"/>
      <c r="N207" s="84" t="str">
        <f>IF($AI207&lt;&gt;"",Master!$N$37,IF($AC207&lt;&gt;"",Master!$N$38,IF($S207&lt;&gt;"",Master!$N$39,IF($C207&lt;&gt;"",Master!$N$40,Master!$N$41))))</f>
        <v>起票</v>
      </c>
      <c r="O207" s="202" t="str">
        <f>IF($N207=Master!$N$37,MAX($S207,$AC207,$AI207),"")</f>
        <v/>
      </c>
      <c r="P207" s="65"/>
      <c r="Q207" s="203"/>
      <c r="R207" s="303"/>
      <c r="S207" s="203"/>
      <c r="T207" s="310"/>
      <c r="U207" s="304"/>
      <c r="V207" s="303"/>
      <c r="W207" s="306"/>
      <c r="X207" s="306"/>
      <c r="Y207" s="305"/>
      <c r="Z207" s="303"/>
      <c r="AA207" s="203"/>
      <c r="AB207" s="306"/>
      <c r="AC207" s="203"/>
      <c r="AD207" s="307"/>
      <c r="AE207" s="308"/>
      <c r="AF207" s="309"/>
      <c r="AG207" s="310"/>
      <c r="AH207" s="303"/>
      <c r="AI207" s="203"/>
      <c r="AJ207" s="311"/>
      <c r="AK207" s="451"/>
      <c r="AL207" s="59"/>
      <c r="AM207" s="60"/>
      <c r="AO207" s="137" t="e">
        <f t="shared" si="28"/>
        <v>#N/A</v>
      </c>
      <c r="AP207" s="138" t="e">
        <f t="shared" si="29"/>
        <v>#N/A</v>
      </c>
      <c r="AQ207" s="138" t="e">
        <f t="shared" si="30"/>
        <v>#N/A</v>
      </c>
      <c r="AR207" s="138" t="e">
        <f t="shared" si="31"/>
        <v>#N/A</v>
      </c>
      <c r="AS207" s="138" t="e">
        <f t="shared" si="32"/>
        <v>#N/A</v>
      </c>
      <c r="AT207" s="139" t="e">
        <f t="shared" si="33"/>
        <v>#N/A</v>
      </c>
      <c r="BB207" s="16" t="s">
        <v>596</v>
      </c>
    </row>
    <row r="208" spans="1:54" ht="102.75" customHeight="1">
      <c r="A208" s="428">
        <f t="shared" si="34"/>
        <v>200</v>
      </c>
      <c r="B208" s="294"/>
      <c r="C208" s="203"/>
      <c r="D208" s="301"/>
      <c r="E208" s="301"/>
      <c r="F208" s="301"/>
      <c r="G208" s="301"/>
      <c r="H208" s="302"/>
      <c r="I208" s="292"/>
      <c r="J208" s="61"/>
      <c r="K208" s="303"/>
      <c r="L208" s="303"/>
      <c r="M208" s="203"/>
      <c r="N208" s="84" t="str">
        <f>IF($AI208&lt;&gt;"",Master!$N$37,IF($AC208&lt;&gt;"",Master!$N$38,IF($S208&lt;&gt;"",Master!$N$39,IF($C208&lt;&gt;"",Master!$N$40,Master!$N$41))))</f>
        <v>起票</v>
      </c>
      <c r="O208" s="202" t="str">
        <f>IF($N208=Master!$N$37,MAX($S208,$AC208,$AI208),"")</f>
        <v/>
      </c>
      <c r="P208" s="65"/>
      <c r="Q208" s="203"/>
      <c r="R208" s="303"/>
      <c r="S208" s="203"/>
      <c r="T208" s="310"/>
      <c r="U208" s="304"/>
      <c r="V208" s="303"/>
      <c r="W208" s="306"/>
      <c r="X208" s="306"/>
      <c r="Y208" s="305"/>
      <c r="Z208" s="303"/>
      <c r="AA208" s="203"/>
      <c r="AB208" s="306"/>
      <c r="AC208" s="203"/>
      <c r="AD208" s="307"/>
      <c r="AE208" s="308"/>
      <c r="AF208" s="309"/>
      <c r="AG208" s="310"/>
      <c r="AH208" s="303"/>
      <c r="AI208" s="203"/>
      <c r="AJ208" s="311"/>
      <c r="AK208" s="451"/>
      <c r="AL208" s="59"/>
      <c r="AM208" s="60"/>
      <c r="AO208" s="137" t="e">
        <f t="shared" si="28"/>
        <v>#N/A</v>
      </c>
      <c r="AP208" s="138" t="e">
        <f t="shared" si="29"/>
        <v>#N/A</v>
      </c>
      <c r="AQ208" s="138" t="e">
        <f t="shared" si="30"/>
        <v>#N/A</v>
      </c>
      <c r="AR208" s="138" t="e">
        <f t="shared" si="31"/>
        <v>#N/A</v>
      </c>
      <c r="AS208" s="138" t="e">
        <f t="shared" si="32"/>
        <v>#N/A</v>
      </c>
      <c r="AT208" s="139" t="e">
        <f t="shared" si="33"/>
        <v>#N/A</v>
      </c>
      <c r="BB208" s="16" t="s">
        <v>596</v>
      </c>
    </row>
    <row r="209" spans="1:54" ht="102.75" customHeight="1">
      <c r="A209" s="428">
        <f t="shared" si="34"/>
        <v>201</v>
      </c>
      <c r="B209" s="294"/>
      <c r="C209" s="203"/>
      <c r="D209" s="301"/>
      <c r="E209" s="301"/>
      <c r="F209" s="301"/>
      <c r="G209" s="301"/>
      <c r="H209" s="302"/>
      <c r="I209" s="292"/>
      <c r="J209" s="61"/>
      <c r="K209" s="303"/>
      <c r="L209" s="303"/>
      <c r="M209" s="203"/>
      <c r="N209" s="84" t="str">
        <f>IF($AI209&lt;&gt;"",Master!$N$37,IF($AC209&lt;&gt;"",Master!$N$38,IF($S209&lt;&gt;"",Master!$N$39,IF($C209&lt;&gt;"",Master!$N$40,Master!$N$41))))</f>
        <v>起票</v>
      </c>
      <c r="O209" s="202" t="str">
        <f>IF($N209=Master!$N$37,MAX($S209,$AC209,$AI209),"")</f>
        <v/>
      </c>
      <c r="P209" s="65"/>
      <c r="Q209" s="203"/>
      <c r="R209" s="303"/>
      <c r="S209" s="203"/>
      <c r="T209" s="310"/>
      <c r="U209" s="304"/>
      <c r="V209" s="303"/>
      <c r="W209" s="306"/>
      <c r="X209" s="306"/>
      <c r="Y209" s="305"/>
      <c r="Z209" s="303"/>
      <c r="AA209" s="203"/>
      <c r="AB209" s="306"/>
      <c r="AC209" s="203"/>
      <c r="AD209" s="307"/>
      <c r="AE209" s="308"/>
      <c r="AF209" s="309"/>
      <c r="AG209" s="310"/>
      <c r="AH209" s="303"/>
      <c r="AI209" s="203"/>
      <c r="AJ209" s="311"/>
      <c r="AK209" s="451"/>
      <c r="AL209" s="59"/>
      <c r="AM209" s="60"/>
      <c r="AO209" s="137" t="e">
        <f t="shared" si="28"/>
        <v>#N/A</v>
      </c>
      <c r="AP209" s="138" t="e">
        <f t="shared" si="29"/>
        <v>#N/A</v>
      </c>
      <c r="AQ209" s="138" t="e">
        <f t="shared" si="30"/>
        <v>#N/A</v>
      </c>
      <c r="AR209" s="138" t="e">
        <f t="shared" si="31"/>
        <v>#N/A</v>
      </c>
      <c r="AS209" s="138" t="e">
        <f t="shared" si="32"/>
        <v>#N/A</v>
      </c>
      <c r="AT209" s="139" t="e">
        <f t="shared" si="33"/>
        <v>#N/A</v>
      </c>
      <c r="BB209" s="16" t="s">
        <v>596</v>
      </c>
    </row>
    <row r="210" spans="1:54" ht="102.75" customHeight="1">
      <c r="A210" s="428">
        <f t="shared" si="34"/>
        <v>202</v>
      </c>
      <c r="B210" s="294"/>
      <c r="C210" s="203"/>
      <c r="D210" s="301"/>
      <c r="E210" s="301"/>
      <c r="F210" s="301"/>
      <c r="G210" s="301"/>
      <c r="H210" s="302"/>
      <c r="I210" s="292"/>
      <c r="J210" s="61"/>
      <c r="K210" s="303"/>
      <c r="L210" s="303"/>
      <c r="M210" s="203"/>
      <c r="N210" s="84" t="str">
        <f>IF($AI210&lt;&gt;"",Master!$N$37,IF($AC210&lt;&gt;"",Master!$N$38,IF($S210&lt;&gt;"",Master!$N$39,IF($C210&lt;&gt;"",Master!$N$40,Master!$N$41))))</f>
        <v>起票</v>
      </c>
      <c r="O210" s="202" t="str">
        <f>IF($N210=Master!$N$37,MAX($S210,$AC210,$AI210),"")</f>
        <v/>
      </c>
      <c r="P210" s="65"/>
      <c r="Q210" s="203"/>
      <c r="R210" s="303"/>
      <c r="S210" s="203"/>
      <c r="T210" s="310"/>
      <c r="U210" s="304"/>
      <c r="V210" s="303"/>
      <c r="W210" s="306"/>
      <c r="X210" s="306"/>
      <c r="Y210" s="305"/>
      <c r="Z210" s="303"/>
      <c r="AA210" s="203"/>
      <c r="AB210" s="306"/>
      <c r="AC210" s="203"/>
      <c r="AD210" s="307"/>
      <c r="AE210" s="308"/>
      <c r="AF210" s="309"/>
      <c r="AG210" s="310"/>
      <c r="AH210" s="303"/>
      <c r="AI210" s="203"/>
      <c r="AJ210" s="311"/>
      <c r="AK210" s="451"/>
      <c r="AL210" s="59"/>
      <c r="AM210" s="60"/>
      <c r="AO210" s="137" t="e">
        <f t="shared" si="28"/>
        <v>#N/A</v>
      </c>
      <c r="AP210" s="138" t="e">
        <f t="shared" si="29"/>
        <v>#N/A</v>
      </c>
      <c r="AQ210" s="138" t="e">
        <f t="shared" si="30"/>
        <v>#N/A</v>
      </c>
      <c r="AR210" s="138" t="e">
        <f t="shared" si="31"/>
        <v>#N/A</v>
      </c>
      <c r="AS210" s="138" t="e">
        <f t="shared" si="32"/>
        <v>#N/A</v>
      </c>
      <c r="AT210" s="139" t="e">
        <f t="shared" si="33"/>
        <v>#N/A</v>
      </c>
      <c r="BB210" s="16" t="s">
        <v>596</v>
      </c>
    </row>
    <row r="211" spans="1:54" ht="102.75" customHeight="1">
      <c r="A211" s="428">
        <f t="shared" si="34"/>
        <v>203</v>
      </c>
      <c r="B211" s="294"/>
      <c r="C211" s="203"/>
      <c r="D211" s="301"/>
      <c r="E211" s="301"/>
      <c r="F211" s="301"/>
      <c r="G211" s="301"/>
      <c r="H211" s="302"/>
      <c r="I211" s="292"/>
      <c r="J211" s="61"/>
      <c r="K211" s="303"/>
      <c r="L211" s="303"/>
      <c r="M211" s="203"/>
      <c r="N211" s="84" t="str">
        <f>IF($AI211&lt;&gt;"",Master!$N$37,IF($AC211&lt;&gt;"",Master!$N$38,IF($S211&lt;&gt;"",Master!$N$39,IF($C211&lt;&gt;"",Master!$N$40,Master!$N$41))))</f>
        <v>起票</v>
      </c>
      <c r="O211" s="202" t="str">
        <f>IF($N211=Master!$N$37,MAX($S211,$AC211,$AI211),"")</f>
        <v/>
      </c>
      <c r="P211" s="65"/>
      <c r="Q211" s="203"/>
      <c r="R211" s="303"/>
      <c r="S211" s="203"/>
      <c r="T211" s="310"/>
      <c r="U211" s="304"/>
      <c r="V211" s="303"/>
      <c r="W211" s="306"/>
      <c r="X211" s="306"/>
      <c r="Y211" s="305"/>
      <c r="Z211" s="303"/>
      <c r="AA211" s="203"/>
      <c r="AB211" s="306"/>
      <c r="AC211" s="203"/>
      <c r="AD211" s="307"/>
      <c r="AE211" s="308"/>
      <c r="AF211" s="309"/>
      <c r="AG211" s="310"/>
      <c r="AH211" s="303"/>
      <c r="AI211" s="203"/>
      <c r="AJ211" s="311"/>
      <c r="AK211" s="451"/>
      <c r="AL211" s="59"/>
      <c r="AM211" s="60"/>
      <c r="AO211" s="137" t="e">
        <f t="shared" si="28"/>
        <v>#N/A</v>
      </c>
      <c r="AP211" s="138" t="e">
        <f t="shared" si="29"/>
        <v>#N/A</v>
      </c>
      <c r="AQ211" s="138" t="e">
        <f t="shared" si="30"/>
        <v>#N/A</v>
      </c>
      <c r="AR211" s="138" t="e">
        <f t="shared" si="31"/>
        <v>#N/A</v>
      </c>
      <c r="AS211" s="138" t="e">
        <f t="shared" si="32"/>
        <v>#N/A</v>
      </c>
      <c r="AT211" s="139" t="e">
        <f t="shared" si="33"/>
        <v>#N/A</v>
      </c>
      <c r="BB211" s="16" t="s">
        <v>596</v>
      </c>
    </row>
    <row r="212" spans="1:54" ht="102.75" customHeight="1">
      <c r="A212" s="428">
        <f t="shared" si="34"/>
        <v>204</v>
      </c>
      <c r="B212" s="294"/>
      <c r="C212" s="203"/>
      <c r="D212" s="301"/>
      <c r="E212" s="301"/>
      <c r="F212" s="301"/>
      <c r="G212" s="301"/>
      <c r="H212" s="302"/>
      <c r="I212" s="292"/>
      <c r="J212" s="61"/>
      <c r="K212" s="303"/>
      <c r="L212" s="303"/>
      <c r="M212" s="203"/>
      <c r="N212" s="84" t="str">
        <f>IF($AI212&lt;&gt;"",Master!$N$37,IF($AC212&lt;&gt;"",Master!$N$38,IF($S212&lt;&gt;"",Master!$N$39,IF($C212&lt;&gt;"",Master!$N$40,Master!$N$41))))</f>
        <v>起票</v>
      </c>
      <c r="O212" s="202" t="str">
        <f>IF($N212=Master!$N$37,MAX($S212,$AC212,$AI212),"")</f>
        <v/>
      </c>
      <c r="P212" s="65"/>
      <c r="Q212" s="203"/>
      <c r="R212" s="303"/>
      <c r="S212" s="203"/>
      <c r="T212" s="310"/>
      <c r="U212" s="304"/>
      <c r="V212" s="303"/>
      <c r="W212" s="306"/>
      <c r="X212" s="306"/>
      <c r="Y212" s="305"/>
      <c r="Z212" s="303"/>
      <c r="AA212" s="203"/>
      <c r="AB212" s="306"/>
      <c r="AC212" s="203"/>
      <c r="AD212" s="307"/>
      <c r="AE212" s="308"/>
      <c r="AF212" s="309"/>
      <c r="AG212" s="310"/>
      <c r="AH212" s="303"/>
      <c r="AI212" s="203"/>
      <c r="AJ212" s="311"/>
      <c r="AK212" s="451"/>
      <c r="AL212" s="59"/>
      <c r="AM212" s="60"/>
      <c r="AO212" s="137" t="e">
        <f t="shared" si="28"/>
        <v>#N/A</v>
      </c>
      <c r="AP212" s="138" t="e">
        <f t="shared" si="29"/>
        <v>#N/A</v>
      </c>
      <c r="AQ212" s="138" t="e">
        <f t="shared" si="30"/>
        <v>#N/A</v>
      </c>
      <c r="AR212" s="138" t="e">
        <f t="shared" si="31"/>
        <v>#N/A</v>
      </c>
      <c r="AS212" s="138" t="e">
        <f t="shared" si="32"/>
        <v>#N/A</v>
      </c>
      <c r="AT212" s="139" t="e">
        <f t="shared" si="33"/>
        <v>#N/A</v>
      </c>
      <c r="BB212" s="16" t="s">
        <v>596</v>
      </c>
    </row>
    <row r="213" spans="1:54" ht="102.75" customHeight="1">
      <c r="A213" s="428">
        <f t="shared" si="34"/>
        <v>205</v>
      </c>
      <c r="B213" s="294"/>
      <c r="C213" s="203"/>
      <c r="D213" s="301"/>
      <c r="E213" s="301"/>
      <c r="F213" s="301"/>
      <c r="G213" s="301"/>
      <c r="H213" s="302"/>
      <c r="I213" s="292"/>
      <c r="J213" s="61"/>
      <c r="K213" s="303"/>
      <c r="L213" s="303"/>
      <c r="M213" s="203"/>
      <c r="N213" s="84" t="str">
        <f>IF($AI213&lt;&gt;"",Master!$N$37,IF($AC213&lt;&gt;"",Master!$N$38,IF($S213&lt;&gt;"",Master!$N$39,IF($C213&lt;&gt;"",Master!$N$40,Master!$N$41))))</f>
        <v>起票</v>
      </c>
      <c r="O213" s="202" t="str">
        <f>IF($N213=Master!$N$37,MAX($S213,$AC213,$AI213),"")</f>
        <v/>
      </c>
      <c r="P213" s="65"/>
      <c r="Q213" s="203"/>
      <c r="R213" s="303"/>
      <c r="S213" s="203"/>
      <c r="T213" s="310"/>
      <c r="U213" s="304"/>
      <c r="V213" s="303"/>
      <c r="W213" s="306"/>
      <c r="X213" s="306"/>
      <c r="Y213" s="305"/>
      <c r="Z213" s="303"/>
      <c r="AA213" s="203"/>
      <c r="AB213" s="306"/>
      <c r="AC213" s="203"/>
      <c r="AD213" s="307"/>
      <c r="AE213" s="308"/>
      <c r="AF213" s="309"/>
      <c r="AG213" s="310"/>
      <c r="AH213" s="303"/>
      <c r="AI213" s="203"/>
      <c r="AJ213" s="311"/>
      <c r="AK213" s="451"/>
      <c r="AL213" s="59"/>
      <c r="AM213" s="60"/>
      <c r="AO213" s="137" t="e">
        <f t="shared" si="28"/>
        <v>#N/A</v>
      </c>
      <c r="AP213" s="138" t="e">
        <f t="shared" si="29"/>
        <v>#N/A</v>
      </c>
      <c r="AQ213" s="138" t="e">
        <f t="shared" si="30"/>
        <v>#N/A</v>
      </c>
      <c r="AR213" s="138" t="e">
        <f t="shared" si="31"/>
        <v>#N/A</v>
      </c>
      <c r="AS213" s="138" t="e">
        <f t="shared" si="32"/>
        <v>#N/A</v>
      </c>
      <c r="AT213" s="139" t="e">
        <f t="shared" si="33"/>
        <v>#N/A</v>
      </c>
      <c r="BB213" s="16" t="s">
        <v>596</v>
      </c>
    </row>
    <row r="214" spans="1:54" ht="102.75" customHeight="1">
      <c r="A214" s="428">
        <f t="shared" si="34"/>
        <v>206</v>
      </c>
      <c r="B214" s="294"/>
      <c r="C214" s="203"/>
      <c r="D214" s="301"/>
      <c r="E214" s="301"/>
      <c r="F214" s="301"/>
      <c r="G214" s="301"/>
      <c r="H214" s="302"/>
      <c r="I214" s="292"/>
      <c r="J214" s="61"/>
      <c r="K214" s="303"/>
      <c r="L214" s="303"/>
      <c r="M214" s="203"/>
      <c r="N214" s="84" t="str">
        <f>IF($AI214&lt;&gt;"",Master!$N$37,IF($AC214&lt;&gt;"",Master!$N$38,IF($S214&lt;&gt;"",Master!$N$39,IF($C214&lt;&gt;"",Master!$N$40,Master!$N$41))))</f>
        <v>起票</v>
      </c>
      <c r="O214" s="202" t="str">
        <f>IF($N214=Master!$N$37,MAX($S214,$AC214,$AI214),"")</f>
        <v/>
      </c>
      <c r="P214" s="65"/>
      <c r="Q214" s="203"/>
      <c r="R214" s="303"/>
      <c r="S214" s="203"/>
      <c r="T214" s="310"/>
      <c r="U214" s="304"/>
      <c r="V214" s="303"/>
      <c r="W214" s="306"/>
      <c r="X214" s="306"/>
      <c r="Y214" s="305"/>
      <c r="Z214" s="303"/>
      <c r="AA214" s="203"/>
      <c r="AB214" s="306"/>
      <c r="AC214" s="203"/>
      <c r="AD214" s="307"/>
      <c r="AE214" s="308"/>
      <c r="AF214" s="309"/>
      <c r="AG214" s="310"/>
      <c r="AH214" s="303"/>
      <c r="AI214" s="203"/>
      <c r="AJ214" s="311"/>
      <c r="AK214" s="451"/>
      <c r="AL214" s="59"/>
      <c r="AM214" s="60"/>
      <c r="AO214" s="137" t="e">
        <f t="shared" si="28"/>
        <v>#N/A</v>
      </c>
      <c r="AP214" s="138" t="e">
        <f t="shared" si="29"/>
        <v>#N/A</v>
      </c>
      <c r="AQ214" s="138" t="e">
        <f t="shared" si="30"/>
        <v>#N/A</v>
      </c>
      <c r="AR214" s="138" t="e">
        <f t="shared" si="31"/>
        <v>#N/A</v>
      </c>
      <c r="AS214" s="138" t="e">
        <f t="shared" si="32"/>
        <v>#N/A</v>
      </c>
      <c r="AT214" s="139" t="e">
        <f t="shared" si="33"/>
        <v>#N/A</v>
      </c>
      <c r="BB214" s="16" t="s">
        <v>596</v>
      </c>
    </row>
    <row r="215" spans="1:54" ht="102.75" customHeight="1">
      <c r="A215" s="428">
        <f t="shared" si="34"/>
        <v>207</v>
      </c>
      <c r="B215" s="294"/>
      <c r="C215" s="203"/>
      <c r="D215" s="301"/>
      <c r="E215" s="301"/>
      <c r="F215" s="301"/>
      <c r="G215" s="301"/>
      <c r="H215" s="302"/>
      <c r="I215" s="292"/>
      <c r="J215" s="61"/>
      <c r="K215" s="303"/>
      <c r="L215" s="303"/>
      <c r="M215" s="203"/>
      <c r="N215" s="84" t="str">
        <f>IF($AI215&lt;&gt;"",Master!$N$37,IF($AC215&lt;&gt;"",Master!$N$38,IF($S215&lt;&gt;"",Master!$N$39,IF($C215&lt;&gt;"",Master!$N$40,Master!$N$41))))</f>
        <v>起票</v>
      </c>
      <c r="O215" s="202" t="str">
        <f>IF($N215=Master!$N$37,MAX($S215,$AC215,$AI215),"")</f>
        <v/>
      </c>
      <c r="P215" s="65"/>
      <c r="Q215" s="203"/>
      <c r="R215" s="303"/>
      <c r="S215" s="203"/>
      <c r="T215" s="310"/>
      <c r="U215" s="304"/>
      <c r="V215" s="303"/>
      <c r="W215" s="306"/>
      <c r="X215" s="306"/>
      <c r="Y215" s="305"/>
      <c r="Z215" s="303"/>
      <c r="AA215" s="203"/>
      <c r="AB215" s="306"/>
      <c r="AC215" s="203"/>
      <c r="AD215" s="307"/>
      <c r="AE215" s="308"/>
      <c r="AF215" s="309"/>
      <c r="AG215" s="310"/>
      <c r="AH215" s="303"/>
      <c r="AI215" s="203"/>
      <c r="AJ215" s="311"/>
      <c r="AK215" s="451"/>
      <c r="AL215" s="59"/>
      <c r="AM215" s="60"/>
      <c r="AO215" s="137" t="e">
        <f t="shared" si="28"/>
        <v>#N/A</v>
      </c>
      <c r="AP215" s="138" t="e">
        <f t="shared" si="29"/>
        <v>#N/A</v>
      </c>
      <c r="AQ215" s="138" t="e">
        <f t="shared" si="30"/>
        <v>#N/A</v>
      </c>
      <c r="AR215" s="138" t="e">
        <f t="shared" si="31"/>
        <v>#N/A</v>
      </c>
      <c r="AS215" s="138" t="e">
        <f t="shared" si="32"/>
        <v>#N/A</v>
      </c>
      <c r="AT215" s="139" t="e">
        <f t="shared" si="33"/>
        <v>#N/A</v>
      </c>
      <c r="BB215" s="16" t="s">
        <v>596</v>
      </c>
    </row>
    <row r="216" spans="1:54" ht="102.75" customHeight="1">
      <c r="A216" s="428">
        <f t="shared" si="34"/>
        <v>208</v>
      </c>
      <c r="B216" s="294"/>
      <c r="C216" s="203"/>
      <c r="D216" s="301"/>
      <c r="E216" s="301"/>
      <c r="F216" s="301"/>
      <c r="G216" s="301"/>
      <c r="H216" s="302"/>
      <c r="I216" s="292"/>
      <c r="J216" s="61"/>
      <c r="K216" s="303"/>
      <c r="L216" s="303"/>
      <c r="M216" s="203"/>
      <c r="N216" s="84" t="str">
        <f>IF($AI216&lt;&gt;"",Master!$N$37,IF($AC216&lt;&gt;"",Master!$N$38,IF($S216&lt;&gt;"",Master!$N$39,IF($C216&lt;&gt;"",Master!$N$40,Master!$N$41))))</f>
        <v>起票</v>
      </c>
      <c r="O216" s="202" t="str">
        <f>IF($N216=Master!$N$37,MAX($S216,$AC216,$AI216),"")</f>
        <v/>
      </c>
      <c r="P216" s="65"/>
      <c r="Q216" s="203"/>
      <c r="R216" s="303"/>
      <c r="S216" s="203"/>
      <c r="T216" s="310"/>
      <c r="U216" s="304"/>
      <c r="V216" s="303"/>
      <c r="W216" s="306"/>
      <c r="X216" s="306"/>
      <c r="Y216" s="305"/>
      <c r="Z216" s="303"/>
      <c r="AA216" s="203"/>
      <c r="AB216" s="306"/>
      <c r="AC216" s="203"/>
      <c r="AD216" s="307"/>
      <c r="AE216" s="308"/>
      <c r="AF216" s="309"/>
      <c r="AG216" s="310"/>
      <c r="AH216" s="303"/>
      <c r="AI216" s="203"/>
      <c r="AJ216" s="311"/>
      <c r="AK216" s="451"/>
      <c r="AL216" s="59"/>
      <c r="AM216" s="60"/>
      <c r="AO216" s="137" t="e">
        <f t="shared" si="28"/>
        <v>#N/A</v>
      </c>
      <c r="AP216" s="138" t="e">
        <f t="shared" si="29"/>
        <v>#N/A</v>
      </c>
      <c r="AQ216" s="138" t="e">
        <f t="shared" si="30"/>
        <v>#N/A</v>
      </c>
      <c r="AR216" s="138" t="e">
        <f t="shared" si="31"/>
        <v>#N/A</v>
      </c>
      <c r="AS216" s="138" t="e">
        <f t="shared" si="32"/>
        <v>#N/A</v>
      </c>
      <c r="AT216" s="139" t="e">
        <f t="shared" si="33"/>
        <v>#N/A</v>
      </c>
      <c r="BB216" s="16" t="s">
        <v>596</v>
      </c>
    </row>
    <row r="217" spans="1:54" ht="102.75" customHeight="1">
      <c r="A217" s="428">
        <f t="shared" si="34"/>
        <v>209</v>
      </c>
      <c r="B217" s="294"/>
      <c r="C217" s="203"/>
      <c r="D217" s="301"/>
      <c r="E217" s="301"/>
      <c r="F217" s="301"/>
      <c r="G217" s="301"/>
      <c r="H217" s="302"/>
      <c r="I217" s="292"/>
      <c r="J217" s="61"/>
      <c r="K217" s="303"/>
      <c r="L217" s="303"/>
      <c r="M217" s="203"/>
      <c r="N217" s="84" t="str">
        <f>IF($AI217&lt;&gt;"",Master!$N$37,IF($AC217&lt;&gt;"",Master!$N$38,IF($S217&lt;&gt;"",Master!$N$39,IF($C217&lt;&gt;"",Master!$N$40,Master!$N$41))))</f>
        <v>起票</v>
      </c>
      <c r="O217" s="202" t="str">
        <f>IF($N217=Master!$N$37,MAX($S217,$AC217,$AI217),"")</f>
        <v/>
      </c>
      <c r="P217" s="65"/>
      <c r="Q217" s="203"/>
      <c r="R217" s="303"/>
      <c r="S217" s="203"/>
      <c r="T217" s="310"/>
      <c r="U217" s="304"/>
      <c r="V217" s="303"/>
      <c r="W217" s="306"/>
      <c r="X217" s="306"/>
      <c r="Y217" s="305"/>
      <c r="Z217" s="303"/>
      <c r="AA217" s="203"/>
      <c r="AB217" s="306"/>
      <c r="AC217" s="203"/>
      <c r="AD217" s="307"/>
      <c r="AE217" s="308"/>
      <c r="AF217" s="309"/>
      <c r="AG217" s="310"/>
      <c r="AH217" s="303"/>
      <c r="AI217" s="203"/>
      <c r="AJ217" s="311"/>
      <c r="AK217" s="451"/>
      <c r="AL217" s="59"/>
      <c r="AM217" s="60"/>
      <c r="AO217" s="137" t="e">
        <f t="shared" si="28"/>
        <v>#N/A</v>
      </c>
      <c r="AP217" s="138" t="e">
        <f t="shared" si="29"/>
        <v>#N/A</v>
      </c>
      <c r="AQ217" s="138" t="e">
        <f t="shared" si="30"/>
        <v>#N/A</v>
      </c>
      <c r="AR217" s="138" t="e">
        <f t="shared" si="31"/>
        <v>#N/A</v>
      </c>
      <c r="AS217" s="138" t="e">
        <f t="shared" si="32"/>
        <v>#N/A</v>
      </c>
      <c r="AT217" s="139" t="e">
        <f t="shared" si="33"/>
        <v>#N/A</v>
      </c>
      <c r="BB217" s="16" t="s">
        <v>596</v>
      </c>
    </row>
    <row r="218" spans="1:54" ht="102.75" customHeight="1">
      <c r="A218" s="428">
        <f t="shared" si="34"/>
        <v>210</v>
      </c>
      <c r="B218" s="294"/>
      <c r="C218" s="203"/>
      <c r="D218" s="301"/>
      <c r="E218" s="301"/>
      <c r="F218" s="301"/>
      <c r="G218" s="301"/>
      <c r="H218" s="302"/>
      <c r="I218" s="292"/>
      <c r="J218" s="61"/>
      <c r="K218" s="303"/>
      <c r="L218" s="303"/>
      <c r="M218" s="203"/>
      <c r="N218" s="84" t="str">
        <f>IF($AI218&lt;&gt;"",Master!$N$37,IF($AC218&lt;&gt;"",Master!$N$38,IF($S218&lt;&gt;"",Master!$N$39,IF($C218&lt;&gt;"",Master!$N$40,Master!$N$41))))</f>
        <v>起票</v>
      </c>
      <c r="O218" s="202" t="str">
        <f>IF($N218=Master!$N$37,MAX($S218,$AC218,$AI218),"")</f>
        <v/>
      </c>
      <c r="P218" s="65"/>
      <c r="Q218" s="203"/>
      <c r="R218" s="303"/>
      <c r="S218" s="203"/>
      <c r="T218" s="310"/>
      <c r="U218" s="304"/>
      <c r="V218" s="303"/>
      <c r="W218" s="306"/>
      <c r="X218" s="306"/>
      <c r="Y218" s="305"/>
      <c r="Z218" s="303"/>
      <c r="AA218" s="203"/>
      <c r="AB218" s="306"/>
      <c r="AC218" s="203"/>
      <c r="AD218" s="307"/>
      <c r="AE218" s="308"/>
      <c r="AF218" s="309"/>
      <c r="AG218" s="310"/>
      <c r="AH218" s="303"/>
      <c r="AI218" s="203"/>
      <c r="AJ218" s="311"/>
      <c r="AK218" s="451"/>
      <c r="AL218" s="59"/>
      <c r="AM218" s="60"/>
      <c r="AO218" s="137" t="e">
        <f t="shared" si="28"/>
        <v>#N/A</v>
      </c>
      <c r="AP218" s="138" t="e">
        <f t="shared" si="29"/>
        <v>#N/A</v>
      </c>
      <c r="AQ218" s="138" t="e">
        <f t="shared" si="30"/>
        <v>#N/A</v>
      </c>
      <c r="AR218" s="138" t="e">
        <f t="shared" si="31"/>
        <v>#N/A</v>
      </c>
      <c r="AS218" s="138" t="e">
        <f t="shared" si="32"/>
        <v>#N/A</v>
      </c>
      <c r="AT218" s="139" t="e">
        <f t="shared" si="33"/>
        <v>#N/A</v>
      </c>
      <c r="BB218" s="16" t="s">
        <v>596</v>
      </c>
    </row>
    <row r="219" spans="1:54" ht="102.75" customHeight="1">
      <c r="A219" s="428">
        <f t="shared" si="34"/>
        <v>211</v>
      </c>
      <c r="B219" s="294"/>
      <c r="C219" s="203"/>
      <c r="D219" s="301"/>
      <c r="E219" s="301"/>
      <c r="F219" s="301"/>
      <c r="G219" s="301"/>
      <c r="H219" s="302"/>
      <c r="I219" s="292"/>
      <c r="J219" s="61"/>
      <c r="K219" s="303"/>
      <c r="L219" s="303"/>
      <c r="M219" s="203"/>
      <c r="N219" s="84" t="str">
        <f>IF($AI219&lt;&gt;"",Master!$N$37,IF($AC219&lt;&gt;"",Master!$N$38,IF($S219&lt;&gt;"",Master!$N$39,IF($C219&lt;&gt;"",Master!$N$40,Master!$N$41))))</f>
        <v>起票</v>
      </c>
      <c r="O219" s="202" t="str">
        <f>IF($N219=Master!$N$37,MAX($S219,$AC219,$AI219),"")</f>
        <v/>
      </c>
      <c r="P219" s="65"/>
      <c r="Q219" s="203"/>
      <c r="R219" s="303"/>
      <c r="S219" s="203"/>
      <c r="T219" s="310"/>
      <c r="U219" s="304"/>
      <c r="V219" s="303"/>
      <c r="W219" s="306"/>
      <c r="X219" s="306"/>
      <c r="Y219" s="305"/>
      <c r="Z219" s="303"/>
      <c r="AA219" s="203"/>
      <c r="AB219" s="306"/>
      <c r="AC219" s="203"/>
      <c r="AD219" s="307"/>
      <c r="AE219" s="308"/>
      <c r="AF219" s="309"/>
      <c r="AG219" s="310"/>
      <c r="AH219" s="303"/>
      <c r="AI219" s="203"/>
      <c r="AJ219" s="311"/>
      <c r="AK219" s="451"/>
      <c r="AL219" s="59"/>
      <c r="AM219" s="60"/>
      <c r="AO219" s="137" t="e">
        <f t="shared" si="28"/>
        <v>#N/A</v>
      </c>
      <c r="AP219" s="138" t="e">
        <f t="shared" si="29"/>
        <v>#N/A</v>
      </c>
      <c r="AQ219" s="138" t="e">
        <f t="shared" si="30"/>
        <v>#N/A</v>
      </c>
      <c r="AR219" s="138" t="e">
        <f t="shared" si="31"/>
        <v>#N/A</v>
      </c>
      <c r="AS219" s="138" t="e">
        <f t="shared" si="32"/>
        <v>#N/A</v>
      </c>
      <c r="AT219" s="139" t="e">
        <f t="shared" si="33"/>
        <v>#N/A</v>
      </c>
      <c r="BB219" s="16" t="s">
        <v>596</v>
      </c>
    </row>
    <row r="220" spans="1:54" ht="102.75" customHeight="1">
      <c r="A220" s="428">
        <f t="shared" si="34"/>
        <v>212</v>
      </c>
      <c r="B220" s="294"/>
      <c r="C220" s="203"/>
      <c r="D220" s="301"/>
      <c r="E220" s="301"/>
      <c r="F220" s="301"/>
      <c r="G220" s="301"/>
      <c r="H220" s="302"/>
      <c r="I220" s="292"/>
      <c r="J220" s="61"/>
      <c r="K220" s="303"/>
      <c r="L220" s="303"/>
      <c r="M220" s="203"/>
      <c r="N220" s="84" t="str">
        <f>IF($AI220&lt;&gt;"",Master!$N$37,IF($AC220&lt;&gt;"",Master!$N$38,IF($S220&lt;&gt;"",Master!$N$39,IF($C220&lt;&gt;"",Master!$N$40,Master!$N$41))))</f>
        <v>起票</v>
      </c>
      <c r="O220" s="202" t="str">
        <f>IF($N220=Master!$N$37,MAX($S220,$AC220,$AI220),"")</f>
        <v/>
      </c>
      <c r="P220" s="65"/>
      <c r="Q220" s="203"/>
      <c r="R220" s="303"/>
      <c r="S220" s="203"/>
      <c r="T220" s="310"/>
      <c r="U220" s="304"/>
      <c r="V220" s="303"/>
      <c r="W220" s="306"/>
      <c r="X220" s="306"/>
      <c r="Y220" s="305"/>
      <c r="Z220" s="303"/>
      <c r="AA220" s="203"/>
      <c r="AB220" s="306"/>
      <c r="AC220" s="203"/>
      <c r="AD220" s="307"/>
      <c r="AE220" s="308"/>
      <c r="AF220" s="309"/>
      <c r="AG220" s="310"/>
      <c r="AH220" s="303"/>
      <c r="AI220" s="203"/>
      <c r="AJ220" s="311"/>
      <c r="AK220" s="451"/>
      <c r="AL220" s="59"/>
      <c r="AM220" s="60"/>
      <c r="AO220" s="137" t="e">
        <f t="shared" si="28"/>
        <v>#N/A</v>
      </c>
      <c r="AP220" s="138" t="e">
        <f t="shared" si="29"/>
        <v>#N/A</v>
      </c>
      <c r="AQ220" s="138" t="e">
        <f t="shared" si="30"/>
        <v>#N/A</v>
      </c>
      <c r="AR220" s="138" t="e">
        <f t="shared" si="31"/>
        <v>#N/A</v>
      </c>
      <c r="AS220" s="138" t="e">
        <f t="shared" si="32"/>
        <v>#N/A</v>
      </c>
      <c r="AT220" s="139" t="e">
        <f t="shared" si="33"/>
        <v>#N/A</v>
      </c>
      <c r="BB220" s="16" t="s">
        <v>596</v>
      </c>
    </row>
    <row r="221" spans="1:54" ht="102.75" customHeight="1">
      <c r="A221" s="428">
        <f t="shared" si="34"/>
        <v>213</v>
      </c>
      <c r="B221" s="294"/>
      <c r="C221" s="203"/>
      <c r="D221" s="301"/>
      <c r="E221" s="301"/>
      <c r="F221" s="301"/>
      <c r="G221" s="301"/>
      <c r="H221" s="302"/>
      <c r="I221" s="292"/>
      <c r="J221" s="61"/>
      <c r="K221" s="303"/>
      <c r="L221" s="303"/>
      <c r="M221" s="203"/>
      <c r="N221" s="84" t="str">
        <f>IF($AI221&lt;&gt;"",Master!$N$37,IF($AC221&lt;&gt;"",Master!$N$38,IF($S221&lt;&gt;"",Master!$N$39,IF($C221&lt;&gt;"",Master!$N$40,Master!$N$41))))</f>
        <v>起票</v>
      </c>
      <c r="O221" s="202" t="str">
        <f>IF($N221=Master!$N$37,MAX($S221,$AC221,$AI221),"")</f>
        <v/>
      </c>
      <c r="P221" s="65"/>
      <c r="Q221" s="203"/>
      <c r="R221" s="303"/>
      <c r="S221" s="203"/>
      <c r="T221" s="310"/>
      <c r="U221" s="304"/>
      <c r="V221" s="303"/>
      <c r="W221" s="306"/>
      <c r="X221" s="306"/>
      <c r="Y221" s="305"/>
      <c r="Z221" s="303"/>
      <c r="AA221" s="203"/>
      <c r="AB221" s="306"/>
      <c r="AC221" s="203"/>
      <c r="AD221" s="307"/>
      <c r="AE221" s="308"/>
      <c r="AF221" s="309"/>
      <c r="AG221" s="310"/>
      <c r="AH221" s="303"/>
      <c r="AI221" s="203"/>
      <c r="AJ221" s="311"/>
      <c r="AK221" s="451"/>
      <c r="AL221" s="59"/>
      <c r="AM221" s="60"/>
      <c r="AO221" s="137" t="e">
        <f t="shared" si="28"/>
        <v>#N/A</v>
      </c>
      <c r="AP221" s="138" t="e">
        <f t="shared" si="29"/>
        <v>#N/A</v>
      </c>
      <c r="AQ221" s="138" t="e">
        <f t="shared" si="30"/>
        <v>#N/A</v>
      </c>
      <c r="AR221" s="138" t="e">
        <f t="shared" si="31"/>
        <v>#N/A</v>
      </c>
      <c r="AS221" s="138" t="e">
        <f t="shared" si="32"/>
        <v>#N/A</v>
      </c>
      <c r="AT221" s="139" t="e">
        <f t="shared" si="33"/>
        <v>#N/A</v>
      </c>
      <c r="BB221" s="16" t="s">
        <v>596</v>
      </c>
    </row>
    <row r="222" spans="1:54" ht="102.75" customHeight="1">
      <c r="A222" s="428">
        <f t="shared" si="34"/>
        <v>214</v>
      </c>
      <c r="B222" s="294"/>
      <c r="C222" s="203"/>
      <c r="D222" s="301"/>
      <c r="E222" s="301"/>
      <c r="F222" s="301"/>
      <c r="G222" s="301"/>
      <c r="H222" s="302"/>
      <c r="I222" s="292"/>
      <c r="J222" s="61"/>
      <c r="K222" s="303"/>
      <c r="L222" s="303"/>
      <c r="M222" s="203"/>
      <c r="N222" s="84" t="str">
        <f>IF($AI222&lt;&gt;"",Master!$N$37,IF($AC222&lt;&gt;"",Master!$N$38,IF($S222&lt;&gt;"",Master!$N$39,IF($C222&lt;&gt;"",Master!$N$40,Master!$N$41))))</f>
        <v>起票</v>
      </c>
      <c r="O222" s="202" t="str">
        <f>IF($N222=Master!$N$37,MAX($S222,$AC222,$AI222),"")</f>
        <v/>
      </c>
      <c r="P222" s="65"/>
      <c r="Q222" s="203"/>
      <c r="R222" s="303"/>
      <c r="S222" s="203"/>
      <c r="T222" s="310"/>
      <c r="U222" s="304"/>
      <c r="V222" s="303"/>
      <c r="W222" s="306"/>
      <c r="X222" s="306"/>
      <c r="Y222" s="305"/>
      <c r="Z222" s="303"/>
      <c r="AA222" s="203"/>
      <c r="AB222" s="306"/>
      <c r="AC222" s="203"/>
      <c r="AD222" s="307"/>
      <c r="AE222" s="308"/>
      <c r="AF222" s="309"/>
      <c r="AG222" s="310"/>
      <c r="AH222" s="303"/>
      <c r="AI222" s="203"/>
      <c r="AJ222" s="311"/>
      <c r="AK222" s="451"/>
      <c r="AL222" s="59"/>
      <c r="AM222" s="60"/>
      <c r="AO222" s="137" t="e">
        <f t="shared" si="28"/>
        <v>#N/A</v>
      </c>
      <c r="AP222" s="138" t="e">
        <f t="shared" si="29"/>
        <v>#N/A</v>
      </c>
      <c r="AQ222" s="138" t="e">
        <f t="shared" si="30"/>
        <v>#N/A</v>
      </c>
      <c r="AR222" s="138" t="e">
        <f t="shared" si="31"/>
        <v>#N/A</v>
      </c>
      <c r="AS222" s="138" t="e">
        <f t="shared" si="32"/>
        <v>#N/A</v>
      </c>
      <c r="AT222" s="139" t="e">
        <f t="shared" si="33"/>
        <v>#N/A</v>
      </c>
      <c r="BB222" s="16" t="s">
        <v>596</v>
      </c>
    </row>
    <row r="223" spans="1:54" ht="102.75" customHeight="1">
      <c r="A223" s="428">
        <f t="shared" si="34"/>
        <v>215</v>
      </c>
      <c r="B223" s="294"/>
      <c r="C223" s="203"/>
      <c r="D223" s="301"/>
      <c r="E223" s="301"/>
      <c r="F223" s="301"/>
      <c r="G223" s="301"/>
      <c r="H223" s="302"/>
      <c r="I223" s="292"/>
      <c r="J223" s="61"/>
      <c r="K223" s="303"/>
      <c r="L223" s="303"/>
      <c r="M223" s="203"/>
      <c r="N223" s="84" t="str">
        <f>IF($AI223&lt;&gt;"",Master!$N$37,IF($AC223&lt;&gt;"",Master!$N$38,IF($S223&lt;&gt;"",Master!$N$39,IF($C223&lt;&gt;"",Master!$N$40,Master!$N$41))))</f>
        <v>起票</v>
      </c>
      <c r="O223" s="202" t="str">
        <f>IF($N223=Master!$N$37,MAX($S223,$AC223,$AI223),"")</f>
        <v/>
      </c>
      <c r="P223" s="65"/>
      <c r="Q223" s="203"/>
      <c r="R223" s="303"/>
      <c r="S223" s="203"/>
      <c r="T223" s="310"/>
      <c r="U223" s="304"/>
      <c r="V223" s="303"/>
      <c r="W223" s="306"/>
      <c r="X223" s="306"/>
      <c r="Y223" s="305"/>
      <c r="Z223" s="303"/>
      <c r="AA223" s="203"/>
      <c r="AB223" s="306"/>
      <c r="AC223" s="203"/>
      <c r="AD223" s="307"/>
      <c r="AE223" s="308"/>
      <c r="AF223" s="309"/>
      <c r="AG223" s="310"/>
      <c r="AH223" s="303"/>
      <c r="AI223" s="203"/>
      <c r="AJ223" s="311"/>
      <c r="AK223" s="451"/>
      <c r="AL223" s="59"/>
      <c r="AM223" s="60"/>
      <c r="AO223" s="137" t="e">
        <f t="shared" si="28"/>
        <v>#N/A</v>
      </c>
      <c r="AP223" s="138" t="e">
        <f t="shared" si="29"/>
        <v>#N/A</v>
      </c>
      <c r="AQ223" s="138" t="e">
        <f t="shared" si="30"/>
        <v>#N/A</v>
      </c>
      <c r="AR223" s="138" t="e">
        <f t="shared" si="31"/>
        <v>#N/A</v>
      </c>
      <c r="AS223" s="138" t="e">
        <f t="shared" si="32"/>
        <v>#N/A</v>
      </c>
      <c r="AT223" s="139" t="e">
        <f t="shared" si="33"/>
        <v>#N/A</v>
      </c>
      <c r="BB223" s="16" t="s">
        <v>596</v>
      </c>
    </row>
    <row r="224" spans="1:54" ht="102.75" customHeight="1">
      <c r="A224" s="428">
        <f t="shared" si="34"/>
        <v>216</v>
      </c>
      <c r="B224" s="294"/>
      <c r="C224" s="203"/>
      <c r="D224" s="301"/>
      <c r="E224" s="301"/>
      <c r="F224" s="301"/>
      <c r="G224" s="301"/>
      <c r="H224" s="302"/>
      <c r="I224" s="292"/>
      <c r="J224" s="61"/>
      <c r="K224" s="303"/>
      <c r="L224" s="303"/>
      <c r="M224" s="203"/>
      <c r="N224" s="84" t="str">
        <f>IF($AI224&lt;&gt;"",Master!$N$37,IF($AC224&lt;&gt;"",Master!$N$38,IF($S224&lt;&gt;"",Master!$N$39,IF($C224&lt;&gt;"",Master!$N$40,Master!$N$41))))</f>
        <v>起票</v>
      </c>
      <c r="O224" s="202" t="str">
        <f>IF($N224=Master!$N$37,MAX($S224,$AC224,$AI224),"")</f>
        <v/>
      </c>
      <c r="P224" s="65"/>
      <c r="Q224" s="203"/>
      <c r="R224" s="303"/>
      <c r="S224" s="203"/>
      <c r="T224" s="310"/>
      <c r="U224" s="304"/>
      <c r="V224" s="303"/>
      <c r="W224" s="306"/>
      <c r="X224" s="306"/>
      <c r="Y224" s="305"/>
      <c r="Z224" s="303"/>
      <c r="AA224" s="203"/>
      <c r="AB224" s="306"/>
      <c r="AC224" s="203"/>
      <c r="AD224" s="307"/>
      <c r="AE224" s="308"/>
      <c r="AF224" s="309"/>
      <c r="AG224" s="310"/>
      <c r="AH224" s="303"/>
      <c r="AI224" s="203"/>
      <c r="AJ224" s="311"/>
      <c r="AK224" s="451"/>
      <c r="AL224" s="59"/>
      <c r="AM224" s="60"/>
      <c r="AO224" s="137" t="e">
        <f t="shared" si="28"/>
        <v>#N/A</v>
      </c>
      <c r="AP224" s="138" t="e">
        <f t="shared" si="29"/>
        <v>#N/A</v>
      </c>
      <c r="AQ224" s="138" t="e">
        <f t="shared" si="30"/>
        <v>#N/A</v>
      </c>
      <c r="AR224" s="138" t="e">
        <f t="shared" si="31"/>
        <v>#N/A</v>
      </c>
      <c r="AS224" s="138" t="e">
        <f t="shared" si="32"/>
        <v>#N/A</v>
      </c>
      <c r="AT224" s="139" t="e">
        <f t="shared" si="33"/>
        <v>#N/A</v>
      </c>
      <c r="BB224" s="16" t="s">
        <v>596</v>
      </c>
    </row>
    <row r="225" spans="1:54" ht="102.75" customHeight="1">
      <c r="A225" s="428">
        <f t="shared" si="34"/>
        <v>217</v>
      </c>
      <c r="B225" s="294"/>
      <c r="C225" s="203"/>
      <c r="D225" s="301"/>
      <c r="E225" s="301"/>
      <c r="F225" s="301"/>
      <c r="G225" s="301"/>
      <c r="H225" s="302"/>
      <c r="I225" s="292"/>
      <c r="J225" s="61"/>
      <c r="K225" s="303"/>
      <c r="L225" s="303"/>
      <c r="M225" s="203"/>
      <c r="N225" s="84" t="str">
        <f>IF($AI225&lt;&gt;"",Master!$N$37,IF($AC225&lt;&gt;"",Master!$N$38,IF($S225&lt;&gt;"",Master!$N$39,IF($C225&lt;&gt;"",Master!$N$40,Master!$N$41))))</f>
        <v>起票</v>
      </c>
      <c r="O225" s="202" t="str">
        <f>IF($N225=Master!$N$37,MAX($S225,$AC225,$AI225),"")</f>
        <v/>
      </c>
      <c r="P225" s="65"/>
      <c r="Q225" s="203"/>
      <c r="R225" s="303"/>
      <c r="S225" s="203"/>
      <c r="T225" s="310"/>
      <c r="U225" s="304"/>
      <c r="V225" s="303"/>
      <c r="W225" s="306"/>
      <c r="X225" s="306"/>
      <c r="Y225" s="305"/>
      <c r="Z225" s="303"/>
      <c r="AA225" s="203"/>
      <c r="AB225" s="306"/>
      <c r="AC225" s="203"/>
      <c r="AD225" s="307"/>
      <c r="AE225" s="308"/>
      <c r="AF225" s="309"/>
      <c r="AG225" s="310"/>
      <c r="AH225" s="303"/>
      <c r="AI225" s="203"/>
      <c r="AJ225" s="311"/>
      <c r="AK225" s="451"/>
      <c r="AL225" s="59"/>
      <c r="AM225" s="60"/>
      <c r="AO225" s="137" t="e">
        <f t="shared" si="28"/>
        <v>#N/A</v>
      </c>
      <c r="AP225" s="138" t="e">
        <f t="shared" si="29"/>
        <v>#N/A</v>
      </c>
      <c r="AQ225" s="138" t="e">
        <f t="shared" si="30"/>
        <v>#N/A</v>
      </c>
      <c r="AR225" s="138" t="e">
        <f t="shared" si="31"/>
        <v>#N/A</v>
      </c>
      <c r="AS225" s="138" t="e">
        <f t="shared" si="32"/>
        <v>#N/A</v>
      </c>
      <c r="AT225" s="139" t="e">
        <f t="shared" si="33"/>
        <v>#N/A</v>
      </c>
      <c r="BB225" s="16" t="s">
        <v>596</v>
      </c>
    </row>
    <row r="226" spans="1:54" ht="102.75" customHeight="1">
      <c r="A226" s="428">
        <f t="shared" si="34"/>
        <v>218</v>
      </c>
      <c r="B226" s="294"/>
      <c r="C226" s="203"/>
      <c r="D226" s="301"/>
      <c r="E226" s="301"/>
      <c r="F226" s="301"/>
      <c r="G226" s="301"/>
      <c r="H226" s="302"/>
      <c r="I226" s="292"/>
      <c r="J226" s="61"/>
      <c r="K226" s="303"/>
      <c r="L226" s="303"/>
      <c r="M226" s="203"/>
      <c r="N226" s="84" t="str">
        <f>IF($AI226&lt;&gt;"",Master!$N$37,IF($AC226&lt;&gt;"",Master!$N$38,IF($S226&lt;&gt;"",Master!$N$39,IF($C226&lt;&gt;"",Master!$N$40,Master!$N$41))))</f>
        <v>起票</v>
      </c>
      <c r="O226" s="202" t="str">
        <f>IF($N226=Master!$N$37,MAX($S226,$AC226,$AI226),"")</f>
        <v/>
      </c>
      <c r="P226" s="65"/>
      <c r="Q226" s="203"/>
      <c r="R226" s="303"/>
      <c r="S226" s="203"/>
      <c r="T226" s="310"/>
      <c r="U226" s="304"/>
      <c r="V226" s="303"/>
      <c r="W226" s="306"/>
      <c r="X226" s="306"/>
      <c r="Y226" s="305"/>
      <c r="Z226" s="303"/>
      <c r="AA226" s="203"/>
      <c r="AB226" s="306"/>
      <c r="AC226" s="203"/>
      <c r="AD226" s="307"/>
      <c r="AE226" s="308"/>
      <c r="AF226" s="309"/>
      <c r="AG226" s="310"/>
      <c r="AH226" s="303"/>
      <c r="AI226" s="203"/>
      <c r="AJ226" s="311"/>
      <c r="AK226" s="451"/>
      <c r="AL226" s="59"/>
      <c r="AM226" s="60"/>
      <c r="AO226" s="137" t="e">
        <f t="shared" si="28"/>
        <v>#N/A</v>
      </c>
      <c r="AP226" s="138" t="e">
        <f t="shared" si="29"/>
        <v>#N/A</v>
      </c>
      <c r="AQ226" s="138" t="e">
        <f t="shared" si="30"/>
        <v>#N/A</v>
      </c>
      <c r="AR226" s="138" t="e">
        <f t="shared" si="31"/>
        <v>#N/A</v>
      </c>
      <c r="AS226" s="138" t="e">
        <f t="shared" si="32"/>
        <v>#N/A</v>
      </c>
      <c r="AT226" s="139" t="e">
        <f t="shared" si="33"/>
        <v>#N/A</v>
      </c>
      <c r="BB226" s="16" t="s">
        <v>596</v>
      </c>
    </row>
    <row r="227" spans="1:54" ht="102.75" customHeight="1">
      <c r="A227" s="428">
        <f t="shared" si="34"/>
        <v>219</v>
      </c>
      <c r="B227" s="294"/>
      <c r="C227" s="203"/>
      <c r="D227" s="301"/>
      <c r="E227" s="301"/>
      <c r="F227" s="301"/>
      <c r="G227" s="301"/>
      <c r="H227" s="302"/>
      <c r="I227" s="292"/>
      <c r="J227" s="61"/>
      <c r="K227" s="303"/>
      <c r="L227" s="303"/>
      <c r="M227" s="203"/>
      <c r="N227" s="84" t="str">
        <f>IF($AI227&lt;&gt;"",Master!$N$37,IF($AC227&lt;&gt;"",Master!$N$38,IF($S227&lt;&gt;"",Master!$N$39,IF($C227&lt;&gt;"",Master!$N$40,Master!$N$41))))</f>
        <v>起票</v>
      </c>
      <c r="O227" s="202" t="str">
        <f>IF($N227=Master!$N$37,MAX($S227,$AC227,$AI227),"")</f>
        <v/>
      </c>
      <c r="P227" s="65"/>
      <c r="Q227" s="203"/>
      <c r="R227" s="303"/>
      <c r="S227" s="203"/>
      <c r="T227" s="310"/>
      <c r="U227" s="304"/>
      <c r="V227" s="303"/>
      <c r="W227" s="306"/>
      <c r="X227" s="306"/>
      <c r="Y227" s="305"/>
      <c r="Z227" s="303"/>
      <c r="AA227" s="203"/>
      <c r="AB227" s="306"/>
      <c r="AC227" s="203"/>
      <c r="AD227" s="307"/>
      <c r="AE227" s="308"/>
      <c r="AF227" s="309"/>
      <c r="AG227" s="310"/>
      <c r="AH227" s="303"/>
      <c r="AI227" s="203"/>
      <c r="AJ227" s="311"/>
      <c r="AK227" s="451"/>
      <c r="AL227" s="59"/>
      <c r="AM227" s="60"/>
      <c r="AO227" s="137" t="e">
        <f t="shared" si="28"/>
        <v>#N/A</v>
      </c>
      <c r="AP227" s="138" t="e">
        <f t="shared" si="29"/>
        <v>#N/A</v>
      </c>
      <c r="AQ227" s="138" t="e">
        <f t="shared" si="30"/>
        <v>#N/A</v>
      </c>
      <c r="AR227" s="138" t="e">
        <f t="shared" si="31"/>
        <v>#N/A</v>
      </c>
      <c r="AS227" s="138" t="e">
        <f t="shared" si="32"/>
        <v>#N/A</v>
      </c>
      <c r="AT227" s="139" t="e">
        <f t="shared" si="33"/>
        <v>#N/A</v>
      </c>
      <c r="BB227" s="16" t="s">
        <v>596</v>
      </c>
    </row>
    <row r="228" spans="1:54" ht="102.75" customHeight="1">
      <c r="A228" s="428">
        <f t="shared" si="34"/>
        <v>220</v>
      </c>
      <c r="B228" s="294"/>
      <c r="C228" s="203"/>
      <c r="D228" s="301"/>
      <c r="E228" s="301"/>
      <c r="F228" s="301"/>
      <c r="G228" s="301"/>
      <c r="H228" s="302"/>
      <c r="I228" s="292"/>
      <c r="J228" s="61"/>
      <c r="K228" s="303"/>
      <c r="L228" s="303"/>
      <c r="M228" s="203"/>
      <c r="N228" s="84" t="str">
        <f>IF($AI228&lt;&gt;"",Master!$N$37,IF($AC228&lt;&gt;"",Master!$N$38,IF($S228&lt;&gt;"",Master!$N$39,IF($C228&lt;&gt;"",Master!$N$40,Master!$N$41))))</f>
        <v>起票</v>
      </c>
      <c r="O228" s="202" t="str">
        <f>IF($N228=Master!$N$37,MAX($S228,$AC228,$AI228),"")</f>
        <v/>
      </c>
      <c r="P228" s="65"/>
      <c r="Q228" s="203"/>
      <c r="R228" s="303"/>
      <c r="S228" s="203"/>
      <c r="T228" s="310"/>
      <c r="U228" s="304"/>
      <c r="V228" s="303"/>
      <c r="W228" s="306"/>
      <c r="X228" s="306"/>
      <c r="Y228" s="305"/>
      <c r="Z228" s="303"/>
      <c r="AA228" s="203"/>
      <c r="AB228" s="306"/>
      <c r="AC228" s="203"/>
      <c r="AD228" s="307"/>
      <c r="AE228" s="308"/>
      <c r="AF228" s="309"/>
      <c r="AG228" s="310"/>
      <c r="AH228" s="303"/>
      <c r="AI228" s="203"/>
      <c r="AJ228" s="311"/>
      <c r="AK228" s="451"/>
      <c r="AL228" s="59"/>
      <c r="AM228" s="60"/>
      <c r="AO228" s="137" t="e">
        <f t="shared" si="28"/>
        <v>#N/A</v>
      </c>
      <c r="AP228" s="138" t="e">
        <f t="shared" si="29"/>
        <v>#N/A</v>
      </c>
      <c r="AQ228" s="138" t="e">
        <f t="shared" si="30"/>
        <v>#N/A</v>
      </c>
      <c r="AR228" s="138" t="e">
        <f t="shared" si="31"/>
        <v>#N/A</v>
      </c>
      <c r="AS228" s="138" t="e">
        <f t="shared" si="32"/>
        <v>#N/A</v>
      </c>
      <c r="AT228" s="139" t="e">
        <f t="shared" si="33"/>
        <v>#N/A</v>
      </c>
      <c r="BB228" s="16" t="s">
        <v>596</v>
      </c>
    </row>
    <row r="229" spans="1:54" ht="102.75" customHeight="1">
      <c r="A229" s="428">
        <f t="shared" si="34"/>
        <v>221</v>
      </c>
      <c r="B229" s="294"/>
      <c r="C229" s="203"/>
      <c r="D229" s="301"/>
      <c r="E229" s="301"/>
      <c r="F229" s="301"/>
      <c r="G229" s="301"/>
      <c r="H229" s="302"/>
      <c r="I229" s="292"/>
      <c r="J229" s="61"/>
      <c r="K229" s="303"/>
      <c r="L229" s="303"/>
      <c r="M229" s="203"/>
      <c r="N229" s="84" t="str">
        <f>IF($AI229&lt;&gt;"",Master!$N$37,IF($AC229&lt;&gt;"",Master!$N$38,IF($S229&lt;&gt;"",Master!$N$39,IF($C229&lt;&gt;"",Master!$N$40,Master!$N$41))))</f>
        <v>起票</v>
      </c>
      <c r="O229" s="202" t="str">
        <f>IF($N229=Master!$N$37,MAX($S229,$AC229,$AI229),"")</f>
        <v/>
      </c>
      <c r="P229" s="65"/>
      <c r="Q229" s="203"/>
      <c r="R229" s="303"/>
      <c r="S229" s="203"/>
      <c r="T229" s="310"/>
      <c r="U229" s="304"/>
      <c r="V229" s="303"/>
      <c r="W229" s="306"/>
      <c r="X229" s="306"/>
      <c r="Y229" s="305"/>
      <c r="Z229" s="303"/>
      <c r="AA229" s="203"/>
      <c r="AB229" s="306"/>
      <c r="AC229" s="203"/>
      <c r="AD229" s="307"/>
      <c r="AE229" s="308"/>
      <c r="AF229" s="309"/>
      <c r="AG229" s="310"/>
      <c r="AH229" s="303"/>
      <c r="AI229" s="203"/>
      <c r="AJ229" s="311"/>
      <c r="AK229" s="451"/>
      <c r="AL229" s="59"/>
      <c r="AM229" s="60"/>
      <c r="AO229" s="137" t="e">
        <f t="shared" si="28"/>
        <v>#N/A</v>
      </c>
      <c r="AP229" s="138" t="e">
        <f t="shared" si="29"/>
        <v>#N/A</v>
      </c>
      <c r="AQ229" s="138" t="e">
        <f t="shared" si="30"/>
        <v>#N/A</v>
      </c>
      <c r="AR229" s="138" t="e">
        <f t="shared" si="31"/>
        <v>#N/A</v>
      </c>
      <c r="AS229" s="138" t="e">
        <f t="shared" si="32"/>
        <v>#N/A</v>
      </c>
      <c r="AT229" s="139" t="e">
        <f t="shared" si="33"/>
        <v>#N/A</v>
      </c>
      <c r="BB229" s="16" t="s">
        <v>596</v>
      </c>
    </row>
    <row r="230" spans="1:54" ht="102.75" customHeight="1">
      <c r="A230" s="428">
        <f t="shared" si="34"/>
        <v>222</v>
      </c>
      <c r="B230" s="294"/>
      <c r="C230" s="203"/>
      <c r="D230" s="301"/>
      <c r="E230" s="301"/>
      <c r="F230" s="301"/>
      <c r="G230" s="301"/>
      <c r="H230" s="302"/>
      <c r="I230" s="292"/>
      <c r="J230" s="61"/>
      <c r="K230" s="303"/>
      <c r="L230" s="303"/>
      <c r="M230" s="203"/>
      <c r="N230" s="84" t="str">
        <f>IF($AI230&lt;&gt;"",Master!$N$37,IF($AC230&lt;&gt;"",Master!$N$38,IF($S230&lt;&gt;"",Master!$N$39,IF($C230&lt;&gt;"",Master!$N$40,Master!$N$41))))</f>
        <v>起票</v>
      </c>
      <c r="O230" s="202" t="str">
        <f>IF($N230=Master!$N$37,MAX($S230,$AC230,$AI230),"")</f>
        <v/>
      </c>
      <c r="P230" s="65"/>
      <c r="Q230" s="203"/>
      <c r="R230" s="303"/>
      <c r="S230" s="203"/>
      <c r="T230" s="310"/>
      <c r="U230" s="304"/>
      <c r="V230" s="303"/>
      <c r="W230" s="306"/>
      <c r="X230" s="306"/>
      <c r="Y230" s="305"/>
      <c r="Z230" s="303"/>
      <c r="AA230" s="203"/>
      <c r="AB230" s="306"/>
      <c r="AC230" s="203"/>
      <c r="AD230" s="307"/>
      <c r="AE230" s="308"/>
      <c r="AF230" s="309"/>
      <c r="AG230" s="310"/>
      <c r="AH230" s="303"/>
      <c r="AI230" s="203"/>
      <c r="AJ230" s="311"/>
      <c r="AK230" s="451"/>
      <c r="AL230" s="59"/>
      <c r="AM230" s="60"/>
      <c r="AO230" s="137" t="e">
        <f t="shared" si="28"/>
        <v>#N/A</v>
      </c>
      <c r="AP230" s="138" t="e">
        <f t="shared" si="29"/>
        <v>#N/A</v>
      </c>
      <c r="AQ230" s="138" t="e">
        <f t="shared" si="30"/>
        <v>#N/A</v>
      </c>
      <c r="AR230" s="138" t="e">
        <f t="shared" si="31"/>
        <v>#N/A</v>
      </c>
      <c r="AS230" s="138" t="e">
        <f t="shared" si="32"/>
        <v>#N/A</v>
      </c>
      <c r="AT230" s="139" t="e">
        <f t="shared" si="33"/>
        <v>#N/A</v>
      </c>
      <c r="BB230" s="16" t="s">
        <v>596</v>
      </c>
    </row>
    <row r="231" spans="1:54" ht="102.75" customHeight="1">
      <c r="A231" s="428">
        <f t="shared" si="34"/>
        <v>223</v>
      </c>
      <c r="B231" s="294"/>
      <c r="C231" s="203"/>
      <c r="D231" s="301"/>
      <c r="E231" s="301"/>
      <c r="F231" s="301"/>
      <c r="G231" s="301"/>
      <c r="H231" s="302"/>
      <c r="I231" s="292"/>
      <c r="J231" s="61"/>
      <c r="K231" s="303"/>
      <c r="L231" s="303"/>
      <c r="M231" s="203"/>
      <c r="N231" s="84" t="str">
        <f>IF($AI231&lt;&gt;"",Master!$N$37,IF($AC231&lt;&gt;"",Master!$N$38,IF($S231&lt;&gt;"",Master!$N$39,IF($C231&lt;&gt;"",Master!$N$40,Master!$N$41))))</f>
        <v>起票</v>
      </c>
      <c r="O231" s="202" t="str">
        <f>IF($N231=Master!$N$37,MAX($S231,$AC231,$AI231),"")</f>
        <v/>
      </c>
      <c r="P231" s="65"/>
      <c r="Q231" s="203"/>
      <c r="R231" s="303"/>
      <c r="S231" s="203"/>
      <c r="T231" s="310"/>
      <c r="U231" s="304"/>
      <c r="V231" s="303"/>
      <c r="W231" s="306"/>
      <c r="X231" s="306"/>
      <c r="Y231" s="305"/>
      <c r="Z231" s="303"/>
      <c r="AA231" s="203"/>
      <c r="AB231" s="306"/>
      <c r="AC231" s="203"/>
      <c r="AD231" s="307"/>
      <c r="AE231" s="308"/>
      <c r="AF231" s="309"/>
      <c r="AG231" s="310"/>
      <c r="AH231" s="303"/>
      <c r="AI231" s="203"/>
      <c r="AJ231" s="311"/>
      <c r="AK231" s="451"/>
      <c r="AL231" s="59"/>
      <c r="AM231" s="60"/>
      <c r="AO231" s="137" t="e">
        <f t="shared" si="28"/>
        <v>#N/A</v>
      </c>
      <c r="AP231" s="138" t="e">
        <f t="shared" si="29"/>
        <v>#N/A</v>
      </c>
      <c r="AQ231" s="138" t="e">
        <f t="shared" si="30"/>
        <v>#N/A</v>
      </c>
      <c r="AR231" s="138" t="e">
        <f t="shared" si="31"/>
        <v>#N/A</v>
      </c>
      <c r="AS231" s="138" t="e">
        <f t="shared" si="32"/>
        <v>#N/A</v>
      </c>
      <c r="AT231" s="139" t="e">
        <f t="shared" si="33"/>
        <v>#N/A</v>
      </c>
      <c r="BB231" s="16" t="s">
        <v>596</v>
      </c>
    </row>
    <row r="232" spans="1:54" ht="102.75" customHeight="1">
      <c r="A232" s="428">
        <f t="shared" si="34"/>
        <v>224</v>
      </c>
      <c r="B232" s="294"/>
      <c r="C232" s="203"/>
      <c r="D232" s="301"/>
      <c r="E232" s="301"/>
      <c r="F232" s="301"/>
      <c r="G232" s="301"/>
      <c r="H232" s="302"/>
      <c r="I232" s="292"/>
      <c r="J232" s="61"/>
      <c r="K232" s="303"/>
      <c r="L232" s="303"/>
      <c r="M232" s="203"/>
      <c r="N232" s="84" t="str">
        <f>IF($AI232&lt;&gt;"",Master!$N$37,IF($AC232&lt;&gt;"",Master!$N$38,IF($S232&lt;&gt;"",Master!$N$39,IF($C232&lt;&gt;"",Master!$N$40,Master!$N$41))))</f>
        <v>起票</v>
      </c>
      <c r="O232" s="202" t="str">
        <f>IF($N232=Master!$N$37,MAX($S232,$AC232,$AI232),"")</f>
        <v/>
      </c>
      <c r="P232" s="65"/>
      <c r="Q232" s="203"/>
      <c r="R232" s="303"/>
      <c r="S232" s="203"/>
      <c r="T232" s="310"/>
      <c r="U232" s="304"/>
      <c r="V232" s="303"/>
      <c r="W232" s="306"/>
      <c r="X232" s="306"/>
      <c r="Y232" s="305"/>
      <c r="Z232" s="303"/>
      <c r="AA232" s="203"/>
      <c r="AB232" s="306"/>
      <c r="AC232" s="203"/>
      <c r="AD232" s="307"/>
      <c r="AE232" s="308"/>
      <c r="AF232" s="309"/>
      <c r="AG232" s="310"/>
      <c r="AH232" s="303"/>
      <c r="AI232" s="203"/>
      <c r="AJ232" s="311"/>
      <c r="AK232" s="451"/>
      <c r="AL232" s="59"/>
      <c r="AM232" s="60"/>
      <c r="AO232" s="137" t="e">
        <f t="shared" si="28"/>
        <v>#N/A</v>
      </c>
      <c r="AP232" s="138" t="e">
        <f t="shared" si="29"/>
        <v>#N/A</v>
      </c>
      <c r="AQ232" s="138" t="e">
        <f t="shared" si="30"/>
        <v>#N/A</v>
      </c>
      <c r="AR232" s="138" t="e">
        <f t="shared" si="31"/>
        <v>#N/A</v>
      </c>
      <c r="AS232" s="138" t="e">
        <f t="shared" si="32"/>
        <v>#N/A</v>
      </c>
      <c r="AT232" s="139" t="e">
        <f t="shared" si="33"/>
        <v>#N/A</v>
      </c>
      <c r="BB232" s="16" t="s">
        <v>596</v>
      </c>
    </row>
    <row r="233" spans="1:54" ht="102.75" customHeight="1">
      <c r="A233" s="428">
        <f t="shared" si="34"/>
        <v>225</v>
      </c>
      <c r="B233" s="294"/>
      <c r="C233" s="203"/>
      <c r="D233" s="301"/>
      <c r="E233" s="301"/>
      <c r="F233" s="301"/>
      <c r="G233" s="301"/>
      <c r="H233" s="302"/>
      <c r="I233" s="292"/>
      <c r="J233" s="61"/>
      <c r="K233" s="303"/>
      <c r="L233" s="303"/>
      <c r="M233" s="203"/>
      <c r="N233" s="84" t="str">
        <f>IF($AI233&lt;&gt;"",Master!$N$37,IF($AC233&lt;&gt;"",Master!$N$38,IF($S233&lt;&gt;"",Master!$N$39,IF($C233&lt;&gt;"",Master!$N$40,Master!$N$41))))</f>
        <v>起票</v>
      </c>
      <c r="O233" s="202" t="str">
        <f>IF($N233=Master!$N$37,MAX($S233,$AC233,$AI233),"")</f>
        <v/>
      </c>
      <c r="P233" s="65"/>
      <c r="Q233" s="203"/>
      <c r="R233" s="303"/>
      <c r="S233" s="203"/>
      <c r="T233" s="310"/>
      <c r="U233" s="304"/>
      <c r="V233" s="303"/>
      <c r="W233" s="306"/>
      <c r="X233" s="306"/>
      <c r="Y233" s="305"/>
      <c r="Z233" s="303"/>
      <c r="AA233" s="203"/>
      <c r="AB233" s="306"/>
      <c r="AC233" s="203"/>
      <c r="AD233" s="307"/>
      <c r="AE233" s="308"/>
      <c r="AF233" s="309"/>
      <c r="AG233" s="310"/>
      <c r="AH233" s="303"/>
      <c r="AI233" s="203"/>
      <c r="AJ233" s="311"/>
      <c r="AK233" s="451"/>
      <c r="AL233" s="59"/>
      <c r="AM233" s="60"/>
      <c r="AO233" s="137" t="e">
        <f t="shared" si="28"/>
        <v>#N/A</v>
      </c>
      <c r="AP233" s="138" t="e">
        <f t="shared" si="29"/>
        <v>#N/A</v>
      </c>
      <c r="AQ233" s="138" t="e">
        <f t="shared" si="30"/>
        <v>#N/A</v>
      </c>
      <c r="AR233" s="138" t="e">
        <f t="shared" si="31"/>
        <v>#N/A</v>
      </c>
      <c r="AS233" s="138" t="e">
        <f t="shared" si="32"/>
        <v>#N/A</v>
      </c>
      <c r="AT233" s="139" t="e">
        <f t="shared" si="33"/>
        <v>#N/A</v>
      </c>
      <c r="BB233" s="16" t="s">
        <v>596</v>
      </c>
    </row>
    <row r="234" spans="1:54" ht="102.75" customHeight="1">
      <c r="A234" s="428">
        <f t="shared" si="34"/>
        <v>226</v>
      </c>
      <c r="B234" s="294"/>
      <c r="C234" s="203"/>
      <c r="D234" s="301"/>
      <c r="E234" s="301"/>
      <c r="F234" s="301"/>
      <c r="G234" s="301"/>
      <c r="H234" s="302"/>
      <c r="I234" s="292"/>
      <c r="J234" s="61"/>
      <c r="K234" s="303"/>
      <c r="L234" s="303"/>
      <c r="M234" s="203"/>
      <c r="N234" s="84" t="str">
        <f>IF($AI234&lt;&gt;"",Master!$N$37,IF($AC234&lt;&gt;"",Master!$N$38,IF($S234&lt;&gt;"",Master!$N$39,IF($C234&lt;&gt;"",Master!$N$40,Master!$N$41))))</f>
        <v>起票</v>
      </c>
      <c r="O234" s="202" t="str">
        <f>IF($N234=Master!$N$37,MAX($S234,$AC234,$AI234),"")</f>
        <v/>
      </c>
      <c r="P234" s="65"/>
      <c r="Q234" s="203"/>
      <c r="R234" s="303"/>
      <c r="S234" s="203"/>
      <c r="T234" s="310"/>
      <c r="U234" s="304"/>
      <c r="V234" s="303"/>
      <c r="W234" s="306"/>
      <c r="X234" s="306"/>
      <c r="Y234" s="305"/>
      <c r="Z234" s="303"/>
      <c r="AA234" s="203"/>
      <c r="AB234" s="306"/>
      <c r="AC234" s="203"/>
      <c r="AD234" s="307"/>
      <c r="AE234" s="308"/>
      <c r="AF234" s="309"/>
      <c r="AG234" s="310"/>
      <c r="AH234" s="303"/>
      <c r="AI234" s="203"/>
      <c r="AJ234" s="311"/>
      <c r="AK234" s="451"/>
      <c r="AL234" s="59"/>
      <c r="AM234" s="60"/>
      <c r="AO234" s="137" t="e">
        <f t="shared" si="28"/>
        <v>#N/A</v>
      </c>
      <c r="AP234" s="138" t="e">
        <f t="shared" si="29"/>
        <v>#N/A</v>
      </c>
      <c r="AQ234" s="138" t="e">
        <f t="shared" si="30"/>
        <v>#N/A</v>
      </c>
      <c r="AR234" s="138" t="e">
        <f t="shared" si="31"/>
        <v>#N/A</v>
      </c>
      <c r="AS234" s="138" t="e">
        <f t="shared" si="32"/>
        <v>#N/A</v>
      </c>
      <c r="AT234" s="139" t="e">
        <f t="shared" si="33"/>
        <v>#N/A</v>
      </c>
      <c r="BB234" s="16" t="s">
        <v>596</v>
      </c>
    </row>
    <row r="235" spans="1:54" ht="102.75" customHeight="1">
      <c r="A235" s="428">
        <f t="shared" si="34"/>
        <v>227</v>
      </c>
      <c r="B235" s="294"/>
      <c r="C235" s="203"/>
      <c r="D235" s="301"/>
      <c r="E235" s="301"/>
      <c r="F235" s="301"/>
      <c r="G235" s="301"/>
      <c r="H235" s="302"/>
      <c r="I235" s="292"/>
      <c r="J235" s="61"/>
      <c r="K235" s="303"/>
      <c r="L235" s="303"/>
      <c r="M235" s="203"/>
      <c r="N235" s="84" t="str">
        <f>IF($AI235&lt;&gt;"",Master!$N$37,IF($AC235&lt;&gt;"",Master!$N$38,IF($S235&lt;&gt;"",Master!$N$39,IF($C235&lt;&gt;"",Master!$N$40,Master!$N$41))))</f>
        <v>起票</v>
      </c>
      <c r="O235" s="202" t="str">
        <f>IF($N235=Master!$N$37,MAX($S235,$AC235,$AI235),"")</f>
        <v/>
      </c>
      <c r="P235" s="65"/>
      <c r="Q235" s="203"/>
      <c r="R235" s="303"/>
      <c r="S235" s="203"/>
      <c r="T235" s="310"/>
      <c r="U235" s="304"/>
      <c r="V235" s="303"/>
      <c r="W235" s="306"/>
      <c r="X235" s="306"/>
      <c r="Y235" s="305"/>
      <c r="Z235" s="303"/>
      <c r="AA235" s="203"/>
      <c r="AB235" s="306"/>
      <c r="AC235" s="203"/>
      <c r="AD235" s="307"/>
      <c r="AE235" s="308"/>
      <c r="AF235" s="309"/>
      <c r="AG235" s="310"/>
      <c r="AH235" s="303"/>
      <c r="AI235" s="203"/>
      <c r="AJ235" s="311"/>
      <c r="AK235" s="451"/>
      <c r="AL235" s="59"/>
      <c r="AM235" s="60"/>
      <c r="AO235" s="137" t="e">
        <f t="shared" si="28"/>
        <v>#N/A</v>
      </c>
      <c r="AP235" s="138" t="e">
        <f t="shared" si="29"/>
        <v>#N/A</v>
      </c>
      <c r="AQ235" s="138" t="e">
        <f t="shared" si="30"/>
        <v>#N/A</v>
      </c>
      <c r="AR235" s="138" t="e">
        <f t="shared" si="31"/>
        <v>#N/A</v>
      </c>
      <c r="AS235" s="138" t="e">
        <f t="shared" si="32"/>
        <v>#N/A</v>
      </c>
      <c r="AT235" s="139" t="e">
        <f t="shared" si="33"/>
        <v>#N/A</v>
      </c>
      <c r="BB235" s="16" t="s">
        <v>596</v>
      </c>
    </row>
    <row r="236" spans="1:54" ht="102.75" customHeight="1">
      <c r="A236" s="428">
        <f t="shared" si="34"/>
        <v>228</v>
      </c>
      <c r="B236" s="294"/>
      <c r="C236" s="203"/>
      <c r="D236" s="301"/>
      <c r="E236" s="301"/>
      <c r="F236" s="301"/>
      <c r="G236" s="301"/>
      <c r="H236" s="302"/>
      <c r="I236" s="292"/>
      <c r="J236" s="61"/>
      <c r="K236" s="303"/>
      <c r="L236" s="303"/>
      <c r="M236" s="203"/>
      <c r="N236" s="84" t="str">
        <f>IF($AI236&lt;&gt;"",Master!$N$37,IF($AC236&lt;&gt;"",Master!$N$38,IF($S236&lt;&gt;"",Master!$N$39,IF($C236&lt;&gt;"",Master!$N$40,Master!$N$41))))</f>
        <v>起票</v>
      </c>
      <c r="O236" s="202" t="str">
        <f>IF($N236=Master!$N$37,MAX($S236,$AC236,$AI236),"")</f>
        <v/>
      </c>
      <c r="P236" s="65"/>
      <c r="Q236" s="203"/>
      <c r="R236" s="303"/>
      <c r="S236" s="203"/>
      <c r="T236" s="310"/>
      <c r="U236" s="304"/>
      <c r="V236" s="303"/>
      <c r="W236" s="306"/>
      <c r="X236" s="306"/>
      <c r="Y236" s="305"/>
      <c r="Z236" s="303"/>
      <c r="AA236" s="203"/>
      <c r="AB236" s="306"/>
      <c r="AC236" s="203"/>
      <c r="AD236" s="307"/>
      <c r="AE236" s="308"/>
      <c r="AF236" s="309"/>
      <c r="AG236" s="310"/>
      <c r="AH236" s="303"/>
      <c r="AI236" s="203"/>
      <c r="AJ236" s="311"/>
      <c r="AK236" s="451"/>
      <c r="AL236" s="59"/>
      <c r="AM236" s="60"/>
      <c r="AO236" s="137" t="e">
        <f t="shared" si="28"/>
        <v>#N/A</v>
      </c>
      <c r="AP236" s="138" t="e">
        <f t="shared" si="29"/>
        <v>#N/A</v>
      </c>
      <c r="AQ236" s="138" t="e">
        <f t="shared" si="30"/>
        <v>#N/A</v>
      </c>
      <c r="AR236" s="138" t="e">
        <f t="shared" si="31"/>
        <v>#N/A</v>
      </c>
      <c r="AS236" s="138" t="e">
        <f t="shared" si="32"/>
        <v>#N/A</v>
      </c>
      <c r="AT236" s="139" t="e">
        <f t="shared" si="33"/>
        <v>#N/A</v>
      </c>
      <c r="BB236" s="16" t="s">
        <v>596</v>
      </c>
    </row>
    <row r="237" spans="1:54" ht="102.75" customHeight="1">
      <c r="A237" s="428">
        <f t="shared" si="34"/>
        <v>229</v>
      </c>
      <c r="B237" s="294"/>
      <c r="C237" s="203"/>
      <c r="D237" s="301"/>
      <c r="E237" s="301"/>
      <c r="F237" s="301"/>
      <c r="G237" s="301"/>
      <c r="H237" s="302"/>
      <c r="I237" s="292"/>
      <c r="J237" s="61"/>
      <c r="K237" s="303"/>
      <c r="L237" s="303"/>
      <c r="M237" s="203"/>
      <c r="N237" s="84" t="str">
        <f>IF($AI237&lt;&gt;"",Master!$N$37,IF($AC237&lt;&gt;"",Master!$N$38,IF($S237&lt;&gt;"",Master!$N$39,IF($C237&lt;&gt;"",Master!$N$40,Master!$N$41))))</f>
        <v>起票</v>
      </c>
      <c r="O237" s="202" t="str">
        <f>IF($N237=Master!$N$37,MAX($S237,$AC237,$AI237),"")</f>
        <v/>
      </c>
      <c r="P237" s="65"/>
      <c r="Q237" s="203"/>
      <c r="R237" s="303"/>
      <c r="S237" s="203"/>
      <c r="T237" s="310"/>
      <c r="U237" s="304"/>
      <c r="V237" s="303"/>
      <c r="W237" s="306"/>
      <c r="X237" s="306"/>
      <c r="Y237" s="305"/>
      <c r="Z237" s="303"/>
      <c r="AA237" s="203"/>
      <c r="AB237" s="306"/>
      <c r="AC237" s="203"/>
      <c r="AD237" s="307"/>
      <c r="AE237" s="308"/>
      <c r="AF237" s="309"/>
      <c r="AG237" s="310"/>
      <c r="AH237" s="303"/>
      <c r="AI237" s="203"/>
      <c r="AJ237" s="311"/>
      <c r="AK237" s="451"/>
      <c r="AL237" s="59"/>
      <c r="AM237" s="60"/>
      <c r="AO237" s="137" t="e">
        <f t="shared" si="28"/>
        <v>#N/A</v>
      </c>
      <c r="AP237" s="138" t="e">
        <f t="shared" si="29"/>
        <v>#N/A</v>
      </c>
      <c r="AQ237" s="138" t="e">
        <f t="shared" si="30"/>
        <v>#N/A</v>
      </c>
      <c r="AR237" s="138" t="e">
        <f t="shared" si="31"/>
        <v>#N/A</v>
      </c>
      <c r="AS237" s="138" t="e">
        <f t="shared" si="32"/>
        <v>#N/A</v>
      </c>
      <c r="AT237" s="139" t="e">
        <f t="shared" si="33"/>
        <v>#N/A</v>
      </c>
      <c r="BB237" s="16" t="s">
        <v>596</v>
      </c>
    </row>
    <row r="238" spans="1:54" ht="102.75" customHeight="1">
      <c r="A238" s="428">
        <f t="shared" si="34"/>
        <v>230</v>
      </c>
      <c r="B238" s="294"/>
      <c r="C238" s="203"/>
      <c r="D238" s="301"/>
      <c r="E238" s="301"/>
      <c r="F238" s="301"/>
      <c r="G238" s="301"/>
      <c r="H238" s="302"/>
      <c r="I238" s="292"/>
      <c r="J238" s="61"/>
      <c r="K238" s="303"/>
      <c r="L238" s="303"/>
      <c r="M238" s="203"/>
      <c r="N238" s="84" t="str">
        <f>IF($AI238&lt;&gt;"",Master!$N$37,IF($AC238&lt;&gt;"",Master!$N$38,IF($S238&lt;&gt;"",Master!$N$39,IF($C238&lt;&gt;"",Master!$N$40,Master!$N$41))))</f>
        <v>起票</v>
      </c>
      <c r="O238" s="202" t="str">
        <f>IF($N238=Master!$N$37,MAX($S238,$AC238,$AI238),"")</f>
        <v/>
      </c>
      <c r="P238" s="65"/>
      <c r="Q238" s="203"/>
      <c r="R238" s="303"/>
      <c r="S238" s="203"/>
      <c r="T238" s="310"/>
      <c r="U238" s="304"/>
      <c r="V238" s="303"/>
      <c r="W238" s="306"/>
      <c r="X238" s="306"/>
      <c r="Y238" s="305"/>
      <c r="Z238" s="303"/>
      <c r="AA238" s="203"/>
      <c r="AB238" s="306"/>
      <c r="AC238" s="203"/>
      <c r="AD238" s="307"/>
      <c r="AE238" s="308"/>
      <c r="AF238" s="309"/>
      <c r="AG238" s="310"/>
      <c r="AH238" s="303"/>
      <c r="AI238" s="203"/>
      <c r="AJ238" s="311"/>
      <c r="AK238" s="451"/>
      <c r="AL238" s="59"/>
      <c r="AM238" s="60"/>
      <c r="AO238" s="137" t="e">
        <f t="shared" si="28"/>
        <v>#N/A</v>
      </c>
      <c r="AP238" s="138" t="e">
        <f t="shared" si="29"/>
        <v>#N/A</v>
      </c>
      <c r="AQ238" s="138" t="e">
        <f t="shared" si="30"/>
        <v>#N/A</v>
      </c>
      <c r="AR238" s="138" t="e">
        <f t="shared" si="31"/>
        <v>#N/A</v>
      </c>
      <c r="AS238" s="138" t="e">
        <f t="shared" si="32"/>
        <v>#N/A</v>
      </c>
      <c r="AT238" s="139" t="e">
        <f t="shared" si="33"/>
        <v>#N/A</v>
      </c>
      <c r="BB238" s="16" t="s">
        <v>596</v>
      </c>
    </row>
    <row r="239" spans="1:54" ht="102.75" customHeight="1">
      <c r="A239" s="428">
        <f t="shared" si="34"/>
        <v>231</v>
      </c>
      <c r="B239" s="294"/>
      <c r="C239" s="203"/>
      <c r="D239" s="301"/>
      <c r="E239" s="301"/>
      <c r="F239" s="301"/>
      <c r="G239" s="301"/>
      <c r="H239" s="302"/>
      <c r="I239" s="292"/>
      <c r="J239" s="61"/>
      <c r="K239" s="303"/>
      <c r="L239" s="303"/>
      <c r="M239" s="203"/>
      <c r="N239" s="84" t="str">
        <f>IF($AI239&lt;&gt;"",Master!$N$37,IF($AC239&lt;&gt;"",Master!$N$38,IF($S239&lt;&gt;"",Master!$N$39,IF($C239&lt;&gt;"",Master!$N$40,Master!$N$41))))</f>
        <v>起票</v>
      </c>
      <c r="O239" s="202" t="str">
        <f>IF($N239=Master!$N$37,MAX($S239,$AC239,$AI239),"")</f>
        <v/>
      </c>
      <c r="P239" s="65"/>
      <c r="Q239" s="203"/>
      <c r="R239" s="303"/>
      <c r="S239" s="203"/>
      <c r="T239" s="310"/>
      <c r="U239" s="304"/>
      <c r="V239" s="303"/>
      <c r="W239" s="306"/>
      <c r="X239" s="306"/>
      <c r="Y239" s="305"/>
      <c r="Z239" s="303"/>
      <c r="AA239" s="203"/>
      <c r="AB239" s="306"/>
      <c r="AC239" s="203"/>
      <c r="AD239" s="307"/>
      <c r="AE239" s="308"/>
      <c r="AF239" s="309"/>
      <c r="AG239" s="310"/>
      <c r="AH239" s="303"/>
      <c r="AI239" s="203"/>
      <c r="AJ239" s="311"/>
      <c r="AK239" s="451"/>
      <c r="AL239" s="59"/>
      <c r="AM239" s="60"/>
      <c r="AO239" s="137" t="e">
        <f t="shared" si="28"/>
        <v>#N/A</v>
      </c>
      <c r="AP239" s="138" t="e">
        <f t="shared" si="29"/>
        <v>#N/A</v>
      </c>
      <c r="AQ239" s="138" t="e">
        <f t="shared" si="30"/>
        <v>#N/A</v>
      </c>
      <c r="AR239" s="138" t="e">
        <f t="shared" si="31"/>
        <v>#N/A</v>
      </c>
      <c r="AS239" s="138" t="e">
        <f t="shared" si="32"/>
        <v>#N/A</v>
      </c>
      <c r="AT239" s="139" t="e">
        <f t="shared" si="33"/>
        <v>#N/A</v>
      </c>
      <c r="BB239" s="16" t="s">
        <v>596</v>
      </c>
    </row>
    <row r="240" spans="1:54" ht="102.75" customHeight="1">
      <c r="A240" s="428">
        <f t="shared" si="34"/>
        <v>232</v>
      </c>
      <c r="B240" s="294"/>
      <c r="C240" s="203"/>
      <c r="D240" s="301"/>
      <c r="E240" s="301"/>
      <c r="F240" s="301"/>
      <c r="G240" s="301"/>
      <c r="H240" s="302"/>
      <c r="I240" s="292"/>
      <c r="J240" s="61"/>
      <c r="K240" s="303"/>
      <c r="L240" s="303"/>
      <c r="M240" s="203"/>
      <c r="N240" s="84" t="str">
        <f>IF($AI240&lt;&gt;"",Master!$N$37,IF($AC240&lt;&gt;"",Master!$N$38,IF($S240&lt;&gt;"",Master!$N$39,IF($C240&lt;&gt;"",Master!$N$40,Master!$N$41))))</f>
        <v>起票</v>
      </c>
      <c r="O240" s="202" t="str">
        <f>IF($N240=Master!$N$37,MAX($S240,$AC240,$AI240),"")</f>
        <v/>
      </c>
      <c r="P240" s="65"/>
      <c r="Q240" s="203"/>
      <c r="R240" s="303"/>
      <c r="S240" s="203"/>
      <c r="T240" s="310"/>
      <c r="U240" s="304"/>
      <c r="V240" s="303"/>
      <c r="W240" s="306"/>
      <c r="X240" s="306"/>
      <c r="Y240" s="305"/>
      <c r="Z240" s="303"/>
      <c r="AA240" s="203"/>
      <c r="AB240" s="306"/>
      <c r="AC240" s="203"/>
      <c r="AD240" s="307"/>
      <c r="AE240" s="308"/>
      <c r="AF240" s="309"/>
      <c r="AG240" s="310"/>
      <c r="AH240" s="303"/>
      <c r="AI240" s="203"/>
      <c r="AJ240" s="311"/>
      <c r="AK240" s="451"/>
      <c r="AL240" s="59"/>
      <c r="AM240" s="60"/>
      <c r="AO240" s="137" t="e">
        <f t="shared" si="28"/>
        <v>#N/A</v>
      </c>
      <c r="AP240" s="138" t="e">
        <f t="shared" si="29"/>
        <v>#N/A</v>
      </c>
      <c r="AQ240" s="138" t="e">
        <f t="shared" si="30"/>
        <v>#N/A</v>
      </c>
      <c r="AR240" s="138" t="e">
        <f t="shared" si="31"/>
        <v>#N/A</v>
      </c>
      <c r="AS240" s="138" t="e">
        <f t="shared" si="32"/>
        <v>#N/A</v>
      </c>
      <c r="AT240" s="139" t="e">
        <f t="shared" si="33"/>
        <v>#N/A</v>
      </c>
      <c r="BB240" s="16" t="s">
        <v>596</v>
      </c>
    </row>
    <row r="241" spans="1:54" ht="102.75" customHeight="1">
      <c r="A241" s="428">
        <f t="shared" si="34"/>
        <v>233</v>
      </c>
      <c r="B241" s="294"/>
      <c r="C241" s="203"/>
      <c r="D241" s="301"/>
      <c r="E241" s="301"/>
      <c r="F241" s="301"/>
      <c r="G241" s="301"/>
      <c r="H241" s="302"/>
      <c r="I241" s="292"/>
      <c r="J241" s="61"/>
      <c r="K241" s="303"/>
      <c r="L241" s="303"/>
      <c r="M241" s="203"/>
      <c r="N241" s="84" t="str">
        <f>IF($AI241&lt;&gt;"",Master!$N$37,IF($AC241&lt;&gt;"",Master!$N$38,IF($S241&lt;&gt;"",Master!$N$39,IF($C241&lt;&gt;"",Master!$N$40,Master!$N$41))))</f>
        <v>起票</v>
      </c>
      <c r="O241" s="202" t="str">
        <f>IF($N241=Master!$N$37,MAX($S241,$AC241,$AI241),"")</f>
        <v/>
      </c>
      <c r="P241" s="65"/>
      <c r="Q241" s="203"/>
      <c r="R241" s="303"/>
      <c r="S241" s="203"/>
      <c r="T241" s="310"/>
      <c r="U241" s="304"/>
      <c r="V241" s="303"/>
      <c r="W241" s="306"/>
      <c r="X241" s="306"/>
      <c r="Y241" s="305"/>
      <c r="Z241" s="303"/>
      <c r="AA241" s="203"/>
      <c r="AB241" s="306"/>
      <c r="AC241" s="203"/>
      <c r="AD241" s="307"/>
      <c r="AE241" s="308"/>
      <c r="AF241" s="309"/>
      <c r="AG241" s="310"/>
      <c r="AH241" s="303"/>
      <c r="AI241" s="203"/>
      <c r="AJ241" s="311"/>
      <c r="AK241" s="451"/>
      <c r="AL241" s="59"/>
      <c r="AM241" s="60"/>
      <c r="AO241" s="137" t="e">
        <f t="shared" si="28"/>
        <v>#N/A</v>
      </c>
      <c r="AP241" s="138" t="e">
        <f t="shared" si="29"/>
        <v>#N/A</v>
      </c>
      <c r="AQ241" s="138" t="e">
        <f t="shared" si="30"/>
        <v>#N/A</v>
      </c>
      <c r="AR241" s="138" t="e">
        <f t="shared" si="31"/>
        <v>#N/A</v>
      </c>
      <c r="AS241" s="138" t="e">
        <f t="shared" si="32"/>
        <v>#N/A</v>
      </c>
      <c r="AT241" s="139" t="e">
        <f t="shared" si="33"/>
        <v>#N/A</v>
      </c>
      <c r="BB241" s="16" t="s">
        <v>596</v>
      </c>
    </row>
    <row r="242" spans="1:54" ht="102.75" customHeight="1">
      <c r="A242" s="428">
        <f t="shared" si="34"/>
        <v>234</v>
      </c>
      <c r="B242" s="294"/>
      <c r="C242" s="203"/>
      <c r="D242" s="301"/>
      <c r="E242" s="301"/>
      <c r="F242" s="301"/>
      <c r="G242" s="301"/>
      <c r="H242" s="302"/>
      <c r="I242" s="292"/>
      <c r="J242" s="61"/>
      <c r="K242" s="303"/>
      <c r="L242" s="303"/>
      <c r="M242" s="203"/>
      <c r="N242" s="84" t="str">
        <f>IF($AI242&lt;&gt;"",Master!$N$37,IF($AC242&lt;&gt;"",Master!$N$38,IF($S242&lt;&gt;"",Master!$N$39,IF($C242&lt;&gt;"",Master!$N$40,Master!$N$41))))</f>
        <v>起票</v>
      </c>
      <c r="O242" s="202" t="str">
        <f>IF($N242=Master!$N$37,MAX($S242,$AC242,$AI242),"")</f>
        <v/>
      </c>
      <c r="P242" s="65"/>
      <c r="Q242" s="203"/>
      <c r="R242" s="303"/>
      <c r="S242" s="203"/>
      <c r="T242" s="310"/>
      <c r="U242" s="304"/>
      <c r="V242" s="303"/>
      <c r="W242" s="306"/>
      <c r="X242" s="306"/>
      <c r="Y242" s="305"/>
      <c r="Z242" s="303"/>
      <c r="AA242" s="203"/>
      <c r="AB242" s="306"/>
      <c r="AC242" s="203"/>
      <c r="AD242" s="307"/>
      <c r="AE242" s="308"/>
      <c r="AF242" s="309"/>
      <c r="AG242" s="310"/>
      <c r="AH242" s="303"/>
      <c r="AI242" s="203"/>
      <c r="AJ242" s="311"/>
      <c r="AK242" s="451"/>
      <c r="AL242" s="59"/>
      <c r="AM242" s="60"/>
      <c r="AO242" s="137" t="e">
        <f t="shared" si="28"/>
        <v>#N/A</v>
      </c>
      <c r="AP242" s="138" t="e">
        <f t="shared" si="29"/>
        <v>#N/A</v>
      </c>
      <c r="AQ242" s="138" t="e">
        <f t="shared" si="30"/>
        <v>#N/A</v>
      </c>
      <c r="AR242" s="138" t="e">
        <f t="shared" si="31"/>
        <v>#N/A</v>
      </c>
      <c r="AS242" s="138" t="e">
        <f t="shared" si="32"/>
        <v>#N/A</v>
      </c>
      <c r="AT242" s="139" t="e">
        <f t="shared" si="33"/>
        <v>#N/A</v>
      </c>
      <c r="BB242" s="16" t="s">
        <v>596</v>
      </c>
    </row>
    <row r="243" spans="1:54" ht="102.75" customHeight="1">
      <c r="A243" s="428">
        <f t="shared" si="34"/>
        <v>235</v>
      </c>
      <c r="B243" s="294"/>
      <c r="C243" s="203"/>
      <c r="D243" s="301"/>
      <c r="E243" s="301"/>
      <c r="F243" s="301"/>
      <c r="G243" s="301"/>
      <c r="H243" s="302"/>
      <c r="I243" s="292"/>
      <c r="J243" s="61"/>
      <c r="K243" s="303"/>
      <c r="L243" s="303"/>
      <c r="M243" s="203"/>
      <c r="N243" s="84" t="str">
        <f>IF($AI243&lt;&gt;"",Master!$N$37,IF($AC243&lt;&gt;"",Master!$N$38,IF($S243&lt;&gt;"",Master!$N$39,IF($C243&lt;&gt;"",Master!$N$40,Master!$N$41))))</f>
        <v>起票</v>
      </c>
      <c r="O243" s="202" t="str">
        <f>IF($N243=Master!$N$37,MAX($S243,$AC243,$AI243),"")</f>
        <v/>
      </c>
      <c r="P243" s="65"/>
      <c r="Q243" s="203"/>
      <c r="R243" s="303"/>
      <c r="S243" s="203"/>
      <c r="T243" s="310"/>
      <c r="U243" s="304"/>
      <c r="V243" s="303"/>
      <c r="W243" s="306"/>
      <c r="X243" s="306"/>
      <c r="Y243" s="305"/>
      <c r="Z243" s="303"/>
      <c r="AA243" s="203"/>
      <c r="AB243" s="306"/>
      <c r="AC243" s="203"/>
      <c r="AD243" s="307"/>
      <c r="AE243" s="308"/>
      <c r="AF243" s="309"/>
      <c r="AG243" s="310"/>
      <c r="AH243" s="303"/>
      <c r="AI243" s="203"/>
      <c r="AJ243" s="311"/>
      <c r="AK243" s="451"/>
      <c r="AL243" s="59"/>
      <c r="AM243" s="60"/>
      <c r="AO243" s="137" t="e">
        <f t="shared" si="28"/>
        <v>#N/A</v>
      </c>
      <c r="AP243" s="138" t="e">
        <f t="shared" si="29"/>
        <v>#N/A</v>
      </c>
      <c r="AQ243" s="138" t="e">
        <f t="shared" si="30"/>
        <v>#N/A</v>
      </c>
      <c r="AR243" s="138" t="e">
        <f t="shared" si="31"/>
        <v>#N/A</v>
      </c>
      <c r="AS243" s="138" t="e">
        <f t="shared" si="32"/>
        <v>#N/A</v>
      </c>
      <c r="AT243" s="139" t="e">
        <f t="shared" si="33"/>
        <v>#N/A</v>
      </c>
      <c r="BB243" s="16" t="s">
        <v>596</v>
      </c>
    </row>
    <row r="244" spans="1:54" ht="102.75" customHeight="1">
      <c r="A244" s="428">
        <f t="shared" si="34"/>
        <v>236</v>
      </c>
      <c r="B244" s="294"/>
      <c r="C244" s="203"/>
      <c r="D244" s="301"/>
      <c r="E244" s="301"/>
      <c r="F244" s="301"/>
      <c r="G244" s="301"/>
      <c r="H244" s="302"/>
      <c r="I244" s="292"/>
      <c r="J244" s="61"/>
      <c r="K244" s="303"/>
      <c r="L244" s="303"/>
      <c r="M244" s="203"/>
      <c r="N244" s="84" t="str">
        <f>IF($AI244&lt;&gt;"",Master!$N$37,IF($AC244&lt;&gt;"",Master!$N$38,IF($S244&lt;&gt;"",Master!$N$39,IF($C244&lt;&gt;"",Master!$N$40,Master!$N$41))))</f>
        <v>起票</v>
      </c>
      <c r="O244" s="202" t="str">
        <f>IF($N244=Master!$N$37,MAX($S244,$AC244,$AI244),"")</f>
        <v/>
      </c>
      <c r="P244" s="65"/>
      <c r="Q244" s="203"/>
      <c r="R244" s="303"/>
      <c r="S244" s="203"/>
      <c r="T244" s="310"/>
      <c r="U244" s="304"/>
      <c r="V244" s="303"/>
      <c r="W244" s="306"/>
      <c r="X244" s="306"/>
      <c r="Y244" s="305"/>
      <c r="Z244" s="303"/>
      <c r="AA244" s="203"/>
      <c r="AB244" s="306"/>
      <c r="AC244" s="203"/>
      <c r="AD244" s="307"/>
      <c r="AE244" s="308"/>
      <c r="AF244" s="309"/>
      <c r="AG244" s="310"/>
      <c r="AH244" s="303"/>
      <c r="AI244" s="203"/>
      <c r="AJ244" s="311"/>
      <c r="AK244" s="451"/>
      <c r="AL244" s="59"/>
      <c r="AM244" s="60"/>
      <c r="AO244" s="137" t="e">
        <f t="shared" si="28"/>
        <v>#N/A</v>
      </c>
      <c r="AP244" s="138" t="e">
        <f t="shared" si="29"/>
        <v>#N/A</v>
      </c>
      <c r="AQ244" s="138" t="e">
        <f t="shared" si="30"/>
        <v>#N/A</v>
      </c>
      <c r="AR244" s="138" t="e">
        <f t="shared" si="31"/>
        <v>#N/A</v>
      </c>
      <c r="AS244" s="138" t="e">
        <f t="shared" si="32"/>
        <v>#N/A</v>
      </c>
      <c r="AT244" s="139" t="e">
        <f t="shared" si="33"/>
        <v>#N/A</v>
      </c>
      <c r="BB244" s="16" t="s">
        <v>596</v>
      </c>
    </row>
    <row r="245" spans="1:54" ht="102.75" customHeight="1">
      <c r="A245" s="428">
        <f t="shared" si="34"/>
        <v>237</v>
      </c>
      <c r="B245" s="294"/>
      <c r="C245" s="203"/>
      <c r="D245" s="301"/>
      <c r="E245" s="301"/>
      <c r="F245" s="301"/>
      <c r="G245" s="301"/>
      <c r="H245" s="302"/>
      <c r="I245" s="292"/>
      <c r="J245" s="61"/>
      <c r="K245" s="303"/>
      <c r="L245" s="303"/>
      <c r="M245" s="203"/>
      <c r="N245" s="84" t="str">
        <f>IF($AI245&lt;&gt;"",Master!$N$37,IF($AC245&lt;&gt;"",Master!$N$38,IF($S245&lt;&gt;"",Master!$N$39,IF($C245&lt;&gt;"",Master!$N$40,Master!$N$41))))</f>
        <v>起票</v>
      </c>
      <c r="O245" s="202" t="str">
        <f>IF($N245=Master!$N$37,MAX($S245,$AC245,$AI245),"")</f>
        <v/>
      </c>
      <c r="P245" s="65"/>
      <c r="Q245" s="203"/>
      <c r="R245" s="303"/>
      <c r="S245" s="203"/>
      <c r="T245" s="310"/>
      <c r="U245" s="304"/>
      <c r="V245" s="303"/>
      <c r="W245" s="306"/>
      <c r="X245" s="306"/>
      <c r="Y245" s="305"/>
      <c r="Z245" s="303"/>
      <c r="AA245" s="203"/>
      <c r="AB245" s="306"/>
      <c r="AC245" s="203"/>
      <c r="AD245" s="307"/>
      <c r="AE245" s="308"/>
      <c r="AF245" s="309"/>
      <c r="AG245" s="310"/>
      <c r="AH245" s="303"/>
      <c r="AI245" s="203"/>
      <c r="AJ245" s="311"/>
      <c r="AK245" s="451"/>
      <c r="AL245" s="59"/>
      <c r="AM245" s="60"/>
      <c r="AO245" s="137" t="e">
        <f t="shared" si="28"/>
        <v>#N/A</v>
      </c>
      <c r="AP245" s="138" t="e">
        <f t="shared" si="29"/>
        <v>#N/A</v>
      </c>
      <c r="AQ245" s="138" t="e">
        <f t="shared" si="30"/>
        <v>#N/A</v>
      </c>
      <c r="AR245" s="138" t="e">
        <f t="shared" si="31"/>
        <v>#N/A</v>
      </c>
      <c r="AS245" s="138" t="e">
        <f t="shared" si="32"/>
        <v>#N/A</v>
      </c>
      <c r="AT245" s="139" t="e">
        <f t="shared" si="33"/>
        <v>#N/A</v>
      </c>
      <c r="BB245" s="16" t="s">
        <v>596</v>
      </c>
    </row>
    <row r="246" spans="1:54" ht="102.75" customHeight="1">
      <c r="A246" s="428">
        <f t="shared" si="34"/>
        <v>238</v>
      </c>
      <c r="B246" s="294"/>
      <c r="C246" s="203"/>
      <c r="D246" s="301"/>
      <c r="E246" s="301"/>
      <c r="F246" s="301"/>
      <c r="G246" s="301"/>
      <c r="H246" s="302"/>
      <c r="I246" s="292"/>
      <c r="J246" s="61"/>
      <c r="K246" s="303"/>
      <c r="L246" s="303"/>
      <c r="M246" s="203"/>
      <c r="N246" s="84" t="str">
        <f>IF($AI246&lt;&gt;"",Master!$N$37,IF($AC246&lt;&gt;"",Master!$N$38,IF($S246&lt;&gt;"",Master!$N$39,IF($C246&lt;&gt;"",Master!$N$40,Master!$N$41))))</f>
        <v>起票</v>
      </c>
      <c r="O246" s="202" t="str">
        <f>IF($N246=Master!$N$37,MAX($S246,$AC246,$AI246),"")</f>
        <v/>
      </c>
      <c r="P246" s="65"/>
      <c r="Q246" s="203"/>
      <c r="R246" s="303"/>
      <c r="S246" s="203"/>
      <c r="T246" s="310"/>
      <c r="U246" s="304"/>
      <c r="V246" s="303"/>
      <c r="W246" s="306"/>
      <c r="X246" s="306"/>
      <c r="Y246" s="305"/>
      <c r="Z246" s="303"/>
      <c r="AA246" s="203"/>
      <c r="AB246" s="306"/>
      <c r="AC246" s="203"/>
      <c r="AD246" s="307"/>
      <c r="AE246" s="308"/>
      <c r="AF246" s="309"/>
      <c r="AG246" s="310"/>
      <c r="AH246" s="303"/>
      <c r="AI246" s="203"/>
      <c r="AJ246" s="311"/>
      <c r="AK246" s="451"/>
      <c r="AL246" s="59"/>
      <c r="AM246" s="60"/>
      <c r="AO246" s="137" t="e">
        <f t="shared" si="28"/>
        <v>#N/A</v>
      </c>
      <c r="AP246" s="138" t="e">
        <f t="shared" si="29"/>
        <v>#N/A</v>
      </c>
      <c r="AQ246" s="138" t="e">
        <f t="shared" si="30"/>
        <v>#N/A</v>
      </c>
      <c r="AR246" s="138" t="e">
        <f t="shared" si="31"/>
        <v>#N/A</v>
      </c>
      <c r="AS246" s="138" t="e">
        <f t="shared" si="32"/>
        <v>#N/A</v>
      </c>
      <c r="AT246" s="139" t="e">
        <f t="shared" si="33"/>
        <v>#N/A</v>
      </c>
      <c r="BB246" s="16" t="s">
        <v>596</v>
      </c>
    </row>
    <row r="247" spans="1:54" ht="102.75" customHeight="1">
      <c r="A247" s="428">
        <f t="shared" si="34"/>
        <v>239</v>
      </c>
      <c r="B247" s="294"/>
      <c r="C247" s="203"/>
      <c r="D247" s="301"/>
      <c r="E247" s="301"/>
      <c r="F247" s="301"/>
      <c r="G247" s="301"/>
      <c r="H247" s="302"/>
      <c r="I247" s="292"/>
      <c r="J247" s="61"/>
      <c r="K247" s="303"/>
      <c r="L247" s="303"/>
      <c r="M247" s="203"/>
      <c r="N247" s="84" t="str">
        <f>IF($AI247&lt;&gt;"",Master!$N$37,IF($AC247&lt;&gt;"",Master!$N$38,IF($S247&lt;&gt;"",Master!$N$39,IF($C247&lt;&gt;"",Master!$N$40,Master!$N$41))))</f>
        <v>起票</v>
      </c>
      <c r="O247" s="202" t="str">
        <f>IF($N247=Master!$N$37,MAX($S247,$AC247,$AI247),"")</f>
        <v/>
      </c>
      <c r="P247" s="65"/>
      <c r="Q247" s="203"/>
      <c r="R247" s="303"/>
      <c r="S247" s="203"/>
      <c r="T247" s="310"/>
      <c r="U247" s="304"/>
      <c r="V247" s="303"/>
      <c r="W247" s="306"/>
      <c r="X247" s="306"/>
      <c r="Y247" s="305"/>
      <c r="Z247" s="303"/>
      <c r="AA247" s="203"/>
      <c r="AB247" s="306"/>
      <c r="AC247" s="203"/>
      <c r="AD247" s="307"/>
      <c r="AE247" s="308"/>
      <c r="AF247" s="309"/>
      <c r="AG247" s="310"/>
      <c r="AH247" s="303"/>
      <c r="AI247" s="203"/>
      <c r="AJ247" s="311"/>
      <c r="AK247" s="451"/>
      <c r="AL247" s="59"/>
      <c r="AM247" s="60"/>
      <c r="AO247" s="137" t="e">
        <f t="shared" si="28"/>
        <v>#N/A</v>
      </c>
      <c r="AP247" s="138" t="e">
        <f t="shared" si="29"/>
        <v>#N/A</v>
      </c>
      <c r="AQ247" s="138" t="e">
        <f t="shared" si="30"/>
        <v>#N/A</v>
      </c>
      <c r="AR247" s="138" t="e">
        <f t="shared" si="31"/>
        <v>#N/A</v>
      </c>
      <c r="AS247" s="138" t="e">
        <f t="shared" si="32"/>
        <v>#N/A</v>
      </c>
      <c r="AT247" s="139" t="e">
        <f t="shared" si="33"/>
        <v>#N/A</v>
      </c>
      <c r="BB247" s="16" t="s">
        <v>596</v>
      </c>
    </row>
    <row r="248" spans="1:54" ht="102.75" customHeight="1">
      <c r="A248" s="428">
        <f t="shared" si="34"/>
        <v>240</v>
      </c>
      <c r="B248" s="294"/>
      <c r="C248" s="203"/>
      <c r="D248" s="301"/>
      <c r="E248" s="301"/>
      <c r="F248" s="301"/>
      <c r="G248" s="301"/>
      <c r="H248" s="302"/>
      <c r="I248" s="292"/>
      <c r="J248" s="61"/>
      <c r="K248" s="303"/>
      <c r="L248" s="303"/>
      <c r="M248" s="203"/>
      <c r="N248" s="84" t="str">
        <f>IF($AI248&lt;&gt;"",Master!$N$37,IF($AC248&lt;&gt;"",Master!$N$38,IF($S248&lt;&gt;"",Master!$N$39,IF($C248&lt;&gt;"",Master!$N$40,Master!$N$41))))</f>
        <v>起票</v>
      </c>
      <c r="O248" s="202" t="str">
        <f>IF($N248=Master!$N$37,MAX($S248,$AC248,$AI248),"")</f>
        <v/>
      </c>
      <c r="P248" s="65"/>
      <c r="Q248" s="203"/>
      <c r="R248" s="303"/>
      <c r="S248" s="203"/>
      <c r="T248" s="310"/>
      <c r="U248" s="304"/>
      <c r="V248" s="303"/>
      <c r="W248" s="306"/>
      <c r="X248" s="306"/>
      <c r="Y248" s="305"/>
      <c r="Z248" s="303"/>
      <c r="AA248" s="203"/>
      <c r="AB248" s="306"/>
      <c r="AC248" s="203"/>
      <c r="AD248" s="307"/>
      <c r="AE248" s="308"/>
      <c r="AF248" s="309"/>
      <c r="AG248" s="310"/>
      <c r="AH248" s="303"/>
      <c r="AI248" s="203"/>
      <c r="AJ248" s="311"/>
      <c r="AK248" s="451"/>
      <c r="AL248" s="59"/>
      <c r="AM248" s="60"/>
      <c r="AO248" s="137" t="e">
        <f t="shared" si="28"/>
        <v>#N/A</v>
      </c>
      <c r="AP248" s="138" t="e">
        <f t="shared" si="29"/>
        <v>#N/A</v>
      </c>
      <c r="AQ248" s="138" t="e">
        <f t="shared" si="30"/>
        <v>#N/A</v>
      </c>
      <c r="AR248" s="138" t="e">
        <f t="shared" si="31"/>
        <v>#N/A</v>
      </c>
      <c r="AS248" s="138" t="e">
        <f t="shared" si="32"/>
        <v>#N/A</v>
      </c>
      <c r="AT248" s="139" t="e">
        <f t="shared" si="33"/>
        <v>#N/A</v>
      </c>
      <c r="BB248" s="16" t="s">
        <v>596</v>
      </c>
    </row>
    <row r="249" spans="1:54" ht="102.75" customHeight="1">
      <c r="A249" s="428">
        <f t="shared" si="34"/>
        <v>241</v>
      </c>
      <c r="B249" s="294"/>
      <c r="C249" s="203"/>
      <c r="D249" s="301"/>
      <c r="E249" s="301"/>
      <c r="F249" s="301"/>
      <c r="G249" s="301"/>
      <c r="H249" s="302"/>
      <c r="I249" s="292"/>
      <c r="J249" s="61"/>
      <c r="K249" s="303"/>
      <c r="L249" s="303"/>
      <c r="M249" s="203"/>
      <c r="N249" s="84" t="str">
        <f>IF($AI249&lt;&gt;"",Master!$N$37,IF($AC249&lt;&gt;"",Master!$N$38,IF($S249&lt;&gt;"",Master!$N$39,IF($C249&lt;&gt;"",Master!$N$40,Master!$N$41))))</f>
        <v>起票</v>
      </c>
      <c r="O249" s="202" t="str">
        <f>IF($N249=Master!$N$37,MAX($S249,$AC249,$AI249),"")</f>
        <v/>
      </c>
      <c r="P249" s="65"/>
      <c r="Q249" s="203"/>
      <c r="R249" s="303"/>
      <c r="S249" s="203"/>
      <c r="T249" s="310"/>
      <c r="U249" s="304"/>
      <c r="V249" s="303"/>
      <c r="W249" s="306"/>
      <c r="X249" s="306"/>
      <c r="Y249" s="305"/>
      <c r="Z249" s="303"/>
      <c r="AA249" s="203"/>
      <c r="AB249" s="306"/>
      <c r="AC249" s="203"/>
      <c r="AD249" s="307"/>
      <c r="AE249" s="308"/>
      <c r="AF249" s="309"/>
      <c r="AG249" s="310"/>
      <c r="AH249" s="303"/>
      <c r="AI249" s="203"/>
      <c r="AJ249" s="311"/>
      <c r="AK249" s="451"/>
      <c r="AL249" s="59"/>
      <c r="AM249" s="60"/>
      <c r="AO249" s="137" t="e">
        <f t="shared" si="28"/>
        <v>#N/A</v>
      </c>
      <c r="AP249" s="138" t="e">
        <f t="shared" si="29"/>
        <v>#N/A</v>
      </c>
      <c r="AQ249" s="138" t="e">
        <f t="shared" si="30"/>
        <v>#N/A</v>
      </c>
      <c r="AR249" s="138" t="e">
        <f t="shared" si="31"/>
        <v>#N/A</v>
      </c>
      <c r="AS249" s="138" t="e">
        <f t="shared" si="32"/>
        <v>#N/A</v>
      </c>
      <c r="AT249" s="139" t="e">
        <f t="shared" si="33"/>
        <v>#N/A</v>
      </c>
      <c r="BB249" s="16" t="s">
        <v>596</v>
      </c>
    </row>
    <row r="250" spans="1:54" ht="102.75" customHeight="1">
      <c r="A250" s="428">
        <f t="shared" si="34"/>
        <v>242</v>
      </c>
      <c r="B250" s="294"/>
      <c r="C250" s="203"/>
      <c r="D250" s="301"/>
      <c r="E250" s="301"/>
      <c r="F250" s="301"/>
      <c r="G250" s="301"/>
      <c r="H250" s="302"/>
      <c r="I250" s="292"/>
      <c r="J250" s="61"/>
      <c r="K250" s="303"/>
      <c r="L250" s="303"/>
      <c r="M250" s="203"/>
      <c r="N250" s="84" t="str">
        <f>IF($AI250&lt;&gt;"",Master!$N$37,IF($AC250&lt;&gt;"",Master!$N$38,IF($S250&lt;&gt;"",Master!$N$39,IF($C250&lt;&gt;"",Master!$N$40,Master!$N$41))))</f>
        <v>起票</v>
      </c>
      <c r="O250" s="202" t="str">
        <f>IF($N250=Master!$N$37,MAX($S250,$AC250,$AI250),"")</f>
        <v/>
      </c>
      <c r="P250" s="65"/>
      <c r="Q250" s="203"/>
      <c r="R250" s="303"/>
      <c r="S250" s="203"/>
      <c r="T250" s="310"/>
      <c r="U250" s="304"/>
      <c r="V250" s="303"/>
      <c r="W250" s="306"/>
      <c r="X250" s="306"/>
      <c r="Y250" s="305"/>
      <c r="Z250" s="303"/>
      <c r="AA250" s="203"/>
      <c r="AB250" s="306"/>
      <c r="AC250" s="203"/>
      <c r="AD250" s="307"/>
      <c r="AE250" s="308"/>
      <c r="AF250" s="309"/>
      <c r="AG250" s="310"/>
      <c r="AH250" s="303"/>
      <c r="AI250" s="203"/>
      <c r="AJ250" s="311"/>
      <c r="AK250" s="451"/>
      <c r="AL250" s="59"/>
      <c r="AM250" s="60"/>
      <c r="AO250" s="137" t="e">
        <f t="shared" si="28"/>
        <v>#N/A</v>
      </c>
      <c r="AP250" s="138" t="e">
        <f t="shared" si="29"/>
        <v>#N/A</v>
      </c>
      <c r="AQ250" s="138" t="e">
        <f t="shared" si="30"/>
        <v>#N/A</v>
      </c>
      <c r="AR250" s="138" t="e">
        <f t="shared" si="31"/>
        <v>#N/A</v>
      </c>
      <c r="AS250" s="138" t="e">
        <f t="shared" si="32"/>
        <v>#N/A</v>
      </c>
      <c r="AT250" s="139" t="e">
        <f t="shared" si="33"/>
        <v>#N/A</v>
      </c>
      <c r="BB250" s="16" t="s">
        <v>596</v>
      </c>
    </row>
    <row r="251" spans="1:54" ht="102.75" customHeight="1">
      <c r="A251" s="428">
        <f t="shared" si="34"/>
        <v>243</v>
      </c>
      <c r="B251" s="294"/>
      <c r="C251" s="203"/>
      <c r="D251" s="301"/>
      <c r="E251" s="301"/>
      <c r="F251" s="301"/>
      <c r="G251" s="301"/>
      <c r="H251" s="302"/>
      <c r="I251" s="292"/>
      <c r="J251" s="61"/>
      <c r="K251" s="303"/>
      <c r="L251" s="303"/>
      <c r="M251" s="203"/>
      <c r="N251" s="84" t="str">
        <f>IF($AI251&lt;&gt;"",Master!$N$37,IF($AC251&lt;&gt;"",Master!$N$38,IF($S251&lt;&gt;"",Master!$N$39,IF($C251&lt;&gt;"",Master!$N$40,Master!$N$41))))</f>
        <v>起票</v>
      </c>
      <c r="O251" s="202" t="str">
        <f>IF($N251=Master!$N$37,MAX($S251,$AC251,$AI251),"")</f>
        <v/>
      </c>
      <c r="P251" s="65"/>
      <c r="Q251" s="203"/>
      <c r="R251" s="303"/>
      <c r="S251" s="203"/>
      <c r="T251" s="310"/>
      <c r="U251" s="304"/>
      <c r="V251" s="303"/>
      <c r="W251" s="306"/>
      <c r="X251" s="306"/>
      <c r="Y251" s="305"/>
      <c r="Z251" s="303"/>
      <c r="AA251" s="203"/>
      <c r="AB251" s="306"/>
      <c r="AC251" s="203"/>
      <c r="AD251" s="307"/>
      <c r="AE251" s="308"/>
      <c r="AF251" s="309"/>
      <c r="AG251" s="310"/>
      <c r="AH251" s="303"/>
      <c r="AI251" s="203"/>
      <c r="AJ251" s="311"/>
      <c r="AK251" s="451"/>
      <c r="AL251" s="59"/>
      <c r="AM251" s="60"/>
      <c r="AO251" s="137" t="e">
        <f t="shared" si="28"/>
        <v>#N/A</v>
      </c>
      <c r="AP251" s="138" t="e">
        <f t="shared" si="29"/>
        <v>#N/A</v>
      </c>
      <c r="AQ251" s="138" t="e">
        <f t="shared" si="30"/>
        <v>#N/A</v>
      </c>
      <c r="AR251" s="138" t="e">
        <f t="shared" si="31"/>
        <v>#N/A</v>
      </c>
      <c r="AS251" s="138" t="e">
        <f t="shared" si="32"/>
        <v>#N/A</v>
      </c>
      <c r="AT251" s="139" t="e">
        <f t="shared" si="33"/>
        <v>#N/A</v>
      </c>
      <c r="BB251" s="16" t="s">
        <v>596</v>
      </c>
    </row>
    <row r="252" spans="1:54" ht="102.75" customHeight="1">
      <c r="A252" s="428">
        <f t="shared" si="34"/>
        <v>244</v>
      </c>
      <c r="B252" s="294"/>
      <c r="C252" s="203"/>
      <c r="D252" s="301"/>
      <c r="E252" s="301"/>
      <c r="F252" s="301"/>
      <c r="G252" s="301"/>
      <c r="H252" s="302"/>
      <c r="I252" s="292"/>
      <c r="J252" s="61"/>
      <c r="K252" s="303"/>
      <c r="L252" s="303"/>
      <c r="M252" s="203"/>
      <c r="N252" s="84" t="str">
        <f>IF($AI252&lt;&gt;"",Master!$N$37,IF($AC252&lt;&gt;"",Master!$N$38,IF($S252&lt;&gt;"",Master!$N$39,IF($C252&lt;&gt;"",Master!$N$40,Master!$N$41))))</f>
        <v>起票</v>
      </c>
      <c r="O252" s="202" t="str">
        <f>IF($N252=Master!$N$37,MAX($S252,$AC252,$AI252),"")</f>
        <v/>
      </c>
      <c r="P252" s="65"/>
      <c r="Q252" s="203"/>
      <c r="R252" s="303"/>
      <c r="S252" s="203"/>
      <c r="T252" s="310"/>
      <c r="U252" s="304"/>
      <c r="V252" s="303"/>
      <c r="W252" s="306"/>
      <c r="X252" s="306"/>
      <c r="Y252" s="305"/>
      <c r="Z252" s="303"/>
      <c r="AA252" s="203"/>
      <c r="AB252" s="306"/>
      <c r="AC252" s="203"/>
      <c r="AD252" s="307"/>
      <c r="AE252" s="308"/>
      <c r="AF252" s="309"/>
      <c r="AG252" s="310"/>
      <c r="AH252" s="303"/>
      <c r="AI252" s="203"/>
      <c r="AJ252" s="311"/>
      <c r="AK252" s="451"/>
      <c r="AL252" s="59"/>
      <c r="AM252" s="60"/>
      <c r="AO252" s="137" t="e">
        <f t="shared" si="28"/>
        <v>#N/A</v>
      </c>
      <c r="AP252" s="138" t="e">
        <f t="shared" si="29"/>
        <v>#N/A</v>
      </c>
      <c r="AQ252" s="138" t="e">
        <f t="shared" si="30"/>
        <v>#N/A</v>
      </c>
      <c r="AR252" s="138" t="e">
        <f t="shared" si="31"/>
        <v>#N/A</v>
      </c>
      <c r="AS252" s="138" t="e">
        <f t="shared" si="32"/>
        <v>#N/A</v>
      </c>
      <c r="AT252" s="139" t="e">
        <f t="shared" si="33"/>
        <v>#N/A</v>
      </c>
      <c r="BB252" s="16" t="s">
        <v>596</v>
      </c>
    </row>
    <row r="253" spans="1:54" ht="102.75" customHeight="1">
      <c r="A253" s="428">
        <f t="shared" si="34"/>
        <v>245</v>
      </c>
      <c r="B253" s="294"/>
      <c r="C253" s="203"/>
      <c r="D253" s="301"/>
      <c r="E253" s="301"/>
      <c r="F253" s="301"/>
      <c r="G253" s="301"/>
      <c r="H253" s="302"/>
      <c r="I253" s="292"/>
      <c r="J253" s="61"/>
      <c r="K253" s="303"/>
      <c r="L253" s="303"/>
      <c r="M253" s="203"/>
      <c r="N253" s="84" t="str">
        <f>IF($AI253&lt;&gt;"",Master!$N$37,IF($AC253&lt;&gt;"",Master!$N$38,IF($S253&lt;&gt;"",Master!$N$39,IF($C253&lt;&gt;"",Master!$N$40,Master!$N$41))))</f>
        <v>起票</v>
      </c>
      <c r="O253" s="202" t="str">
        <f>IF($N253=Master!$N$37,MAX($S253,$AC253,$AI253),"")</f>
        <v/>
      </c>
      <c r="P253" s="65"/>
      <c r="Q253" s="203"/>
      <c r="R253" s="303"/>
      <c r="S253" s="203"/>
      <c r="T253" s="310"/>
      <c r="U253" s="304"/>
      <c r="V253" s="303"/>
      <c r="W253" s="306"/>
      <c r="X253" s="306"/>
      <c r="Y253" s="305"/>
      <c r="Z253" s="303"/>
      <c r="AA253" s="203"/>
      <c r="AB253" s="306"/>
      <c r="AC253" s="203"/>
      <c r="AD253" s="307"/>
      <c r="AE253" s="308"/>
      <c r="AF253" s="309"/>
      <c r="AG253" s="310"/>
      <c r="AH253" s="303"/>
      <c r="AI253" s="203"/>
      <c r="AJ253" s="311"/>
      <c r="AK253" s="451"/>
      <c r="AL253" s="59"/>
      <c r="AM253" s="60"/>
      <c r="AO253" s="137" t="e">
        <f t="shared" si="28"/>
        <v>#N/A</v>
      </c>
      <c r="AP253" s="138" t="e">
        <f t="shared" si="29"/>
        <v>#N/A</v>
      </c>
      <c r="AQ253" s="138" t="e">
        <f t="shared" si="30"/>
        <v>#N/A</v>
      </c>
      <c r="AR253" s="138" t="e">
        <f t="shared" si="31"/>
        <v>#N/A</v>
      </c>
      <c r="AS253" s="138" t="e">
        <f t="shared" si="32"/>
        <v>#N/A</v>
      </c>
      <c r="AT253" s="139" t="e">
        <f t="shared" si="33"/>
        <v>#N/A</v>
      </c>
      <c r="BB253" s="16" t="s">
        <v>596</v>
      </c>
    </row>
    <row r="254" spans="1:54" ht="102.75" customHeight="1">
      <c r="A254" s="428">
        <f t="shared" si="34"/>
        <v>246</v>
      </c>
      <c r="B254" s="294"/>
      <c r="C254" s="203"/>
      <c r="D254" s="301"/>
      <c r="E254" s="301"/>
      <c r="F254" s="301"/>
      <c r="G254" s="301"/>
      <c r="H254" s="302"/>
      <c r="I254" s="292"/>
      <c r="J254" s="61"/>
      <c r="K254" s="303"/>
      <c r="L254" s="303"/>
      <c r="M254" s="203"/>
      <c r="N254" s="84" t="str">
        <f>IF($AI254&lt;&gt;"",Master!$N$37,IF($AC254&lt;&gt;"",Master!$N$38,IF($S254&lt;&gt;"",Master!$N$39,IF($C254&lt;&gt;"",Master!$N$40,Master!$N$41))))</f>
        <v>起票</v>
      </c>
      <c r="O254" s="202" t="str">
        <f>IF($N254=Master!$N$37,MAX($S254,$AC254,$AI254),"")</f>
        <v/>
      </c>
      <c r="P254" s="65"/>
      <c r="Q254" s="203"/>
      <c r="R254" s="303"/>
      <c r="S254" s="203"/>
      <c r="T254" s="310"/>
      <c r="U254" s="304"/>
      <c r="V254" s="303"/>
      <c r="W254" s="306"/>
      <c r="X254" s="306"/>
      <c r="Y254" s="305"/>
      <c r="Z254" s="303"/>
      <c r="AA254" s="203"/>
      <c r="AB254" s="306"/>
      <c r="AC254" s="203"/>
      <c r="AD254" s="307"/>
      <c r="AE254" s="308"/>
      <c r="AF254" s="309"/>
      <c r="AG254" s="310"/>
      <c r="AH254" s="303"/>
      <c r="AI254" s="203"/>
      <c r="AJ254" s="311"/>
      <c r="AK254" s="451"/>
      <c r="AL254" s="59"/>
      <c r="AM254" s="60"/>
      <c r="AO254" s="137" t="e">
        <f t="shared" si="28"/>
        <v>#N/A</v>
      </c>
      <c r="AP254" s="138" t="e">
        <f t="shared" si="29"/>
        <v>#N/A</v>
      </c>
      <c r="AQ254" s="138" t="e">
        <f t="shared" si="30"/>
        <v>#N/A</v>
      </c>
      <c r="AR254" s="138" t="e">
        <f t="shared" si="31"/>
        <v>#N/A</v>
      </c>
      <c r="AS254" s="138" t="e">
        <f t="shared" si="32"/>
        <v>#N/A</v>
      </c>
      <c r="AT254" s="139" t="e">
        <f t="shared" si="33"/>
        <v>#N/A</v>
      </c>
      <c r="BB254" s="16" t="s">
        <v>596</v>
      </c>
    </row>
    <row r="255" spans="1:54" ht="102.75" customHeight="1">
      <c r="A255" s="428">
        <f t="shared" si="34"/>
        <v>247</v>
      </c>
      <c r="B255" s="294"/>
      <c r="C255" s="203"/>
      <c r="D255" s="301"/>
      <c r="E255" s="301"/>
      <c r="F255" s="301"/>
      <c r="G255" s="301"/>
      <c r="H255" s="302"/>
      <c r="I255" s="292"/>
      <c r="J255" s="61"/>
      <c r="K255" s="303"/>
      <c r="L255" s="303"/>
      <c r="M255" s="203"/>
      <c r="N255" s="84" t="str">
        <f>IF($AI255&lt;&gt;"",Master!$N$37,IF($AC255&lt;&gt;"",Master!$N$38,IF($S255&lt;&gt;"",Master!$N$39,IF($C255&lt;&gt;"",Master!$N$40,Master!$N$41))))</f>
        <v>起票</v>
      </c>
      <c r="O255" s="202" t="str">
        <f>IF($N255=Master!$N$37,MAX($S255,$AC255,$AI255),"")</f>
        <v/>
      </c>
      <c r="P255" s="65"/>
      <c r="Q255" s="203"/>
      <c r="R255" s="303"/>
      <c r="S255" s="203"/>
      <c r="T255" s="310"/>
      <c r="U255" s="304"/>
      <c r="V255" s="303"/>
      <c r="W255" s="306"/>
      <c r="X255" s="306"/>
      <c r="Y255" s="305"/>
      <c r="Z255" s="303"/>
      <c r="AA255" s="203"/>
      <c r="AB255" s="306"/>
      <c r="AC255" s="203"/>
      <c r="AD255" s="307"/>
      <c r="AE255" s="308"/>
      <c r="AF255" s="309"/>
      <c r="AG255" s="310"/>
      <c r="AH255" s="303"/>
      <c r="AI255" s="203"/>
      <c r="AJ255" s="311"/>
      <c r="AK255" s="451"/>
      <c r="AL255" s="59"/>
      <c r="AM255" s="60"/>
      <c r="AO255" s="137" t="e">
        <f t="shared" si="28"/>
        <v>#N/A</v>
      </c>
      <c r="AP255" s="138" t="e">
        <f t="shared" si="29"/>
        <v>#N/A</v>
      </c>
      <c r="AQ255" s="138" t="e">
        <f t="shared" si="30"/>
        <v>#N/A</v>
      </c>
      <c r="AR255" s="138" t="e">
        <f t="shared" si="31"/>
        <v>#N/A</v>
      </c>
      <c r="AS255" s="138" t="e">
        <f t="shared" si="32"/>
        <v>#N/A</v>
      </c>
      <c r="AT255" s="139" t="e">
        <f t="shared" si="33"/>
        <v>#N/A</v>
      </c>
      <c r="BB255" s="16" t="s">
        <v>596</v>
      </c>
    </row>
    <row r="256" spans="1:54" ht="102.75" customHeight="1">
      <c r="A256" s="428">
        <f t="shared" si="34"/>
        <v>248</v>
      </c>
      <c r="B256" s="294"/>
      <c r="C256" s="203"/>
      <c r="D256" s="301"/>
      <c r="E256" s="301"/>
      <c r="F256" s="301"/>
      <c r="G256" s="301"/>
      <c r="H256" s="302"/>
      <c r="I256" s="292"/>
      <c r="J256" s="61"/>
      <c r="K256" s="303"/>
      <c r="L256" s="303"/>
      <c r="M256" s="203"/>
      <c r="N256" s="84" t="str">
        <f>IF($AI256&lt;&gt;"",Master!$N$37,IF($AC256&lt;&gt;"",Master!$N$38,IF($S256&lt;&gt;"",Master!$N$39,IF($C256&lt;&gt;"",Master!$N$40,Master!$N$41))))</f>
        <v>起票</v>
      </c>
      <c r="O256" s="202" t="str">
        <f>IF($N256=Master!$N$37,MAX($S256,$AC256,$AI256),"")</f>
        <v/>
      </c>
      <c r="P256" s="65"/>
      <c r="Q256" s="203"/>
      <c r="R256" s="303"/>
      <c r="S256" s="203"/>
      <c r="T256" s="310"/>
      <c r="U256" s="304"/>
      <c r="V256" s="303"/>
      <c r="W256" s="306"/>
      <c r="X256" s="306"/>
      <c r="Y256" s="305"/>
      <c r="Z256" s="303"/>
      <c r="AA256" s="203"/>
      <c r="AB256" s="306"/>
      <c r="AC256" s="203"/>
      <c r="AD256" s="307"/>
      <c r="AE256" s="308"/>
      <c r="AF256" s="309"/>
      <c r="AG256" s="310"/>
      <c r="AH256" s="303"/>
      <c r="AI256" s="203"/>
      <c r="AJ256" s="311"/>
      <c r="AK256" s="451"/>
      <c r="AL256" s="59"/>
      <c r="AM256" s="60"/>
      <c r="AO256" s="137" t="e">
        <f t="shared" si="28"/>
        <v>#N/A</v>
      </c>
      <c r="AP256" s="138" t="e">
        <f t="shared" si="29"/>
        <v>#N/A</v>
      </c>
      <c r="AQ256" s="138" t="e">
        <f t="shared" si="30"/>
        <v>#N/A</v>
      </c>
      <c r="AR256" s="138" t="e">
        <f t="shared" si="31"/>
        <v>#N/A</v>
      </c>
      <c r="AS256" s="138" t="e">
        <f t="shared" si="32"/>
        <v>#N/A</v>
      </c>
      <c r="AT256" s="139" t="e">
        <f t="shared" si="33"/>
        <v>#N/A</v>
      </c>
      <c r="BB256" s="16" t="s">
        <v>596</v>
      </c>
    </row>
    <row r="257" spans="1:54" ht="102.75" customHeight="1">
      <c r="A257" s="428">
        <f t="shared" si="34"/>
        <v>249</v>
      </c>
      <c r="B257" s="294"/>
      <c r="C257" s="203"/>
      <c r="D257" s="301"/>
      <c r="E257" s="301"/>
      <c r="F257" s="301"/>
      <c r="G257" s="301"/>
      <c r="H257" s="302"/>
      <c r="I257" s="292"/>
      <c r="J257" s="61"/>
      <c r="K257" s="303"/>
      <c r="L257" s="303"/>
      <c r="M257" s="203"/>
      <c r="N257" s="84" t="str">
        <f>IF($AI257&lt;&gt;"",Master!$N$37,IF($AC257&lt;&gt;"",Master!$N$38,IF($S257&lt;&gt;"",Master!$N$39,IF($C257&lt;&gt;"",Master!$N$40,Master!$N$41))))</f>
        <v>起票</v>
      </c>
      <c r="O257" s="202" t="str">
        <f>IF($N257=Master!$N$37,MAX($S257,$AC257,$AI257),"")</f>
        <v/>
      </c>
      <c r="P257" s="65"/>
      <c r="Q257" s="203"/>
      <c r="R257" s="303"/>
      <c r="S257" s="203"/>
      <c r="T257" s="310"/>
      <c r="U257" s="304"/>
      <c r="V257" s="303"/>
      <c r="W257" s="306"/>
      <c r="X257" s="306"/>
      <c r="Y257" s="305"/>
      <c r="Z257" s="303"/>
      <c r="AA257" s="203"/>
      <c r="AB257" s="306"/>
      <c r="AC257" s="203"/>
      <c r="AD257" s="307"/>
      <c r="AE257" s="308"/>
      <c r="AF257" s="309"/>
      <c r="AG257" s="310"/>
      <c r="AH257" s="303"/>
      <c r="AI257" s="203"/>
      <c r="AJ257" s="311"/>
      <c r="AK257" s="451"/>
      <c r="AL257" s="59"/>
      <c r="AM257" s="60"/>
      <c r="AO257" s="137" t="e">
        <f t="shared" si="28"/>
        <v>#N/A</v>
      </c>
      <c r="AP257" s="138" t="e">
        <f t="shared" si="29"/>
        <v>#N/A</v>
      </c>
      <c r="AQ257" s="138" t="e">
        <f t="shared" si="30"/>
        <v>#N/A</v>
      </c>
      <c r="AR257" s="138" t="e">
        <f t="shared" si="31"/>
        <v>#N/A</v>
      </c>
      <c r="AS257" s="138" t="e">
        <f t="shared" si="32"/>
        <v>#N/A</v>
      </c>
      <c r="AT257" s="139" t="e">
        <f t="shared" si="33"/>
        <v>#N/A</v>
      </c>
      <c r="BB257" s="16" t="s">
        <v>596</v>
      </c>
    </row>
    <row r="258" spans="1:54" ht="102.75" customHeight="1">
      <c r="A258" s="428">
        <f t="shared" si="34"/>
        <v>250</v>
      </c>
      <c r="B258" s="294"/>
      <c r="C258" s="203"/>
      <c r="D258" s="301"/>
      <c r="E258" s="301"/>
      <c r="F258" s="301"/>
      <c r="G258" s="301"/>
      <c r="H258" s="302"/>
      <c r="I258" s="292"/>
      <c r="J258" s="61"/>
      <c r="K258" s="303"/>
      <c r="L258" s="303"/>
      <c r="M258" s="203"/>
      <c r="N258" s="84" t="str">
        <f>IF($AI258&lt;&gt;"",Master!$N$37,IF($AC258&lt;&gt;"",Master!$N$38,IF($S258&lt;&gt;"",Master!$N$39,IF($C258&lt;&gt;"",Master!$N$40,Master!$N$41))))</f>
        <v>起票</v>
      </c>
      <c r="O258" s="202" t="str">
        <f>IF($N258=Master!$N$37,MAX($S258,$AC258,$AI258),"")</f>
        <v/>
      </c>
      <c r="P258" s="65"/>
      <c r="Q258" s="203"/>
      <c r="R258" s="303"/>
      <c r="S258" s="203"/>
      <c r="T258" s="310"/>
      <c r="U258" s="304"/>
      <c r="V258" s="303"/>
      <c r="W258" s="306"/>
      <c r="X258" s="306"/>
      <c r="Y258" s="305"/>
      <c r="Z258" s="303"/>
      <c r="AA258" s="203"/>
      <c r="AB258" s="306"/>
      <c r="AC258" s="203"/>
      <c r="AD258" s="307"/>
      <c r="AE258" s="308"/>
      <c r="AF258" s="309"/>
      <c r="AG258" s="310"/>
      <c r="AH258" s="303"/>
      <c r="AI258" s="203"/>
      <c r="AJ258" s="311"/>
      <c r="AK258" s="451"/>
      <c r="AL258" s="59"/>
      <c r="AM258" s="60"/>
      <c r="AO258" s="137" t="e">
        <f t="shared" si="28"/>
        <v>#N/A</v>
      </c>
      <c r="AP258" s="138" t="e">
        <f t="shared" si="29"/>
        <v>#N/A</v>
      </c>
      <c r="AQ258" s="138" t="e">
        <f t="shared" si="30"/>
        <v>#N/A</v>
      </c>
      <c r="AR258" s="138" t="e">
        <f t="shared" si="31"/>
        <v>#N/A</v>
      </c>
      <c r="AS258" s="138" t="e">
        <f t="shared" si="32"/>
        <v>#N/A</v>
      </c>
      <c r="AT258" s="139" t="e">
        <f t="shared" si="33"/>
        <v>#N/A</v>
      </c>
      <c r="BB258" s="16" t="s">
        <v>596</v>
      </c>
    </row>
    <row r="259" spans="1:54" ht="102.75" customHeight="1">
      <c r="A259" s="428">
        <f t="shared" si="34"/>
        <v>251</v>
      </c>
      <c r="B259" s="294"/>
      <c r="C259" s="203"/>
      <c r="D259" s="301"/>
      <c r="E259" s="301"/>
      <c r="F259" s="301"/>
      <c r="G259" s="301"/>
      <c r="H259" s="302"/>
      <c r="I259" s="292"/>
      <c r="J259" s="61"/>
      <c r="K259" s="303"/>
      <c r="L259" s="303"/>
      <c r="M259" s="203"/>
      <c r="N259" s="84" t="str">
        <f>IF($AI259&lt;&gt;"",Master!$N$37,IF($AC259&lt;&gt;"",Master!$N$38,IF($S259&lt;&gt;"",Master!$N$39,IF($C259&lt;&gt;"",Master!$N$40,Master!$N$41))))</f>
        <v>起票</v>
      </c>
      <c r="O259" s="202" t="str">
        <f>IF($N259=Master!$N$37,MAX($S259,$AC259,$AI259),"")</f>
        <v/>
      </c>
      <c r="P259" s="65"/>
      <c r="Q259" s="203"/>
      <c r="R259" s="303"/>
      <c r="S259" s="203"/>
      <c r="T259" s="310"/>
      <c r="U259" s="304"/>
      <c r="V259" s="303"/>
      <c r="W259" s="306"/>
      <c r="X259" s="306"/>
      <c r="Y259" s="305"/>
      <c r="Z259" s="303"/>
      <c r="AA259" s="203"/>
      <c r="AB259" s="306"/>
      <c r="AC259" s="203"/>
      <c r="AD259" s="307"/>
      <c r="AE259" s="308"/>
      <c r="AF259" s="309"/>
      <c r="AG259" s="310"/>
      <c r="AH259" s="303"/>
      <c r="AI259" s="203"/>
      <c r="AJ259" s="311"/>
      <c r="AK259" s="451"/>
      <c r="AL259" s="59"/>
      <c r="AM259" s="60"/>
      <c r="AO259" s="137" t="e">
        <f t="shared" si="28"/>
        <v>#N/A</v>
      </c>
      <c r="AP259" s="138" t="e">
        <f t="shared" si="29"/>
        <v>#N/A</v>
      </c>
      <c r="AQ259" s="138" t="e">
        <f t="shared" si="30"/>
        <v>#N/A</v>
      </c>
      <c r="AR259" s="138" t="e">
        <f t="shared" si="31"/>
        <v>#N/A</v>
      </c>
      <c r="AS259" s="138" t="e">
        <f t="shared" si="32"/>
        <v>#N/A</v>
      </c>
      <c r="AT259" s="139" t="e">
        <f t="shared" si="33"/>
        <v>#N/A</v>
      </c>
      <c r="BB259" s="16" t="s">
        <v>596</v>
      </c>
    </row>
    <row r="260" spans="1:54" ht="102.75" customHeight="1">
      <c r="A260" s="428">
        <f t="shared" si="34"/>
        <v>252</v>
      </c>
      <c r="B260" s="294"/>
      <c r="C260" s="203"/>
      <c r="D260" s="301"/>
      <c r="E260" s="301"/>
      <c r="F260" s="301"/>
      <c r="G260" s="301"/>
      <c r="H260" s="302"/>
      <c r="I260" s="292"/>
      <c r="J260" s="61"/>
      <c r="K260" s="303"/>
      <c r="L260" s="303"/>
      <c r="M260" s="203"/>
      <c r="N260" s="84" t="str">
        <f>IF($AI260&lt;&gt;"",Master!$N$37,IF($AC260&lt;&gt;"",Master!$N$38,IF($S260&lt;&gt;"",Master!$N$39,IF($C260&lt;&gt;"",Master!$N$40,Master!$N$41))))</f>
        <v>起票</v>
      </c>
      <c r="O260" s="202" t="str">
        <f>IF($N260=Master!$N$37,MAX($S260,$AC260,$AI260),"")</f>
        <v/>
      </c>
      <c r="P260" s="65"/>
      <c r="Q260" s="203"/>
      <c r="R260" s="303"/>
      <c r="S260" s="203"/>
      <c r="T260" s="310"/>
      <c r="U260" s="304"/>
      <c r="V260" s="303"/>
      <c r="W260" s="306"/>
      <c r="X260" s="306"/>
      <c r="Y260" s="305"/>
      <c r="Z260" s="303"/>
      <c r="AA260" s="203"/>
      <c r="AB260" s="306"/>
      <c r="AC260" s="203"/>
      <c r="AD260" s="307"/>
      <c r="AE260" s="308"/>
      <c r="AF260" s="309"/>
      <c r="AG260" s="310"/>
      <c r="AH260" s="303"/>
      <c r="AI260" s="203"/>
      <c r="AJ260" s="311"/>
      <c r="AK260" s="451"/>
      <c r="AL260" s="59"/>
      <c r="AM260" s="60"/>
      <c r="AO260" s="137" t="e">
        <f t="shared" si="28"/>
        <v>#N/A</v>
      </c>
      <c r="AP260" s="138" t="e">
        <f t="shared" si="29"/>
        <v>#N/A</v>
      </c>
      <c r="AQ260" s="138" t="e">
        <f t="shared" si="30"/>
        <v>#N/A</v>
      </c>
      <c r="AR260" s="138" t="e">
        <f t="shared" si="31"/>
        <v>#N/A</v>
      </c>
      <c r="AS260" s="138" t="e">
        <f t="shared" si="32"/>
        <v>#N/A</v>
      </c>
      <c r="AT260" s="139" t="e">
        <f t="shared" si="33"/>
        <v>#N/A</v>
      </c>
      <c r="BB260" s="16" t="s">
        <v>596</v>
      </c>
    </row>
    <row r="261" spans="1:54" ht="102.75" customHeight="1">
      <c r="A261" s="428">
        <f t="shared" si="34"/>
        <v>253</v>
      </c>
      <c r="B261" s="294"/>
      <c r="C261" s="203"/>
      <c r="D261" s="301"/>
      <c r="E261" s="301"/>
      <c r="F261" s="301"/>
      <c r="G261" s="301"/>
      <c r="H261" s="302"/>
      <c r="I261" s="292"/>
      <c r="J261" s="61"/>
      <c r="K261" s="303"/>
      <c r="L261" s="303"/>
      <c r="M261" s="203"/>
      <c r="N261" s="84" t="str">
        <f>IF($AI261&lt;&gt;"",Master!$N$37,IF($AC261&lt;&gt;"",Master!$N$38,IF($S261&lt;&gt;"",Master!$N$39,IF($C261&lt;&gt;"",Master!$N$40,Master!$N$41))))</f>
        <v>起票</v>
      </c>
      <c r="O261" s="202" t="str">
        <f>IF($N261=Master!$N$37,MAX($S261,$AC261,$AI261),"")</f>
        <v/>
      </c>
      <c r="P261" s="65"/>
      <c r="Q261" s="203"/>
      <c r="R261" s="303"/>
      <c r="S261" s="203"/>
      <c r="T261" s="310"/>
      <c r="U261" s="304"/>
      <c r="V261" s="303"/>
      <c r="W261" s="306"/>
      <c r="X261" s="306"/>
      <c r="Y261" s="305"/>
      <c r="Z261" s="303"/>
      <c r="AA261" s="203"/>
      <c r="AB261" s="306"/>
      <c r="AC261" s="203"/>
      <c r="AD261" s="307"/>
      <c r="AE261" s="308"/>
      <c r="AF261" s="309"/>
      <c r="AG261" s="310"/>
      <c r="AH261" s="303"/>
      <c r="AI261" s="203"/>
      <c r="AJ261" s="311"/>
      <c r="AK261" s="451"/>
      <c r="AL261" s="59"/>
      <c r="AM261" s="60"/>
      <c r="AO261" s="137" t="e">
        <f t="shared" si="28"/>
        <v>#N/A</v>
      </c>
      <c r="AP261" s="138" t="e">
        <f t="shared" si="29"/>
        <v>#N/A</v>
      </c>
      <c r="AQ261" s="138" t="e">
        <f t="shared" si="30"/>
        <v>#N/A</v>
      </c>
      <c r="AR261" s="138" t="e">
        <f t="shared" si="31"/>
        <v>#N/A</v>
      </c>
      <c r="AS261" s="138" t="e">
        <f t="shared" si="32"/>
        <v>#N/A</v>
      </c>
      <c r="AT261" s="139" t="e">
        <f t="shared" si="33"/>
        <v>#N/A</v>
      </c>
      <c r="BB261" s="16" t="s">
        <v>596</v>
      </c>
    </row>
    <row r="262" spans="1:54" ht="102.75" customHeight="1">
      <c r="A262" s="428">
        <f t="shared" si="34"/>
        <v>254</v>
      </c>
      <c r="B262" s="294"/>
      <c r="C262" s="203"/>
      <c r="D262" s="301"/>
      <c r="E262" s="301"/>
      <c r="F262" s="301"/>
      <c r="G262" s="301"/>
      <c r="H262" s="302"/>
      <c r="I262" s="292"/>
      <c r="J262" s="61"/>
      <c r="K262" s="303"/>
      <c r="L262" s="303"/>
      <c r="M262" s="203"/>
      <c r="N262" s="84" t="str">
        <f>IF($AI262&lt;&gt;"",Master!$N$37,IF($AC262&lt;&gt;"",Master!$N$38,IF($S262&lt;&gt;"",Master!$N$39,IF($C262&lt;&gt;"",Master!$N$40,Master!$N$41))))</f>
        <v>起票</v>
      </c>
      <c r="O262" s="202" t="str">
        <f>IF($N262=Master!$N$37,MAX($S262,$AC262,$AI262),"")</f>
        <v/>
      </c>
      <c r="P262" s="65"/>
      <c r="Q262" s="203"/>
      <c r="R262" s="303"/>
      <c r="S262" s="203"/>
      <c r="T262" s="310"/>
      <c r="U262" s="304"/>
      <c r="V262" s="303"/>
      <c r="W262" s="306"/>
      <c r="X262" s="306"/>
      <c r="Y262" s="305"/>
      <c r="Z262" s="303"/>
      <c r="AA262" s="203"/>
      <c r="AB262" s="306"/>
      <c r="AC262" s="203"/>
      <c r="AD262" s="307"/>
      <c r="AE262" s="308"/>
      <c r="AF262" s="309"/>
      <c r="AG262" s="310"/>
      <c r="AH262" s="303"/>
      <c r="AI262" s="203"/>
      <c r="AJ262" s="311"/>
      <c r="AK262" s="451"/>
      <c r="AL262" s="59"/>
      <c r="AM262" s="60"/>
      <c r="AO262" s="137" t="e">
        <f t="shared" si="28"/>
        <v>#N/A</v>
      </c>
      <c r="AP262" s="138" t="e">
        <f t="shared" si="29"/>
        <v>#N/A</v>
      </c>
      <c r="AQ262" s="138" t="e">
        <f t="shared" si="30"/>
        <v>#N/A</v>
      </c>
      <c r="AR262" s="138" t="e">
        <f t="shared" si="31"/>
        <v>#N/A</v>
      </c>
      <c r="AS262" s="138" t="e">
        <f t="shared" si="32"/>
        <v>#N/A</v>
      </c>
      <c r="AT262" s="139" t="e">
        <f t="shared" si="33"/>
        <v>#N/A</v>
      </c>
      <c r="BB262" s="16" t="s">
        <v>596</v>
      </c>
    </row>
    <row r="263" spans="1:54" ht="102.75" customHeight="1">
      <c r="A263" s="428">
        <f t="shared" si="34"/>
        <v>255</v>
      </c>
      <c r="B263" s="294"/>
      <c r="C263" s="203"/>
      <c r="D263" s="301"/>
      <c r="E263" s="301"/>
      <c r="F263" s="301"/>
      <c r="G263" s="301"/>
      <c r="H263" s="302"/>
      <c r="I263" s="292"/>
      <c r="J263" s="61"/>
      <c r="K263" s="303"/>
      <c r="L263" s="303"/>
      <c r="M263" s="203"/>
      <c r="N263" s="84" t="str">
        <f>IF($AI263&lt;&gt;"",Master!$N$37,IF($AC263&lt;&gt;"",Master!$N$38,IF($S263&lt;&gt;"",Master!$N$39,IF($C263&lt;&gt;"",Master!$N$40,Master!$N$41))))</f>
        <v>起票</v>
      </c>
      <c r="O263" s="202" t="str">
        <f>IF($N263=Master!$N$37,MAX($S263,$AC263,$AI263),"")</f>
        <v/>
      </c>
      <c r="P263" s="65"/>
      <c r="Q263" s="203"/>
      <c r="R263" s="303"/>
      <c r="S263" s="203"/>
      <c r="T263" s="310"/>
      <c r="U263" s="304"/>
      <c r="V263" s="303"/>
      <c r="W263" s="306"/>
      <c r="X263" s="306"/>
      <c r="Y263" s="305"/>
      <c r="Z263" s="303"/>
      <c r="AA263" s="203"/>
      <c r="AB263" s="306"/>
      <c r="AC263" s="203"/>
      <c r="AD263" s="307"/>
      <c r="AE263" s="308"/>
      <c r="AF263" s="309"/>
      <c r="AG263" s="310"/>
      <c r="AH263" s="303"/>
      <c r="AI263" s="203"/>
      <c r="AJ263" s="311"/>
      <c r="AK263" s="451"/>
      <c r="AL263" s="59"/>
      <c r="AM263" s="60"/>
      <c r="AO263" s="137" t="e">
        <f t="shared" si="28"/>
        <v>#N/A</v>
      </c>
      <c r="AP263" s="138" t="e">
        <f t="shared" si="29"/>
        <v>#N/A</v>
      </c>
      <c r="AQ263" s="138" t="e">
        <f t="shared" si="30"/>
        <v>#N/A</v>
      </c>
      <c r="AR263" s="138" t="e">
        <f t="shared" si="31"/>
        <v>#N/A</v>
      </c>
      <c r="AS263" s="138" t="e">
        <f t="shared" si="32"/>
        <v>#N/A</v>
      </c>
      <c r="AT263" s="139" t="e">
        <f t="shared" si="33"/>
        <v>#N/A</v>
      </c>
      <c r="BB263" s="16" t="s">
        <v>596</v>
      </c>
    </row>
    <row r="264" spans="1:54" ht="102.75" customHeight="1">
      <c r="A264" s="428">
        <f t="shared" si="34"/>
        <v>256</v>
      </c>
      <c r="B264" s="294"/>
      <c r="C264" s="203"/>
      <c r="D264" s="301"/>
      <c r="E264" s="301"/>
      <c r="F264" s="301"/>
      <c r="G264" s="301"/>
      <c r="H264" s="302"/>
      <c r="I264" s="292"/>
      <c r="J264" s="61"/>
      <c r="K264" s="303"/>
      <c r="L264" s="303"/>
      <c r="M264" s="203"/>
      <c r="N264" s="84" t="str">
        <f>IF($AI264&lt;&gt;"",Master!$N$37,IF($AC264&lt;&gt;"",Master!$N$38,IF($S264&lt;&gt;"",Master!$N$39,IF($C264&lt;&gt;"",Master!$N$40,Master!$N$41))))</f>
        <v>起票</v>
      </c>
      <c r="O264" s="202" t="str">
        <f>IF($N264=Master!$N$37,MAX($S264,$AC264,$AI264),"")</f>
        <v/>
      </c>
      <c r="P264" s="65"/>
      <c r="Q264" s="203"/>
      <c r="R264" s="303"/>
      <c r="S264" s="203"/>
      <c r="T264" s="310"/>
      <c r="U264" s="304"/>
      <c r="V264" s="303"/>
      <c r="W264" s="306"/>
      <c r="X264" s="306"/>
      <c r="Y264" s="305"/>
      <c r="Z264" s="303"/>
      <c r="AA264" s="203"/>
      <c r="AB264" s="306"/>
      <c r="AC264" s="203"/>
      <c r="AD264" s="307"/>
      <c r="AE264" s="308"/>
      <c r="AF264" s="309"/>
      <c r="AG264" s="310"/>
      <c r="AH264" s="303"/>
      <c r="AI264" s="203"/>
      <c r="AJ264" s="311"/>
      <c r="AK264" s="451"/>
      <c r="AL264" s="59"/>
      <c r="AM264" s="60"/>
      <c r="AO264" s="137" t="e">
        <f t="shared" si="28"/>
        <v>#N/A</v>
      </c>
      <c r="AP264" s="138" t="e">
        <f t="shared" si="29"/>
        <v>#N/A</v>
      </c>
      <c r="AQ264" s="138" t="e">
        <f t="shared" si="30"/>
        <v>#N/A</v>
      </c>
      <c r="AR264" s="138" t="e">
        <f t="shared" si="31"/>
        <v>#N/A</v>
      </c>
      <c r="AS264" s="138" t="e">
        <f t="shared" si="32"/>
        <v>#N/A</v>
      </c>
      <c r="AT264" s="139" t="e">
        <f t="shared" si="33"/>
        <v>#N/A</v>
      </c>
      <c r="BB264" s="16" t="s">
        <v>596</v>
      </c>
    </row>
    <row r="265" spans="1:54" ht="102.75" customHeight="1">
      <c r="A265" s="428">
        <f t="shared" si="34"/>
        <v>257</v>
      </c>
      <c r="B265" s="294"/>
      <c r="C265" s="203"/>
      <c r="D265" s="301"/>
      <c r="E265" s="301"/>
      <c r="F265" s="301"/>
      <c r="G265" s="301"/>
      <c r="H265" s="302"/>
      <c r="I265" s="292"/>
      <c r="J265" s="61"/>
      <c r="K265" s="303"/>
      <c r="L265" s="303"/>
      <c r="M265" s="203"/>
      <c r="N265" s="84" t="str">
        <f>IF($AI265&lt;&gt;"",Master!$N$37,IF($AC265&lt;&gt;"",Master!$N$38,IF($S265&lt;&gt;"",Master!$N$39,IF($C265&lt;&gt;"",Master!$N$40,Master!$N$41))))</f>
        <v>起票</v>
      </c>
      <c r="O265" s="202" t="str">
        <f>IF($N265=Master!$N$37,MAX($S265,$AC265,$AI265),"")</f>
        <v/>
      </c>
      <c r="P265" s="65"/>
      <c r="Q265" s="203"/>
      <c r="R265" s="303"/>
      <c r="S265" s="203"/>
      <c r="T265" s="310"/>
      <c r="U265" s="304"/>
      <c r="V265" s="303"/>
      <c r="W265" s="306"/>
      <c r="X265" s="306"/>
      <c r="Y265" s="305"/>
      <c r="Z265" s="303"/>
      <c r="AA265" s="203"/>
      <c r="AB265" s="306"/>
      <c r="AC265" s="203"/>
      <c r="AD265" s="307"/>
      <c r="AE265" s="308"/>
      <c r="AF265" s="309"/>
      <c r="AG265" s="310"/>
      <c r="AH265" s="303"/>
      <c r="AI265" s="203"/>
      <c r="AJ265" s="311"/>
      <c r="AK265" s="451"/>
      <c r="AL265" s="59"/>
      <c r="AM265" s="60"/>
      <c r="AO265" s="137" t="e">
        <f t="shared" ref="AO265:AO1183" si="35">IF(AND(C265&lt;&gt;"",C265&lt;=$AI$3),IF(E265="","",E265),NA())</f>
        <v>#N/A</v>
      </c>
      <c r="AP265" s="138" t="e">
        <f t="shared" ref="AP265:AP1183" si="36">IF(AND(C265&lt;&gt;"",C265&lt;=$AI$3),IF(F265="","",F265),NA())</f>
        <v>#N/A</v>
      </c>
      <c r="AQ265" s="138" t="e">
        <f t="shared" ref="AQ265:AQ1183" si="37">IF(AND(C265&lt;&gt;"",C265&lt;=$AI$3),IF(H265="","",H265),NA())</f>
        <v>#N/A</v>
      </c>
      <c r="AR265" s="138" t="e">
        <f t="shared" ref="AR265:AR1183" si="38">IF(AND(C265&lt;&gt;"",C265&lt;=$AI$3),IF(U265="","",U265),NA())</f>
        <v>#N/A</v>
      </c>
      <c r="AS265" s="138" t="e">
        <f t="shared" ref="AS265:AS1183" si="39">IF(AND(C265&lt;&gt;"",C265&lt;=$AI$3),IF(V265="","",V265),NA())</f>
        <v>#N/A</v>
      </c>
      <c r="AT265" s="139" t="e">
        <f t="shared" si="33"/>
        <v>#N/A</v>
      </c>
      <c r="BB265" s="16" t="s">
        <v>596</v>
      </c>
    </row>
    <row r="266" spans="1:54" ht="102.75" customHeight="1">
      <c r="A266" s="428">
        <f t="shared" si="34"/>
        <v>258</v>
      </c>
      <c r="B266" s="294"/>
      <c r="C266" s="203"/>
      <c r="D266" s="301"/>
      <c r="E266" s="301"/>
      <c r="F266" s="301"/>
      <c r="G266" s="301"/>
      <c r="H266" s="302"/>
      <c r="I266" s="292"/>
      <c r="J266" s="61"/>
      <c r="K266" s="303"/>
      <c r="L266" s="303"/>
      <c r="M266" s="203"/>
      <c r="N266" s="84" t="str">
        <f>IF($AI266&lt;&gt;"",Master!$N$37,IF($AC266&lt;&gt;"",Master!$N$38,IF($S266&lt;&gt;"",Master!$N$39,IF($C266&lt;&gt;"",Master!$N$40,Master!$N$41))))</f>
        <v>起票</v>
      </c>
      <c r="O266" s="202" t="str">
        <f>IF($N266=Master!$N$37,MAX($S266,$AC266,$AI266),"")</f>
        <v/>
      </c>
      <c r="P266" s="65"/>
      <c r="Q266" s="203"/>
      <c r="R266" s="303"/>
      <c r="S266" s="203"/>
      <c r="T266" s="310"/>
      <c r="U266" s="304"/>
      <c r="V266" s="303"/>
      <c r="W266" s="306"/>
      <c r="X266" s="306"/>
      <c r="Y266" s="305"/>
      <c r="Z266" s="303"/>
      <c r="AA266" s="203"/>
      <c r="AB266" s="306"/>
      <c r="AC266" s="203"/>
      <c r="AD266" s="307"/>
      <c r="AE266" s="308"/>
      <c r="AF266" s="309"/>
      <c r="AG266" s="310"/>
      <c r="AH266" s="303"/>
      <c r="AI266" s="203"/>
      <c r="AJ266" s="311"/>
      <c r="AK266" s="451"/>
      <c r="AL266" s="59"/>
      <c r="AM266" s="60"/>
      <c r="AO266" s="137" t="e">
        <f t="shared" si="35"/>
        <v>#N/A</v>
      </c>
      <c r="AP266" s="138" t="e">
        <f t="shared" si="36"/>
        <v>#N/A</v>
      </c>
      <c r="AQ266" s="138" t="e">
        <f t="shared" si="37"/>
        <v>#N/A</v>
      </c>
      <c r="AR266" s="138" t="e">
        <f t="shared" si="38"/>
        <v>#N/A</v>
      </c>
      <c r="AS266" s="138" t="e">
        <f t="shared" si="39"/>
        <v>#N/A</v>
      </c>
      <c r="AT266" s="139" t="e">
        <f t="shared" ref="AT266:AT1183" si="40">IF(AND(C266&lt;&gt;"",C266&lt;=$AI$3),IF(AB266="","",AB266),NA())</f>
        <v>#N/A</v>
      </c>
      <c r="BB266" s="16" t="s">
        <v>596</v>
      </c>
    </row>
    <row r="267" spans="1:54" ht="102.75" customHeight="1">
      <c r="A267" s="428">
        <f t="shared" si="34"/>
        <v>259</v>
      </c>
      <c r="B267" s="294"/>
      <c r="C267" s="203"/>
      <c r="D267" s="301"/>
      <c r="E267" s="301"/>
      <c r="F267" s="301"/>
      <c r="G267" s="301"/>
      <c r="H267" s="302"/>
      <c r="I267" s="292"/>
      <c r="J267" s="61"/>
      <c r="K267" s="303"/>
      <c r="L267" s="303"/>
      <c r="M267" s="203"/>
      <c r="N267" s="84" t="str">
        <f>IF($AI267&lt;&gt;"",Master!$N$37,IF($AC267&lt;&gt;"",Master!$N$38,IF($S267&lt;&gt;"",Master!$N$39,IF($C267&lt;&gt;"",Master!$N$40,Master!$N$41))))</f>
        <v>起票</v>
      </c>
      <c r="O267" s="202" t="str">
        <f>IF($N267=Master!$N$37,MAX($S267,$AC267,$AI267),"")</f>
        <v/>
      </c>
      <c r="P267" s="65"/>
      <c r="Q267" s="203"/>
      <c r="R267" s="303"/>
      <c r="S267" s="203"/>
      <c r="T267" s="310"/>
      <c r="U267" s="304"/>
      <c r="V267" s="303"/>
      <c r="W267" s="306"/>
      <c r="X267" s="306"/>
      <c r="Y267" s="305"/>
      <c r="Z267" s="303"/>
      <c r="AA267" s="203"/>
      <c r="AB267" s="306"/>
      <c r="AC267" s="203"/>
      <c r="AD267" s="307"/>
      <c r="AE267" s="308"/>
      <c r="AF267" s="309"/>
      <c r="AG267" s="310"/>
      <c r="AH267" s="303"/>
      <c r="AI267" s="203"/>
      <c r="AJ267" s="311"/>
      <c r="AK267" s="451"/>
      <c r="AL267" s="59"/>
      <c r="AM267" s="60"/>
      <c r="AO267" s="137" t="e">
        <f t="shared" si="35"/>
        <v>#N/A</v>
      </c>
      <c r="AP267" s="138" t="e">
        <f t="shared" si="36"/>
        <v>#N/A</v>
      </c>
      <c r="AQ267" s="138" t="e">
        <f t="shared" si="37"/>
        <v>#N/A</v>
      </c>
      <c r="AR267" s="138" t="e">
        <f t="shared" si="38"/>
        <v>#N/A</v>
      </c>
      <c r="AS267" s="138" t="e">
        <f t="shared" si="39"/>
        <v>#N/A</v>
      </c>
      <c r="AT267" s="139" t="e">
        <f t="shared" si="40"/>
        <v>#N/A</v>
      </c>
      <c r="BB267" s="16" t="s">
        <v>596</v>
      </c>
    </row>
    <row r="268" spans="1:54" ht="102.75" customHeight="1">
      <c r="A268" s="428">
        <f t="shared" ref="A268:A331" si="41">A267+1</f>
        <v>260</v>
      </c>
      <c r="B268" s="294"/>
      <c r="C268" s="203"/>
      <c r="D268" s="301"/>
      <c r="E268" s="301"/>
      <c r="F268" s="301"/>
      <c r="G268" s="301"/>
      <c r="H268" s="302"/>
      <c r="I268" s="292"/>
      <c r="J268" s="61"/>
      <c r="K268" s="303"/>
      <c r="L268" s="303"/>
      <c r="M268" s="203"/>
      <c r="N268" s="84" t="str">
        <f>IF($AI268&lt;&gt;"",Master!$N$37,IF($AC268&lt;&gt;"",Master!$N$38,IF($S268&lt;&gt;"",Master!$N$39,IF($C268&lt;&gt;"",Master!$N$40,Master!$N$41))))</f>
        <v>起票</v>
      </c>
      <c r="O268" s="202" t="str">
        <f>IF($N268=Master!$N$37,MAX($S268,$AC268,$AI268),"")</f>
        <v/>
      </c>
      <c r="P268" s="65"/>
      <c r="Q268" s="203"/>
      <c r="R268" s="303"/>
      <c r="S268" s="203"/>
      <c r="T268" s="310"/>
      <c r="U268" s="304"/>
      <c r="V268" s="303"/>
      <c r="W268" s="306"/>
      <c r="X268" s="306"/>
      <c r="Y268" s="305"/>
      <c r="Z268" s="303"/>
      <c r="AA268" s="203"/>
      <c r="AB268" s="306"/>
      <c r="AC268" s="203"/>
      <c r="AD268" s="307"/>
      <c r="AE268" s="308"/>
      <c r="AF268" s="309"/>
      <c r="AG268" s="310"/>
      <c r="AH268" s="303"/>
      <c r="AI268" s="203"/>
      <c r="AJ268" s="311"/>
      <c r="AK268" s="451"/>
      <c r="AL268" s="59"/>
      <c r="AM268" s="60"/>
      <c r="AO268" s="137" t="e">
        <f t="shared" si="35"/>
        <v>#N/A</v>
      </c>
      <c r="AP268" s="138" t="e">
        <f t="shared" si="36"/>
        <v>#N/A</v>
      </c>
      <c r="AQ268" s="138" t="e">
        <f t="shared" si="37"/>
        <v>#N/A</v>
      </c>
      <c r="AR268" s="138" t="e">
        <f t="shared" si="38"/>
        <v>#N/A</v>
      </c>
      <c r="AS268" s="138" t="e">
        <f t="shared" si="39"/>
        <v>#N/A</v>
      </c>
      <c r="AT268" s="139" t="e">
        <f t="shared" si="40"/>
        <v>#N/A</v>
      </c>
      <c r="BB268" s="16" t="s">
        <v>596</v>
      </c>
    </row>
    <row r="269" spans="1:54" ht="102.75" customHeight="1">
      <c r="A269" s="428">
        <f t="shared" si="41"/>
        <v>261</v>
      </c>
      <c r="B269" s="294"/>
      <c r="C269" s="203"/>
      <c r="D269" s="301"/>
      <c r="E269" s="301"/>
      <c r="F269" s="301"/>
      <c r="G269" s="301"/>
      <c r="H269" s="302"/>
      <c r="I269" s="292"/>
      <c r="J269" s="61"/>
      <c r="K269" s="303"/>
      <c r="L269" s="303"/>
      <c r="M269" s="203"/>
      <c r="N269" s="84" t="str">
        <f>IF($AI269&lt;&gt;"",Master!$N$37,IF($AC269&lt;&gt;"",Master!$N$38,IF($S269&lt;&gt;"",Master!$N$39,IF($C269&lt;&gt;"",Master!$N$40,Master!$N$41))))</f>
        <v>起票</v>
      </c>
      <c r="O269" s="202" t="str">
        <f>IF($N269=Master!$N$37,MAX($S269,$AC269,$AI269),"")</f>
        <v/>
      </c>
      <c r="P269" s="65"/>
      <c r="Q269" s="203"/>
      <c r="R269" s="303"/>
      <c r="S269" s="203"/>
      <c r="T269" s="310"/>
      <c r="U269" s="304"/>
      <c r="V269" s="303"/>
      <c r="W269" s="306"/>
      <c r="X269" s="306"/>
      <c r="Y269" s="305"/>
      <c r="Z269" s="303"/>
      <c r="AA269" s="203"/>
      <c r="AB269" s="306"/>
      <c r="AC269" s="203"/>
      <c r="AD269" s="307"/>
      <c r="AE269" s="308"/>
      <c r="AF269" s="309"/>
      <c r="AG269" s="310"/>
      <c r="AH269" s="303"/>
      <c r="AI269" s="203"/>
      <c r="AJ269" s="311"/>
      <c r="AK269" s="451"/>
      <c r="AL269" s="59"/>
      <c r="AM269" s="60"/>
      <c r="AO269" s="137" t="e">
        <f t="shared" si="35"/>
        <v>#N/A</v>
      </c>
      <c r="AP269" s="138" t="e">
        <f t="shared" si="36"/>
        <v>#N/A</v>
      </c>
      <c r="AQ269" s="138" t="e">
        <f t="shared" si="37"/>
        <v>#N/A</v>
      </c>
      <c r="AR269" s="138" t="e">
        <f t="shared" si="38"/>
        <v>#N/A</v>
      </c>
      <c r="AS269" s="138" t="e">
        <f t="shared" si="39"/>
        <v>#N/A</v>
      </c>
      <c r="AT269" s="139" t="e">
        <f t="shared" si="40"/>
        <v>#N/A</v>
      </c>
      <c r="BB269" s="16" t="s">
        <v>596</v>
      </c>
    </row>
    <row r="270" spans="1:54" ht="102.75" customHeight="1">
      <c r="A270" s="428">
        <f t="shared" si="41"/>
        <v>262</v>
      </c>
      <c r="B270" s="294"/>
      <c r="C270" s="203"/>
      <c r="D270" s="301"/>
      <c r="E270" s="301"/>
      <c r="F270" s="301"/>
      <c r="G270" s="301"/>
      <c r="H270" s="302"/>
      <c r="I270" s="292"/>
      <c r="J270" s="61"/>
      <c r="K270" s="303"/>
      <c r="L270" s="303"/>
      <c r="M270" s="203"/>
      <c r="N270" s="84" t="str">
        <f>IF($AI270&lt;&gt;"",Master!$N$37,IF($AC270&lt;&gt;"",Master!$N$38,IF($S270&lt;&gt;"",Master!$N$39,IF($C270&lt;&gt;"",Master!$N$40,Master!$N$41))))</f>
        <v>起票</v>
      </c>
      <c r="O270" s="202" t="str">
        <f>IF($N270=Master!$N$37,MAX($S270,$AC270,$AI270),"")</f>
        <v/>
      </c>
      <c r="P270" s="65"/>
      <c r="Q270" s="203"/>
      <c r="R270" s="303"/>
      <c r="S270" s="203"/>
      <c r="T270" s="310"/>
      <c r="U270" s="304"/>
      <c r="V270" s="303"/>
      <c r="W270" s="306"/>
      <c r="X270" s="306"/>
      <c r="Y270" s="305"/>
      <c r="Z270" s="303"/>
      <c r="AA270" s="203"/>
      <c r="AB270" s="306"/>
      <c r="AC270" s="203"/>
      <c r="AD270" s="307"/>
      <c r="AE270" s="308"/>
      <c r="AF270" s="309"/>
      <c r="AG270" s="310"/>
      <c r="AH270" s="303"/>
      <c r="AI270" s="203"/>
      <c r="AJ270" s="311"/>
      <c r="AK270" s="451"/>
      <c r="AL270" s="59"/>
      <c r="AM270" s="60"/>
      <c r="AO270" s="137" t="e">
        <f t="shared" si="35"/>
        <v>#N/A</v>
      </c>
      <c r="AP270" s="138" t="e">
        <f t="shared" si="36"/>
        <v>#N/A</v>
      </c>
      <c r="AQ270" s="138" t="e">
        <f t="shared" si="37"/>
        <v>#N/A</v>
      </c>
      <c r="AR270" s="138" t="e">
        <f t="shared" si="38"/>
        <v>#N/A</v>
      </c>
      <c r="AS270" s="138" t="e">
        <f t="shared" si="39"/>
        <v>#N/A</v>
      </c>
      <c r="AT270" s="139" t="e">
        <f t="shared" si="40"/>
        <v>#N/A</v>
      </c>
      <c r="BB270" s="16" t="s">
        <v>596</v>
      </c>
    </row>
    <row r="271" spans="1:54" ht="102.75" customHeight="1">
      <c r="A271" s="428">
        <f t="shared" si="41"/>
        <v>263</v>
      </c>
      <c r="B271" s="294"/>
      <c r="C271" s="201"/>
      <c r="D271" s="290"/>
      <c r="E271" s="301"/>
      <c r="F271" s="301"/>
      <c r="G271" s="290"/>
      <c r="H271" s="291"/>
      <c r="I271" s="292"/>
      <c r="J271" s="61"/>
      <c r="K271" s="57"/>
      <c r="L271" s="303"/>
      <c r="M271" s="201"/>
      <c r="N271" s="84" t="str">
        <f>IF($AI271&lt;&gt;"",Master!$N$37,IF($AC271&lt;&gt;"",Master!$N$38,IF($S271&lt;&gt;"",Master!$N$39,IF($C271&lt;&gt;"",Master!$N$40,Master!$N$41))))</f>
        <v>起票</v>
      </c>
      <c r="O271" s="202" t="str">
        <f>IF($N271=Master!$N$37,MAX($S271,$AC271,$AI271),"")</f>
        <v/>
      </c>
      <c r="P271" s="65"/>
      <c r="Q271" s="203"/>
      <c r="R271" s="57"/>
      <c r="S271" s="203"/>
      <c r="T271" s="310"/>
      <c r="U271" s="289"/>
      <c r="V271" s="57"/>
      <c r="W271" s="288"/>
      <c r="X271" s="288"/>
      <c r="Y271" s="296"/>
      <c r="Z271" s="57"/>
      <c r="AA271" s="203"/>
      <c r="AB271" s="288"/>
      <c r="AC271" s="201"/>
      <c r="AD271" s="298"/>
      <c r="AE271" s="297"/>
      <c r="AF271" s="58"/>
      <c r="AG271" s="204"/>
      <c r="AH271" s="57"/>
      <c r="AI271" s="201"/>
      <c r="AJ271" s="287"/>
      <c r="AK271" s="452"/>
      <c r="AL271" s="59"/>
      <c r="AM271" s="60"/>
      <c r="AO271" s="137" t="e">
        <f t="shared" si="35"/>
        <v>#N/A</v>
      </c>
      <c r="AP271" s="138" t="e">
        <f t="shared" si="36"/>
        <v>#N/A</v>
      </c>
      <c r="AQ271" s="138" t="e">
        <f t="shared" si="37"/>
        <v>#N/A</v>
      </c>
      <c r="AR271" s="138" t="e">
        <f t="shared" si="38"/>
        <v>#N/A</v>
      </c>
      <c r="AS271" s="138" t="e">
        <f t="shared" si="39"/>
        <v>#N/A</v>
      </c>
      <c r="AT271" s="139" t="e">
        <f t="shared" si="40"/>
        <v>#N/A</v>
      </c>
      <c r="BB271" s="16" t="s">
        <v>596</v>
      </c>
    </row>
    <row r="272" spans="1:54" ht="102.75" customHeight="1">
      <c r="A272" s="428">
        <f t="shared" si="41"/>
        <v>264</v>
      </c>
      <c r="B272" s="294"/>
      <c r="C272" s="201"/>
      <c r="D272" s="290"/>
      <c r="E272" s="301"/>
      <c r="F272" s="301"/>
      <c r="G272" s="290"/>
      <c r="H272" s="291"/>
      <c r="I272" s="292"/>
      <c r="J272" s="61"/>
      <c r="K272" s="57"/>
      <c r="L272" s="303"/>
      <c r="M272" s="201"/>
      <c r="N272" s="84" t="str">
        <f>IF($AI272&lt;&gt;"",Master!$N$37,IF($AC272&lt;&gt;"",Master!$N$38,IF($S272&lt;&gt;"",Master!$N$39,IF($C272&lt;&gt;"",Master!$N$40,Master!$N$41))))</f>
        <v>起票</v>
      </c>
      <c r="O272" s="202" t="str">
        <f>IF($N272=Master!$N$37,MAX($S272,$AC272,$AI272),"")</f>
        <v/>
      </c>
      <c r="P272" s="65"/>
      <c r="Q272" s="203"/>
      <c r="R272" s="57"/>
      <c r="S272" s="203"/>
      <c r="T272" s="310"/>
      <c r="U272" s="289"/>
      <c r="V272" s="57"/>
      <c r="W272" s="288"/>
      <c r="X272" s="288"/>
      <c r="Y272" s="296"/>
      <c r="Z272" s="57"/>
      <c r="AA272" s="203"/>
      <c r="AB272" s="288"/>
      <c r="AC272" s="201"/>
      <c r="AD272" s="298"/>
      <c r="AE272" s="297"/>
      <c r="AF272" s="58"/>
      <c r="AG272" s="204"/>
      <c r="AH272" s="57"/>
      <c r="AI272" s="201"/>
      <c r="AJ272" s="287"/>
      <c r="AK272" s="452"/>
      <c r="AL272" s="59"/>
      <c r="AM272" s="60"/>
      <c r="AO272" s="137" t="e">
        <f t="shared" si="35"/>
        <v>#N/A</v>
      </c>
      <c r="AP272" s="138" t="e">
        <f t="shared" si="36"/>
        <v>#N/A</v>
      </c>
      <c r="AQ272" s="138" t="e">
        <f t="shared" si="37"/>
        <v>#N/A</v>
      </c>
      <c r="AR272" s="138" t="e">
        <f t="shared" si="38"/>
        <v>#N/A</v>
      </c>
      <c r="AS272" s="138" t="e">
        <f t="shared" si="39"/>
        <v>#N/A</v>
      </c>
      <c r="AT272" s="139" t="e">
        <f t="shared" si="40"/>
        <v>#N/A</v>
      </c>
      <c r="BB272" s="16" t="s">
        <v>596</v>
      </c>
    </row>
    <row r="273" spans="1:54" ht="102.75" customHeight="1">
      <c r="A273" s="428">
        <f t="shared" si="41"/>
        <v>265</v>
      </c>
      <c r="B273" s="294"/>
      <c r="C273" s="201"/>
      <c r="D273" s="290"/>
      <c r="E273" s="301"/>
      <c r="F273" s="301"/>
      <c r="G273" s="290"/>
      <c r="H273" s="291"/>
      <c r="I273" s="292"/>
      <c r="J273" s="61"/>
      <c r="K273" s="57"/>
      <c r="L273" s="303"/>
      <c r="M273" s="201"/>
      <c r="N273" s="84" t="str">
        <f>IF($AI273&lt;&gt;"",Master!$N$37,IF($AC273&lt;&gt;"",Master!$N$38,IF($S273&lt;&gt;"",Master!$N$39,IF($C273&lt;&gt;"",Master!$N$40,Master!$N$41))))</f>
        <v>起票</v>
      </c>
      <c r="O273" s="202" t="str">
        <f>IF($N273=Master!$N$37,MAX($S273,$AC273,$AI273),"")</f>
        <v/>
      </c>
      <c r="P273" s="65"/>
      <c r="Q273" s="203"/>
      <c r="R273" s="57"/>
      <c r="S273" s="203"/>
      <c r="T273" s="310"/>
      <c r="U273" s="289"/>
      <c r="V273" s="57"/>
      <c r="W273" s="288"/>
      <c r="X273" s="288"/>
      <c r="Y273" s="296"/>
      <c r="Z273" s="57"/>
      <c r="AA273" s="203"/>
      <c r="AB273" s="288"/>
      <c r="AC273" s="201"/>
      <c r="AD273" s="298"/>
      <c r="AE273" s="297"/>
      <c r="AF273" s="58"/>
      <c r="AG273" s="204"/>
      <c r="AH273" s="57"/>
      <c r="AI273" s="201"/>
      <c r="AJ273" s="287"/>
      <c r="AK273" s="452"/>
      <c r="AL273" s="59"/>
      <c r="AM273" s="60"/>
      <c r="AO273" s="137" t="e">
        <f t="shared" si="35"/>
        <v>#N/A</v>
      </c>
      <c r="AP273" s="138" t="e">
        <f t="shared" si="36"/>
        <v>#N/A</v>
      </c>
      <c r="AQ273" s="138" t="e">
        <f t="shared" si="37"/>
        <v>#N/A</v>
      </c>
      <c r="AR273" s="138" t="e">
        <f t="shared" si="38"/>
        <v>#N/A</v>
      </c>
      <c r="AS273" s="138" t="e">
        <f t="shared" si="39"/>
        <v>#N/A</v>
      </c>
      <c r="AT273" s="139" t="e">
        <f t="shared" si="40"/>
        <v>#N/A</v>
      </c>
      <c r="BB273" s="16" t="s">
        <v>596</v>
      </c>
    </row>
    <row r="274" spans="1:54" ht="102.75" customHeight="1">
      <c r="A274" s="428">
        <f t="shared" si="41"/>
        <v>266</v>
      </c>
      <c r="B274" s="294"/>
      <c r="C274" s="201"/>
      <c r="D274" s="290"/>
      <c r="E274" s="301"/>
      <c r="F274" s="301"/>
      <c r="G274" s="290"/>
      <c r="H274" s="291"/>
      <c r="I274" s="292"/>
      <c r="J274" s="61"/>
      <c r="K274" s="57"/>
      <c r="L274" s="303"/>
      <c r="M274" s="201"/>
      <c r="N274" s="84" t="str">
        <f>IF($AI274&lt;&gt;"",Master!$N$37,IF($AC274&lt;&gt;"",Master!$N$38,IF($S274&lt;&gt;"",Master!$N$39,IF($C274&lt;&gt;"",Master!$N$40,Master!$N$41))))</f>
        <v>起票</v>
      </c>
      <c r="O274" s="202" t="str">
        <f>IF($N274=Master!$N$37,MAX($S274,$AC274,$AI274),"")</f>
        <v/>
      </c>
      <c r="P274" s="65"/>
      <c r="Q274" s="203"/>
      <c r="R274" s="57"/>
      <c r="S274" s="203"/>
      <c r="T274" s="310"/>
      <c r="U274" s="289"/>
      <c r="V274" s="57"/>
      <c r="W274" s="288"/>
      <c r="X274" s="288"/>
      <c r="Y274" s="296"/>
      <c r="Z274" s="57"/>
      <c r="AA274" s="203"/>
      <c r="AB274" s="288"/>
      <c r="AC274" s="201"/>
      <c r="AD274" s="298"/>
      <c r="AE274" s="297"/>
      <c r="AF274" s="58"/>
      <c r="AG274" s="204"/>
      <c r="AH274" s="57"/>
      <c r="AI274" s="201"/>
      <c r="AJ274" s="287"/>
      <c r="AK274" s="452"/>
      <c r="AL274" s="59"/>
      <c r="AM274" s="60"/>
      <c r="AO274" s="137" t="e">
        <f t="shared" si="35"/>
        <v>#N/A</v>
      </c>
      <c r="AP274" s="138" t="e">
        <f t="shared" si="36"/>
        <v>#N/A</v>
      </c>
      <c r="AQ274" s="138" t="e">
        <f t="shared" si="37"/>
        <v>#N/A</v>
      </c>
      <c r="AR274" s="138" t="e">
        <f t="shared" si="38"/>
        <v>#N/A</v>
      </c>
      <c r="AS274" s="138" t="e">
        <f t="shared" si="39"/>
        <v>#N/A</v>
      </c>
      <c r="AT274" s="139" t="e">
        <f t="shared" si="40"/>
        <v>#N/A</v>
      </c>
      <c r="BB274" s="16" t="s">
        <v>596</v>
      </c>
    </row>
    <row r="275" spans="1:54" ht="102.75" customHeight="1">
      <c r="A275" s="428">
        <f t="shared" si="41"/>
        <v>267</v>
      </c>
      <c r="B275" s="294"/>
      <c r="C275" s="201"/>
      <c r="D275" s="290"/>
      <c r="E275" s="301"/>
      <c r="F275" s="301"/>
      <c r="G275" s="290"/>
      <c r="H275" s="291"/>
      <c r="I275" s="292"/>
      <c r="J275" s="61"/>
      <c r="K275" s="57"/>
      <c r="L275" s="303"/>
      <c r="M275" s="201"/>
      <c r="N275" s="84" t="str">
        <f>IF($AI275&lt;&gt;"",Master!$N$37,IF($AC275&lt;&gt;"",Master!$N$38,IF($S275&lt;&gt;"",Master!$N$39,IF($C275&lt;&gt;"",Master!$N$40,Master!$N$41))))</f>
        <v>起票</v>
      </c>
      <c r="O275" s="202" t="str">
        <f>IF($N275=Master!$N$37,MAX($S275,$AC275,$AI275),"")</f>
        <v/>
      </c>
      <c r="P275" s="65"/>
      <c r="Q275" s="203"/>
      <c r="R275" s="57"/>
      <c r="S275" s="203"/>
      <c r="T275" s="310"/>
      <c r="U275" s="289"/>
      <c r="V275" s="57"/>
      <c r="W275" s="288"/>
      <c r="X275" s="288"/>
      <c r="Y275" s="296"/>
      <c r="Z275" s="57"/>
      <c r="AA275" s="203"/>
      <c r="AB275" s="288"/>
      <c r="AC275" s="201"/>
      <c r="AD275" s="298"/>
      <c r="AE275" s="297"/>
      <c r="AF275" s="58"/>
      <c r="AG275" s="204"/>
      <c r="AH275" s="57"/>
      <c r="AI275" s="201"/>
      <c r="AJ275" s="287"/>
      <c r="AK275" s="452"/>
      <c r="AL275" s="59"/>
      <c r="AM275" s="60"/>
      <c r="AO275" s="137" t="e">
        <f t="shared" si="35"/>
        <v>#N/A</v>
      </c>
      <c r="AP275" s="138" t="e">
        <f t="shared" si="36"/>
        <v>#N/A</v>
      </c>
      <c r="AQ275" s="138" t="e">
        <f t="shared" si="37"/>
        <v>#N/A</v>
      </c>
      <c r="AR275" s="138" t="e">
        <f t="shared" si="38"/>
        <v>#N/A</v>
      </c>
      <c r="AS275" s="138" t="e">
        <f t="shared" si="39"/>
        <v>#N/A</v>
      </c>
      <c r="AT275" s="139" t="e">
        <f t="shared" si="40"/>
        <v>#N/A</v>
      </c>
      <c r="BB275" s="16" t="s">
        <v>596</v>
      </c>
    </row>
    <row r="276" spans="1:54" ht="102.75" customHeight="1">
      <c r="A276" s="428">
        <f t="shared" si="41"/>
        <v>268</v>
      </c>
      <c r="B276" s="294"/>
      <c r="C276" s="201"/>
      <c r="D276" s="290"/>
      <c r="E276" s="301"/>
      <c r="F276" s="301"/>
      <c r="G276" s="290"/>
      <c r="H276" s="291"/>
      <c r="I276" s="292"/>
      <c r="J276" s="61"/>
      <c r="K276" s="57"/>
      <c r="L276" s="303"/>
      <c r="M276" s="201"/>
      <c r="N276" s="84" t="str">
        <f>IF($AI276&lt;&gt;"",Master!$N$37,IF($AC276&lt;&gt;"",Master!$N$38,IF($S276&lt;&gt;"",Master!$N$39,IF($C276&lt;&gt;"",Master!$N$40,Master!$N$41))))</f>
        <v>起票</v>
      </c>
      <c r="O276" s="202" t="str">
        <f>IF($N276=Master!$N$37,MAX($S276,$AC276,$AI276),"")</f>
        <v/>
      </c>
      <c r="P276" s="65"/>
      <c r="Q276" s="203"/>
      <c r="R276" s="57"/>
      <c r="S276" s="203"/>
      <c r="T276" s="310"/>
      <c r="U276" s="289"/>
      <c r="V276" s="57"/>
      <c r="W276" s="288"/>
      <c r="X276" s="288"/>
      <c r="Y276" s="296"/>
      <c r="Z276" s="57"/>
      <c r="AA276" s="203"/>
      <c r="AB276" s="288"/>
      <c r="AC276" s="201"/>
      <c r="AD276" s="298"/>
      <c r="AE276" s="297"/>
      <c r="AF276" s="58"/>
      <c r="AG276" s="204"/>
      <c r="AH276" s="57"/>
      <c r="AI276" s="201"/>
      <c r="AJ276" s="287"/>
      <c r="AK276" s="452"/>
      <c r="AL276" s="59"/>
      <c r="AM276" s="60"/>
      <c r="AO276" s="137" t="e">
        <f t="shared" si="35"/>
        <v>#N/A</v>
      </c>
      <c r="AP276" s="138" t="e">
        <f t="shared" si="36"/>
        <v>#N/A</v>
      </c>
      <c r="AQ276" s="138" t="e">
        <f t="shared" si="37"/>
        <v>#N/A</v>
      </c>
      <c r="AR276" s="138" t="e">
        <f t="shared" si="38"/>
        <v>#N/A</v>
      </c>
      <c r="AS276" s="138" t="e">
        <f t="shared" si="39"/>
        <v>#N/A</v>
      </c>
      <c r="AT276" s="139" t="e">
        <f t="shared" si="40"/>
        <v>#N/A</v>
      </c>
      <c r="BB276" s="16" t="s">
        <v>596</v>
      </c>
    </row>
    <row r="277" spans="1:54" ht="102.75" customHeight="1">
      <c r="A277" s="428">
        <f t="shared" si="41"/>
        <v>269</v>
      </c>
      <c r="B277" s="294"/>
      <c r="C277" s="201"/>
      <c r="D277" s="290"/>
      <c r="E277" s="301"/>
      <c r="F277" s="301"/>
      <c r="G277" s="290"/>
      <c r="H277" s="291"/>
      <c r="I277" s="292"/>
      <c r="J277" s="61"/>
      <c r="K277" s="57"/>
      <c r="L277" s="303"/>
      <c r="M277" s="201"/>
      <c r="N277" s="84" t="str">
        <f>IF($AI277&lt;&gt;"",Master!$N$37,IF($AC277&lt;&gt;"",Master!$N$38,IF($S277&lt;&gt;"",Master!$N$39,IF($C277&lt;&gt;"",Master!$N$40,Master!$N$41))))</f>
        <v>起票</v>
      </c>
      <c r="O277" s="202" t="str">
        <f>IF($N277=Master!$N$37,MAX($S277,$AC277,$AI277),"")</f>
        <v/>
      </c>
      <c r="P277" s="65"/>
      <c r="Q277" s="203"/>
      <c r="R277" s="57"/>
      <c r="S277" s="203"/>
      <c r="T277" s="310"/>
      <c r="U277" s="289"/>
      <c r="V277" s="57"/>
      <c r="W277" s="288"/>
      <c r="X277" s="288"/>
      <c r="Y277" s="296"/>
      <c r="Z277" s="57"/>
      <c r="AA277" s="203"/>
      <c r="AB277" s="288"/>
      <c r="AC277" s="201"/>
      <c r="AD277" s="298"/>
      <c r="AE277" s="297"/>
      <c r="AF277" s="58"/>
      <c r="AG277" s="204"/>
      <c r="AH277" s="57"/>
      <c r="AI277" s="201"/>
      <c r="AJ277" s="287"/>
      <c r="AK277" s="452"/>
      <c r="AL277" s="59"/>
      <c r="AM277" s="60"/>
      <c r="AO277" s="137" t="e">
        <f t="shared" si="35"/>
        <v>#N/A</v>
      </c>
      <c r="AP277" s="138" t="e">
        <f t="shared" si="36"/>
        <v>#N/A</v>
      </c>
      <c r="AQ277" s="138" t="e">
        <f t="shared" si="37"/>
        <v>#N/A</v>
      </c>
      <c r="AR277" s="138" t="e">
        <f t="shared" si="38"/>
        <v>#N/A</v>
      </c>
      <c r="AS277" s="138" t="e">
        <f t="shared" si="39"/>
        <v>#N/A</v>
      </c>
      <c r="AT277" s="139" t="e">
        <f t="shared" si="40"/>
        <v>#N/A</v>
      </c>
      <c r="BB277" s="16" t="s">
        <v>596</v>
      </c>
    </row>
    <row r="278" spans="1:54" ht="102.75" customHeight="1">
      <c r="A278" s="428">
        <f t="shared" si="41"/>
        <v>270</v>
      </c>
      <c r="B278" s="294"/>
      <c r="C278" s="201"/>
      <c r="D278" s="290"/>
      <c r="E278" s="301"/>
      <c r="F278" s="301"/>
      <c r="G278" s="290"/>
      <c r="H278" s="291"/>
      <c r="I278" s="292"/>
      <c r="J278" s="61"/>
      <c r="K278" s="57"/>
      <c r="L278" s="303"/>
      <c r="M278" s="201"/>
      <c r="N278" s="84" t="str">
        <f>IF($AI278&lt;&gt;"",Master!$N$37,IF($AC278&lt;&gt;"",Master!$N$38,IF($S278&lt;&gt;"",Master!$N$39,IF($C278&lt;&gt;"",Master!$N$40,Master!$N$41))))</f>
        <v>起票</v>
      </c>
      <c r="O278" s="202" t="str">
        <f>IF($N278=Master!$N$37,MAX($S278,$AC278,$AI278),"")</f>
        <v/>
      </c>
      <c r="P278" s="65"/>
      <c r="Q278" s="203"/>
      <c r="R278" s="57"/>
      <c r="S278" s="203"/>
      <c r="T278" s="310"/>
      <c r="U278" s="289"/>
      <c r="V278" s="57"/>
      <c r="W278" s="288"/>
      <c r="X278" s="288"/>
      <c r="Y278" s="296"/>
      <c r="Z278" s="57"/>
      <c r="AA278" s="203"/>
      <c r="AB278" s="288"/>
      <c r="AC278" s="201"/>
      <c r="AD278" s="298"/>
      <c r="AE278" s="297"/>
      <c r="AF278" s="58"/>
      <c r="AG278" s="204"/>
      <c r="AH278" s="57"/>
      <c r="AI278" s="201"/>
      <c r="AJ278" s="287"/>
      <c r="AK278" s="452"/>
      <c r="AL278" s="59"/>
      <c r="AM278" s="60"/>
      <c r="AO278" s="137" t="e">
        <f t="shared" si="35"/>
        <v>#N/A</v>
      </c>
      <c r="AP278" s="138" t="e">
        <f t="shared" si="36"/>
        <v>#N/A</v>
      </c>
      <c r="AQ278" s="138" t="e">
        <f t="shared" si="37"/>
        <v>#N/A</v>
      </c>
      <c r="AR278" s="138" t="e">
        <f t="shared" si="38"/>
        <v>#N/A</v>
      </c>
      <c r="AS278" s="138" t="e">
        <f t="shared" si="39"/>
        <v>#N/A</v>
      </c>
      <c r="AT278" s="139" t="e">
        <f t="shared" si="40"/>
        <v>#N/A</v>
      </c>
      <c r="BB278" s="16" t="s">
        <v>596</v>
      </c>
    </row>
    <row r="279" spans="1:54" ht="102.75" customHeight="1">
      <c r="A279" s="428">
        <f t="shared" si="41"/>
        <v>271</v>
      </c>
      <c r="B279" s="294"/>
      <c r="C279" s="201"/>
      <c r="D279" s="290"/>
      <c r="E279" s="301"/>
      <c r="F279" s="301"/>
      <c r="G279" s="290"/>
      <c r="H279" s="291"/>
      <c r="I279" s="292"/>
      <c r="J279" s="61"/>
      <c r="K279" s="57"/>
      <c r="L279" s="303"/>
      <c r="M279" s="201"/>
      <c r="N279" s="84" t="str">
        <f>IF($AI279&lt;&gt;"",Master!$N$37,IF($AC279&lt;&gt;"",Master!$N$38,IF($S279&lt;&gt;"",Master!$N$39,IF($C279&lt;&gt;"",Master!$N$40,Master!$N$41))))</f>
        <v>起票</v>
      </c>
      <c r="O279" s="202" t="str">
        <f>IF($N279=Master!$N$37,MAX($S279,$AC279,$AI279),"")</f>
        <v/>
      </c>
      <c r="P279" s="65"/>
      <c r="Q279" s="203"/>
      <c r="R279" s="57"/>
      <c r="S279" s="203"/>
      <c r="T279" s="310"/>
      <c r="U279" s="289"/>
      <c r="V279" s="57"/>
      <c r="W279" s="288"/>
      <c r="X279" s="288"/>
      <c r="Y279" s="296"/>
      <c r="Z279" s="57"/>
      <c r="AA279" s="203"/>
      <c r="AB279" s="288"/>
      <c r="AC279" s="201"/>
      <c r="AD279" s="298"/>
      <c r="AE279" s="297"/>
      <c r="AF279" s="58"/>
      <c r="AG279" s="204"/>
      <c r="AH279" s="57"/>
      <c r="AI279" s="201"/>
      <c r="AJ279" s="287"/>
      <c r="AK279" s="452"/>
      <c r="AL279" s="59"/>
      <c r="AM279" s="60"/>
      <c r="AO279" s="137" t="e">
        <f t="shared" si="35"/>
        <v>#N/A</v>
      </c>
      <c r="AP279" s="138" t="e">
        <f t="shared" si="36"/>
        <v>#N/A</v>
      </c>
      <c r="AQ279" s="138" t="e">
        <f t="shared" si="37"/>
        <v>#N/A</v>
      </c>
      <c r="AR279" s="138" t="e">
        <f t="shared" si="38"/>
        <v>#N/A</v>
      </c>
      <c r="AS279" s="138" t="e">
        <f t="shared" si="39"/>
        <v>#N/A</v>
      </c>
      <c r="AT279" s="139" t="e">
        <f t="shared" si="40"/>
        <v>#N/A</v>
      </c>
      <c r="BB279" s="16" t="s">
        <v>596</v>
      </c>
    </row>
    <row r="280" spans="1:54" ht="102.75" customHeight="1">
      <c r="A280" s="428">
        <f t="shared" si="41"/>
        <v>272</v>
      </c>
      <c r="B280" s="294"/>
      <c r="C280" s="201"/>
      <c r="D280" s="290"/>
      <c r="E280" s="301"/>
      <c r="F280" s="301"/>
      <c r="G280" s="290"/>
      <c r="H280" s="291"/>
      <c r="I280" s="292"/>
      <c r="J280" s="61"/>
      <c r="K280" s="57"/>
      <c r="L280" s="303"/>
      <c r="M280" s="201"/>
      <c r="N280" s="84" t="str">
        <f>IF($AI280&lt;&gt;"",Master!$N$37,IF($AC280&lt;&gt;"",Master!$N$38,IF($S280&lt;&gt;"",Master!$N$39,IF($C280&lt;&gt;"",Master!$N$40,Master!$N$41))))</f>
        <v>起票</v>
      </c>
      <c r="O280" s="202" t="str">
        <f>IF($N280=Master!$N$37,MAX($S280,$AC280,$AI280),"")</f>
        <v/>
      </c>
      <c r="P280" s="65"/>
      <c r="Q280" s="203"/>
      <c r="R280" s="57"/>
      <c r="S280" s="203"/>
      <c r="T280" s="310"/>
      <c r="U280" s="289"/>
      <c r="V280" s="57"/>
      <c r="W280" s="288"/>
      <c r="X280" s="288"/>
      <c r="Y280" s="296"/>
      <c r="Z280" s="57"/>
      <c r="AA280" s="203"/>
      <c r="AB280" s="288"/>
      <c r="AC280" s="201"/>
      <c r="AD280" s="298"/>
      <c r="AE280" s="297"/>
      <c r="AF280" s="58"/>
      <c r="AG280" s="204"/>
      <c r="AH280" s="57"/>
      <c r="AI280" s="201"/>
      <c r="AJ280" s="287"/>
      <c r="AK280" s="452"/>
      <c r="AL280" s="59"/>
      <c r="AM280" s="60"/>
      <c r="AO280" s="137" t="e">
        <f t="shared" si="35"/>
        <v>#N/A</v>
      </c>
      <c r="AP280" s="138" t="e">
        <f t="shared" si="36"/>
        <v>#N/A</v>
      </c>
      <c r="AQ280" s="138" t="e">
        <f t="shared" si="37"/>
        <v>#N/A</v>
      </c>
      <c r="AR280" s="138" t="e">
        <f t="shared" si="38"/>
        <v>#N/A</v>
      </c>
      <c r="AS280" s="138" t="e">
        <f t="shared" si="39"/>
        <v>#N/A</v>
      </c>
      <c r="AT280" s="139" t="e">
        <f t="shared" si="40"/>
        <v>#N/A</v>
      </c>
      <c r="BB280" s="16" t="s">
        <v>596</v>
      </c>
    </row>
    <row r="281" spans="1:54" ht="102.75" customHeight="1">
      <c r="A281" s="428">
        <f t="shared" si="41"/>
        <v>273</v>
      </c>
      <c r="B281" s="294"/>
      <c r="C281" s="201"/>
      <c r="D281" s="290"/>
      <c r="E281" s="301"/>
      <c r="F281" s="301"/>
      <c r="G281" s="290"/>
      <c r="H281" s="291"/>
      <c r="I281" s="292"/>
      <c r="J281" s="61"/>
      <c r="K281" s="57"/>
      <c r="L281" s="303"/>
      <c r="M281" s="201"/>
      <c r="N281" s="84" t="str">
        <f>IF($AI281&lt;&gt;"",Master!$N$37,IF($AC281&lt;&gt;"",Master!$N$38,IF($S281&lt;&gt;"",Master!$N$39,IF($C281&lt;&gt;"",Master!$N$40,Master!$N$41))))</f>
        <v>起票</v>
      </c>
      <c r="O281" s="202" t="str">
        <f>IF($N281=Master!$N$37,MAX($S281,$AC281,$AI281),"")</f>
        <v/>
      </c>
      <c r="P281" s="65"/>
      <c r="Q281" s="203"/>
      <c r="R281" s="57"/>
      <c r="S281" s="203"/>
      <c r="T281" s="310"/>
      <c r="U281" s="289"/>
      <c r="V281" s="57"/>
      <c r="W281" s="288"/>
      <c r="X281" s="288"/>
      <c r="Y281" s="296"/>
      <c r="Z281" s="57"/>
      <c r="AA281" s="203"/>
      <c r="AB281" s="288"/>
      <c r="AC281" s="201"/>
      <c r="AD281" s="298"/>
      <c r="AE281" s="297"/>
      <c r="AF281" s="58"/>
      <c r="AG281" s="204"/>
      <c r="AH281" s="57"/>
      <c r="AI281" s="201"/>
      <c r="AJ281" s="287"/>
      <c r="AK281" s="452"/>
      <c r="AL281" s="59"/>
      <c r="AM281" s="60"/>
      <c r="AO281" s="137" t="e">
        <f t="shared" si="35"/>
        <v>#N/A</v>
      </c>
      <c r="AP281" s="138" t="e">
        <f t="shared" si="36"/>
        <v>#N/A</v>
      </c>
      <c r="AQ281" s="138" t="e">
        <f t="shared" si="37"/>
        <v>#N/A</v>
      </c>
      <c r="AR281" s="138" t="e">
        <f t="shared" si="38"/>
        <v>#N/A</v>
      </c>
      <c r="AS281" s="138" t="e">
        <f t="shared" si="39"/>
        <v>#N/A</v>
      </c>
      <c r="AT281" s="139" t="e">
        <f t="shared" si="40"/>
        <v>#N/A</v>
      </c>
      <c r="BB281" s="16" t="s">
        <v>596</v>
      </c>
    </row>
    <row r="282" spans="1:54" ht="102.75" customHeight="1">
      <c r="A282" s="428">
        <f t="shared" si="41"/>
        <v>274</v>
      </c>
      <c r="B282" s="294"/>
      <c r="C282" s="201"/>
      <c r="D282" s="290"/>
      <c r="E282" s="301"/>
      <c r="F282" s="301"/>
      <c r="G282" s="290"/>
      <c r="H282" s="291"/>
      <c r="I282" s="292"/>
      <c r="J282" s="61"/>
      <c r="K282" s="57"/>
      <c r="L282" s="303"/>
      <c r="M282" s="201"/>
      <c r="N282" s="84" t="str">
        <f>IF($AI282&lt;&gt;"",Master!$N$37,IF($AC282&lt;&gt;"",Master!$N$38,IF($S282&lt;&gt;"",Master!$N$39,IF($C282&lt;&gt;"",Master!$N$40,Master!$N$41))))</f>
        <v>起票</v>
      </c>
      <c r="O282" s="202" t="str">
        <f>IF($N282=Master!$N$37,MAX($S282,$AC282,$AI282),"")</f>
        <v/>
      </c>
      <c r="P282" s="65"/>
      <c r="Q282" s="203"/>
      <c r="R282" s="57"/>
      <c r="S282" s="203"/>
      <c r="T282" s="310"/>
      <c r="U282" s="289"/>
      <c r="V282" s="57"/>
      <c r="W282" s="288"/>
      <c r="X282" s="288"/>
      <c r="Y282" s="296"/>
      <c r="Z282" s="57"/>
      <c r="AA282" s="203"/>
      <c r="AB282" s="288"/>
      <c r="AC282" s="201"/>
      <c r="AD282" s="298"/>
      <c r="AE282" s="297"/>
      <c r="AF282" s="58"/>
      <c r="AG282" s="204"/>
      <c r="AH282" s="57"/>
      <c r="AI282" s="201"/>
      <c r="AJ282" s="287"/>
      <c r="AK282" s="452"/>
      <c r="AL282" s="59"/>
      <c r="AM282" s="60"/>
      <c r="AO282" s="137" t="e">
        <f t="shared" si="35"/>
        <v>#N/A</v>
      </c>
      <c r="AP282" s="138" t="e">
        <f t="shared" si="36"/>
        <v>#N/A</v>
      </c>
      <c r="AQ282" s="138" t="e">
        <f t="shared" si="37"/>
        <v>#N/A</v>
      </c>
      <c r="AR282" s="138" t="e">
        <f t="shared" si="38"/>
        <v>#N/A</v>
      </c>
      <c r="AS282" s="138" t="e">
        <f t="shared" si="39"/>
        <v>#N/A</v>
      </c>
      <c r="AT282" s="139" t="e">
        <f t="shared" si="40"/>
        <v>#N/A</v>
      </c>
      <c r="BB282" s="16" t="s">
        <v>596</v>
      </c>
    </row>
    <row r="283" spans="1:54" ht="102.75" customHeight="1">
      <c r="A283" s="428">
        <f t="shared" si="41"/>
        <v>275</v>
      </c>
      <c r="B283" s="294"/>
      <c r="C283" s="201"/>
      <c r="D283" s="290"/>
      <c r="E283" s="301"/>
      <c r="F283" s="301"/>
      <c r="G283" s="290"/>
      <c r="H283" s="291"/>
      <c r="I283" s="292"/>
      <c r="J283" s="61"/>
      <c r="K283" s="57"/>
      <c r="L283" s="303"/>
      <c r="M283" s="201"/>
      <c r="N283" s="84" t="str">
        <f>IF($AI283&lt;&gt;"",Master!$N$37,IF($AC283&lt;&gt;"",Master!$N$38,IF($S283&lt;&gt;"",Master!$N$39,IF($C283&lt;&gt;"",Master!$N$40,Master!$N$41))))</f>
        <v>起票</v>
      </c>
      <c r="O283" s="202" t="str">
        <f>IF($N283=Master!$N$37,MAX($S283,$AC283,$AI283),"")</f>
        <v/>
      </c>
      <c r="P283" s="65"/>
      <c r="Q283" s="203"/>
      <c r="R283" s="57"/>
      <c r="S283" s="203"/>
      <c r="T283" s="310"/>
      <c r="U283" s="289"/>
      <c r="V283" s="57"/>
      <c r="W283" s="288"/>
      <c r="X283" s="288"/>
      <c r="Y283" s="296"/>
      <c r="Z283" s="57"/>
      <c r="AA283" s="203"/>
      <c r="AB283" s="288"/>
      <c r="AC283" s="201"/>
      <c r="AD283" s="298"/>
      <c r="AE283" s="297"/>
      <c r="AF283" s="58"/>
      <c r="AG283" s="204"/>
      <c r="AH283" s="57"/>
      <c r="AI283" s="201"/>
      <c r="AJ283" s="287"/>
      <c r="AK283" s="452"/>
      <c r="AL283" s="59"/>
      <c r="AM283" s="60"/>
      <c r="AO283" s="137" t="e">
        <f t="shared" si="35"/>
        <v>#N/A</v>
      </c>
      <c r="AP283" s="138" t="e">
        <f t="shared" si="36"/>
        <v>#N/A</v>
      </c>
      <c r="AQ283" s="138" t="e">
        <f t="shared" si="37"/>
        <v>#N/A</v>
      </c>
      <c r="AR283" s="138" t="e">
        <f t="shared" si="38"/>
        <v>#N/A</v>
      </c>
      <c r="AS283" s="138" t="e">
        <f t="shared" si="39"/>
        <v>#N/A</v>
      </c>
      <c r="AT283" s="139" t="e">
        <f t="shared" si="40"/>
        <v>#N/A</v>
      </c>
      <c r="BB283" s="16" t="s">
        <v>596</v>
      </c>
    </row>
    <row r="284" spans="1:54" ht="102.75" customHeight="1">
      <c r="A284" s="428">
        <f t="shared" si="41"/>
        <v>276</v>
      </c>
      <c r="B284" s="294"/>
      <c r="C284" s="201"/>
      <c r="D284" s="290"/>
      <c r="E284" s="301"/>
      <c r="F284" s="301"/>
      <c r="G284" s="290"/>
      <c r="H284" s="291"/>
      <c r="I284" s="292"/>
      <c r="J284" s="61"/>
      <c r="K284" s="57"/>
      <c r="L284" s="303"/>
      <c r="M284" s="201"/>
      <c r="N284" s="84" t="str">
        <f>IF($AI284&lt;&gt;"",Master!$N$37,IF($AC284&lt;&gt;"",Master!$N$38,IF($S284&lt;&gt;"",Master!$N$39,IF($C284&lt;&gt;"",Master!$N$40,Master!$N$41))))</f>
        <v>起票</v>
      </c>
      <c r="O284" s="202" t="str">
        <f>IF($N284=Master!$N$37,MAX($S284,$AC284,$AI284),"")</f>
        <v/>
      </c>
      <c r="P284" s="65"/>
      <c r="Q284" s="203"/>
      <c r="R284" s="57"/>
      <c r="S284" s="203"/>
      <c r="T284" s="310"/>
      <c r="U284" s="289"/>
      <c r="V284" s="57"/>
      <c r="W284" s="288"/>
      <c r="X284" s="288"/>
      <c r="Y284" s="296"/>
      <c r="Z284" s="57"/>
      <c r="AA284" s="203"/>
      <c r="AB284" s="288"/>
      <c r="AC284" s="201"/>
      <c r="AD284" s="298"/>
      <c r="AE284" s="297"/>
      <c r="AF284" s="58"/>
      <c r="AG284" s="204"/>
      <c r="AH284" s="57"/>
      <c r="AI284" s="201"/>
      <c r="AJ284" s="287"/>
      <c r="AK284" s="452"/>
      <c r="AL284" s="59"/>
      <c r="AM284" s="60"/>
      <c r="AO284" s="137" t="e">
        <f t="shared" si="35"/>
        <v>#N/A</v>
      </c>
      <c r="AP284" s="138" t="e">
        <f t="shared" si="36"/>
        <v>#N/A</v>
      </c>
      <c r="AQ284" s="138" t="e">
        <f t="shared" si="37"/>
        <v>#N/A</v>
      </c>
      <c r="AR284" s="138" t="e">
        <f t="shared" si="38"/>
        <v>#N/A</v>
      </c>
      <c r="AS284" s="138" t="e">
        <f t="shared" si="39"/>
        <v>#N/A</v>
      </c>
      <c r="AT284" s="139" t="e">
        <f t="shared" si="40"/>
        <v>#N/A</v>
      </c>
      <c r="BB284" s="16" t="s">
        <v>596</v>
      </c>
    </row>
    <row r="285" spans="1:54" ht="102.75" customHeight="1">
      <c r="A285" s="428">
        <f t="shared" si="41"/>
        <v>277</v>
      </c>
      <c r="B285" s="294"/>
      <c r="C285" s="201"/>
      <c r="D285" s="290"/>
      <c r="E285" s="301"/>
      <c r="F285" s="301"/>
      <c r="G285" s="290"/>
      <c r="H285" s="291"/>
      <c r="I285" s="292"/>
      <c r="J285" s="61"/>
      <c r="K285" s="57"/>
      <c r="L285" s="303"/>
      <c r="M285" s="201"/>
      <c r="N285" s="84" t="str">
        <f>IF($AI285&lt;&gt;"",Master!$N$37,IF($AC285&lt;&gt;"",Master!$N$38,IF($S285&lt;&gt;"",Master!$N$39,IF($C285&lt;&gt;"",Master!$N$40,Master!$N$41))))</f>
        <v>起票</v>
      </c>
      <c r="O285" s="202" t="str">
        <f>IF($N285=Master!$N$37,MAX($S285,$AC285,$AI285),"")</f>
        <v/>
      </c>
      <c r="P285" s="65"/>
      <c r="Q285" s="203"/>
      <c r="R285" s="57"/>
      <c r="S285" s="203"/>
      <c r="T285" s="310"/>
      <c r="U285" s="289"/>
      <c r="V285" s="57"/>
      <c r="W285" s="288"/>
      <c r="X285" s="288"/>
      <c r="Y285" s="296"/>
      <c r="Z285" s="57"/>
      <c r="AA285" s="203"/>
      <c r="AB285" s="288"/>
      <c r="AC285" s="201"/>
      <c r="AD285" s="298"/>
      <c r="AE285" s="297"/>
      <c r="AF285" s="58"/>
      <c r="AG285" s="204"/>
      <c r="AH285" s="57"/>
      <c r="AI285" s="201"/>
      <c r="AJ285" s="287"/>
      <c r="AK285" s="452"/>
      <c r="AL285" s="59"/>
      <c r="AM285" s="60"/>
      <c r="AO285" s="137" t="e">
        <f t="shared" si="35"/>
        <v>#N/A</v>
      </c>
      <c r="AP285" s="138" t="e">
        <f t="shared" si="36"/>
        <v>#N/A</v>
      </c>
      <c r="AQ285" s="138" t="e">
        <f t="shared" si="37"/>
        <v>#N/A</v>
      </c>
      <c r="AR285" s="138" t="e">
        <f t="shared" si="38"/>
        <v>#N/A</v>
      </c>
      <c r="AS285" s="138" t="e">
        <f t="shared" si="39"/>
        <v>#N/A</v>
      </c>
      <c r="AT285" s="139" t="e">
        <f t="shared" si="40"/>
        <v>#N/A</v>
      </c>
      <c r="BB285" s="16" t="s">
        <v>596</v>
      </c>
    </row>
    <row r="286" spans="1:54" ht="102.75" customHeight="1">
      <c r="A286" s="428">
        <f t="shared" si="41"/>
        <v>278</v>
      </c>
      <c r="B286" s="294"/>
      <c r="C286" s="201"/>
      <c r="D286" s="290"/>
      <c r="E286" s="301"/>
      <c r="F286" s="301"/>
      <c r="G286" s="290"/>
      <c r="H286" s="291"/>
      <c r="I286" s="292"/>
      <c r="J286" s="61"/>
      <c r="K286" s="57"/>
      <c r="L286" s="303"/>
      <c r="M286" s="201"/>
      <c r="N286" s="84" t="str">
        <f>IF($AI286&lt;&gt;"",Master!$N$37,IF($AC286&lt;&gt;"",Master!$N$38,IF($S286&lt;&gt;"",Master!$N$39,IF($C286&lt;&gt;"",Master!$N$40,Master!$N$41))))</f>
        <v>起票</v>
      </c>
      <c r="O286" s="202" t="str">
        <f>IF($N286=Master!$N$37,MAX($S286,$AC286,$AI286),"")</f>
        <v/>
      </c>
      <c r="P286" s="65"/>
      <c r="Q286" s="203"/>
      <c r="R286" s="57"/>
      <c r="S286" s="203"/>
      <c r="T286" s="310"/>
      <c r="U286" s="289"/>
      <c r="V286" s="57"/>
      <c r="W286" s="288"/>
      <c r="X286" s="288"/>
      <c r="Y286" s="296"/>
      <c r="Z286" s="57"/>
      <c r="AA286" s="203"/>
      <c r="AB286" s="288"/>
      <c r="AC286" s="201"/>
      <c r="AD286" s="298"/>
      <c r="AE286" s="297"/>
      <c r="AF286" s="58"/>
      <c r="AG286" s="204"/>
      <c r="AH286" s="57"/>
      <c r="AI286" s="201"/>
      <c r="AJ286" s="287"/>
      <c r="AK286" s="452"/>
      <c r="AL286" s="59"/>
      <c r="AM286" s="60"/>
      <c r="AO286" s="137" t="e">
        <f t="shared" si="35"/>
        <v>#N/A</v>
      </c>
      <c r="AP286" s="138" t="e">
        <f t="shared" si="36"/>
        <v>#N/A</v>
      </c>
      <c r="AQ286" s="138" t="e">
        <f t="shared" si="37"/>
        <v>#N/A</v>
      </c>
      <c r="AR286" s="138" t="e">
        <f t="shared" si="38"/>
        <v>#N/A</v>
      </c>
      <c r="AS286" s="138" t="e">
        <f t="shared" si="39"/>
        <v>#N/A</v>
      </c>
      <c r="AT286" s="139" t="e">
        <f t="shared" si="40"/>
        <v>#N/A</v>
      </c>
      <c r="BB286" s="16" t="s">
        <v>596</v>
      </c>
    </row>
    <row r="287" spans="1:54" ht="102.75" customHeight="1">
      <c r="A287" s="428">
        <f t="shared" si="41"/>
        <v>279</v>
      </c>
      <c r="B287" s="294"/>
      <c r="C287" s="201"/>
      <c r="D287" s="290"/>
      <c r="E287" s="301"/>
      <c r="F287" s="301"/>
      <c r="G287" s="290"/>
      <c r="H287" s="291"/>
      <c r="I287" s="292"/>
      <c r="J287" s="61"/>
      <c r="K287" s="57"/>
      <c r="L287" s="303"/>
      <c r="M287" s="201"/>
      <c r="N287" s="84" t="str">
        <f>IF($AI287&lt;&gt;"",Master!$N$37,IF($AC287&lt;&gt;"",Master!$N$38,IF($S287&lt;&gt;"",Master!$N$39,IF($C287&lt;&gt;"",Master!$N$40,Master!$N$41))))</f>
        <v>起票</v>
      </c>
      <c r="O287" s="202" t="str">
        <f>IF($N287=Master!$N$37,MAX($S287,$AC287,$AI287),"")</f>
        <v/>
      </c>
      <c r="P287" s="65"/>
      <c r="Q287" s="203"/>
      <c r="R287" s="57"/>
      <c r="S287" s="203"/>
      <c r="T287" s="310"/>
      <c r="U287" s="289"/>
      <c r="V287" s="57"/>
      <c r="W287" s="288"/>
      <c r="X287" s="288"/>
      <c r="Y287" s="296"/>
      <c r="Z287" s="57"/>
      <c r="AA287" s="203"/>
      <c r="AB287" s="288"/>
      <c r="AC287" s="201"/>
      <c r="AD287" s="298"/>
      <c r="AE287" s="297"/>
      <c r="AF287" s="58"/>
      <c r="AG287" s="204"/>
      <c r="AH287" s="57"/>
      <c r="AI287" s="201"/>
      <c r="AJ287" s="287"/>
      <c r="AK287" s="452"/>
      <c r="AL287" s="59"/>
      <c r="AM287" s="60"/>
      <c r="AO287" s="137" t="e">
        <f t="shared" si="35"/>
        <v>#N/A</v>
      </c>
      <c r="AP287" s="138" t="e">
        <f t="shared" si="36"/>
        <v>#N/A</v>
      </c>
      <c r="AQ287" s="138" t="e">
        <f t="shared" si="37"/>
        <v>#N/A</v>
      </c>
      <c r="AR287" s="138" t="e">
        <f t="shared" si="38"/>
        <v>#N/A</v>
      </c>
      <c r="AS287" s="138" t="e">
        <f t="shared" si="39"/>
        <v>#N/A</v>
      </c>
      <c r="AT287" s="139" t="e">
        <f t="shared" si="40"/>
        <v>#N/A</v>
      </c>
      <c r="BB287" s="16" t="s">
        <v>596</v>
      </c>
    </row>
    <row r="288" spans="1:54" ht="102.75" customHeight="1">
      <c r="A288" s="428">
        <f t="shared" si="41"/>
        <v>280</v>
      </c>
      <c r="B288" s="294"/>
      <c r="C288" s="201"/>
      <c r="D288" s="290"/>
      <c r="E288" s="301"/>
      <c r="F288" s="301"/>
      <c r="G288" s="290"/>
      <c r="H288" s="291"/>
      <c r="I288" s="292"/>
      <c r="J288" s="61"/>
      <c r="K288" s="57"/>
      <c r="L288" s="303"/>
      <c r="M288" s="201"/>
      <c r="N288" s="84" t="str">
        <f>IF($AI288&lt;&gt;"",Master!$N$37,IF($AC288&lt;&gt;"",Master!$N$38,IF($S288&lt;&gt;"",Master!$N$39,IF($C288&lt;&gt;"",Master!$N$40,Master!$N$41))))</f>
        <v>起票</v>
      </c>
      <c r="O288" s="202" t="str">
        <f>IF($N288=Master!$N$37,MAX($S288,$AC288,$AI288),"")</f>
        <v/>
      </c>
      <c r="P288" s="65"/>
      <c r="Q288" s="203"/>
      <c r="R288" s="57"/>
      <c r="S288" s="203"/>
      <c r="T288" s="310"/>
      <c r="U288" s="289"/>
      <c r="V288" s="57"/>
      <c r="W288" s="288"/>
      <c r="X288" s="288"/>
      <c r="Y288" s="296"/>
      <c r="Z288" s="57"/>
      <c r="AA288" s="203"/>
      <c r="AB288" s="288"/>
      <c r="AC288" s="201"/>
      <c r="AD288" s="298"/>
      <c r="AE288" s="297"/>
      <c r="AF288" s="58"/>
      <c r="AG288" s="204"/>
      <c r="AH288" s="57"/>
      <c r="AI288" s="201"/>
      <c r="AJ288" s="287"/>
      <c r="AK288" s="452"/>
      <c r="AL288" s="59"/>
      <c r="AM288" s="60"/>
      <c r="AO288" s="137" t="e">
        <f t="shared" si="35"/>
        <v>#N/A</v>
      </c>
      <c r="AP288" s="138" t="e">
        <f t="shared" si="36"/>
        <v>#N/A</v>
      </c>
      <c r="AQ288" s="138" t="e">
        <f t="shared" si="37"/>
        <v>#N/A</v>
      </c>
      <c r="AR288" s="138" t="e">
        <f t="shared" si="38"/>
        <v>#N/A</v>
      </c>
      <c r="AS288" s="138" t="e">
        <f t="shared" si="39"/>
        <v>#N/A</v>
      </c>
      <c r="AT288" s="139" t="e">
        <f t="shared" si="40"/>
        <v>#N/A</v>
      </c>
      <c r="BB288" s="16" t="s">
        <v>596</v>
      </c>
    </row>
    <row r="289" spans="1:54" ht="102.75" customHeight="1">
      <c r="A289" s="428">
        <f t="shared" si="41"/>
        <v>281</v>
      </c>
      <c r="B289" s="294"/>
      <c r="C289" s="201"/>
      <c r="D289" s="290"/>
      <c r="E289" s="301"/>
      <c r="F289" s="301"/>
      <c r="G289" s="290"/>
      <c r="H289" s="291"/>
      <c r="I289" s="292"/>
      <c r="J289" s="61"/>
      <c r="K289" s="57"/>
      <c r="L289" s="303"/>
      <c r="M289" s="201"/>
      <c r="N289" s="84" t="str">
        <f>IF($AI289&lt;&gt;"",Master!$N$37,IF($AC289&lt;&gt;"",Master!$N$38,IF($S289&lt;&gt;"",Master!$N$39,IF($C289&lt;&gt;"",Master!$N$40,Master!$N$41))))</f>
        <v>起票</v>
      </c>
      <c r="O289" s="202" t="str">
        <f>IF($N289=Master!$N$37,MAX($S289,$AC289,$AI289),"")</f>
        <v/>
      </c>
      <c r="P289" s="65"/>
      <c r="Q289" s="203"/>
      <c r="R289" s="57"/>
      <c r="S289" s="203"/>
      <c r="T289" s="310"/>
      <c r="U289" s="289"/>
      <c r="V289" s="57"/>
      <c r="W289" s="288"/>
      <c r="X289" s="288"/>
      <c r="Y289" s="296"/>
      <c r="Z289" s="57"/>
      <c r="AA289" s="203"/>
      <c r="AB289" s="288"/>
      <c r="AC289" s="201"/>
      <c r="AD289" s="298"/>
      <c r="AE289" s="297"/>
      <c r="AF289" s="58"/>
      <c r="AG289" s="204"/>
      <c r="AH289" s="57"/>
      <c r="AI289" s="201"/>
      <c r="AJ289" s="287"/>
      <c r="AK289" s="452"/>
      <c r="AL289" s="59"/>
      <c r="AM289" s="60"/>
      <c r="AO289" s="137" t="e">
        <f t="shared" si="35"/>
        <v>#N/A</v>
      </c>
      <c r="AP289" s="138" t="e">
        <f t="shared" si="36"/>
        <v>#N/A</v>
      </c>
      <c r="AQ289" s="138" t="e">
        <f t="shared" si="37"/>
        <v>#N/A</v>
      </c>
      <c r="AR289" s="138" t="e">
        <f t="shared" si="38"/>
        <v>#N/A</v>
      </c>
      <c r="AS289" s="138" t="e">
        <f t="shared" si="39"/>
        <v>#N/A</v>
      </c>
      <c r="AT289" s="139" t="e">
        <f t="shared" si="40"/>
        <v>#N/A</v>
      </c>
      <c r="BB289" s="16" t="s">
        <v>596</v>
      </c>
    </row>
    <row r="290" spans="1:54" ht="102.75" customHeight="1">
      <c r="A290" s="428">
        <f t="shared" si="41"/>
        <v>282</v>
      </c>
      <c r="B290" s="294"/>
      <c r="C290" s="201"/>
      <c r="D290" s="290"/>
      <c r="E290" s="301"/>
      <c r="F290" s="301"/>
      <c r="G290" s="290"/>
      <c r="H290" s="291"/>
      <c r="I290" s="292"/>
      <c r="J290" s="61"/>
      <c r="K290" s="57"/>
      <c r="L290" s="303"/>
      <c r="M290" s="201"/>
      <c r="N290" s="84" t="str">
        <f>IF($AI290&lt;&gt;"",Master!$N$37,IF($AC290&lt;&gt;"",Master!$N$38,IF($S290&lt;&gt;"",Master!$N$39,IF($C290&lt;&gt;"",Master!$N$40,Master!$N$41))))</f>
        <v>起票</v>
      </c>
      <c r="O290" s="202" t="str">
        <f>IF($N290=Master!$N$37,MAX($S290,$AC290,$AI290),"")</f>
        <v/>
      </c>
      <c r="P290" s="65"/>
      <c r="Q290" s="203"/>
      <c r="R290" s="57"/>
      <c r="S290" s="203"/>
      <c r="T290" s="310"/>
      <c r="U290" s="289"/>
      <c r="V290" s="57"/>
      <c r="W290" s="288"/>
      <c r="X290" s="288"/>
      <c r="Y290" s="296"/>
      <c r="Z290" s="57"/>
      <c r="AA290" s="203"/>
      <c r="AB290" s="288"/>
      <c r="AC290" s="201"/>
      <c r="AD290" s="298"/>
      <c r="AE290" s="297"/>
      <c r="AF290" s="58"/>
      <c r="AG290" s="204"/>
      <c r="AH290" s="57"/>
      <c r="AI290" s="201"/>
      <c r="AJ290" s="287"/>
      <c r="AK290" s="452"/>
      <c r="AL290" s="59"/>
      <c r="AM290" s="60"/>
      <c r="AO290" s="137" t="e">
        <f t="shared" ref="AO290:AO443" si="42">IF(AND(C290&lt;&gt;"",C290&lt;=$AI$3),IF(E290="","",E290),NA())</f>
        <v>#N/A</v>
      </c>
      <c r="AP290" s="138" t="e">
        <f t="shared" ref="AP290:AP443" si="43">IF(AND(C290&lt;&gt;"",C290&lt;=$AI$3),IF(F290="","",F290),NA())</f>
        <v>#N/A</v>
      </c>
      <c r="AQ290" s="138" t="e">
        <f t="shared" ref="AQ290:AQ443" si="44">IF(AND(C290&lt;&gt;"",C290&lt;=$AI$3),IF(H290="","",H290),NA())</f>
        <v>#N/A</v>
      </c>
      <c r="AR290" s="138" t="e">
        <f t="shared" ref="AR290:AR443" si="45">IF(AND(C290&lt;&gt;"",C290&lt;=$AI$3),IF(U290="","",U290),NA())</f>
        <v>#N/A</v>
      </c>
      <c r="AS290" s="138" t="e">
        <f t="shared" ref="AS290:AS443" si="46">IF(AND(C290&lt;&gt;"",C290&lt;=$AI$3),IF(V290="","",V290),NA())</f>
        <v>#N/A</v>
      </c>
      <c r="AT290" s="139" t="e">
        <f t="shared" ref="AT290:AT443" si="47">IF(AND(C290&lt;&gt;"",C290&lt;=$AI$3),IF(AB290="","",AB290),NA())</f>
        <v>#N/A</v>
      </c>
      <c r="BB290" s="16" t="s">
        <v>596</v>
      </c>
    </row>
    <row r="291" spans="1:54" ht="102.75" customHeight="1">
      <c r="A291" s="428">
        <f t="shared" si="41"/>
        <v>283</v>
      </c>
      <c r="B291" s="294"/>
      <c r="C291" s="201"/>
      <c r="D291" s="290"/>
      <c r="E291" s="301"/>
      <c r="F291" s="301"/>
      <c r="G291" s="290"/>
      <c r="H291" s="291"/>
      <c r="I291" s="292"/>
      <c r="J291" s="61"/>
      <c r="K291" s="57"/>
      <c r="L291" s="303"/>
      <c r="M291" s="201"/>
      <c r="N291" s="84" t="str">
        <f>IF($AI291&lt;&gt;"",Master!$N$37,IF($AC291&lt;&gt;"",Master!$N$38,IF($S291&lt;&gt;"",Master!$N$39,IF($C291&lt;&gt;"",Master!$N$40,Master!$N$41))))</f>
        <v>起票</v>
      </c>
      <c r="O291" s="202" t="str">
        <f>IF($N291=Master!$N$37,MAX($S291,$AC291,$AI291),"")</f>
        <v/>
      </c>
      <c r="P291" s="65"/>
      <c r="Q291" s="203"/>
      <c r="R291" s="57"/>
      <c r="S291" s="203"/>
      <c r="T291" s="310"/>
      <c r="U291" s="289"/>
      <c r="V291" s="57"/>
      <c r="W291" s="288"/>
      <c r="X291" s="288"/>
      <c r="Y291" s="296"/>
      <c r="Z291" s="57"/>
      <c r="AA291" s="203"/>
      <c r="AB291" s="288"/>
      <c r="AC291" s="201"/>
      <c r="AD291" s="298"/>
      <c r="AE291" s="297"/>
      <c r="AF291" s="58"/>
      <c r="AG291" s="204"/>
      <c r="AH291" s="57"/>
      <c r="AI291" s="201"/>
      <c r="AJ291" s="287"/>
      <c r="AK291" s="452"/>
      <c r="AL291" s="59"/>
      <c r="AM291" s="60"/>
      <c r="AO291" s="137" t="e">
        <f t="shared" si="42"/>
        <v>#N/A</v>
      </c>
      <c r="AP291" s="138" t="e">
        <f t="shared" si="43"/>
        <v>#N/A</v>
      </c>
      <c r="AQ291" s="138" t="e">
        <f t="shared" si="44"/>
        <v>#N/A</v>
      </c>
      <c r="AR291" s="138" t="e">
        <f t="shared" si="45"/>
        <v>#N/A</v>
      </c>
      <c r="AS291" s="138" t="e">
        <f t="shared" si="46"/>
        <v>#N/A</v>
      </c>
      <c r="AT291" s="139" t="e">
        <f t="shared" si="47"/>
        <v>#N/A</v>
      </c>
      <c r="BB291" s="16" t="s">
        <v>596</v>
      </c>
    </row>
    <row r="292" spans="1:54" ht="102.75" customHeight="1">
      <c r="A292" s="428">
        <f t="shared" si="41"/>
        <v>284</v>
      </c>
      <c r="B292" s="294"/>
      <c r="C292" s="201"/>
      <c r="D292" s="290"/>
      <c r="E292" s="301"/>
      <c r="F292" s="301"/>
      <c r="G292" s="290"/>
      <c r="H292" s="291"/>
      <c r="I292" s="292"/>
      <c r="J292" s="61"/>
      <c r="K292" s="57"/>
      <c r="L292" s="303"/>
      <c r="M292" s="201"/>
      <c r="N292" s="84" t="str">
        <f>IF($AI292&lt;&gt;"",Master!$N$37,IF($AC292&lt;&gt;"",Master!$N$38,IF($S292&lt;&gt;"",Master!$N$39,IF($C292&lt;&gt;"",Master!$N$40,Master!$N$41))))</f>
        <v>起票</v>
      </c>
      <c r="O292" s="202" t="str">
        <f>IF($N292=Master!$N$37,MAX($S292,$AC292,$AI292),"")</f>
        <v/>
      </c>
      <c r="P292" s="65"/>
      <c r="Q292" s="203"/>
      <c r="R292" s="57"/>
      <c r="S292" s="203"/>
      <c r="T292" s="310"/>
      <c r="U292" s="289"/>
      <c r="V292" s="57"/>
      <c r="W292" s="288"/>
      <c r="X292" s="288"/>
      <c r="Y292" s="296"/>
      <c r="Z292" s="57"/>
      <c r="AA292" s="203"/>
      <c r="AB292" s="288"/>
      <c r="AC292" s="201"/>
      <c r="AD292" s="298"/>
      <c r="AE292" s="297"/>
      <c r="AF292" s="58"/>
      <c r="AG292" s="204"/>
      <c r="AH292" s="57"/>
      <c r="AI292" s="201"/>
      <c r="AJ292" s="287"/>
      <c r="AK292" s="452"/>
      <c r="AL292" s="59"/>
      <c r="AM292" s="60"/>
      <c r="AO292" s="137" t="e">
        <f t="shared" si="42"/>
        <v>#N/A</v>
      </c>
      <c r="AP292" s="138" t="e">
        <f t="shared" si="43"/>
        <v>#N/A</v>
      </c>
      <c r="AQ292" s="138" t="e">
        <f t="shared" si="44"/>
        <v>#N/A</v>
      </c>
      <c r="AR292" s="138" t="e">
        <f t="shared" si="45"/>
        <v>#N/A</v>
      </c>
      <c r="AS292" s="138" t="e">
        <f t="shared" si="46"/>
        <v>#N/A</v>
      </c>
      <c r="AT292" s="139" t="e">
        <f t="shared" si="47"/>
        <v>#N/A</v>
      </c>
      <c r="BB292" s="16" t="s">
        <v>596</v>
      </c>
    </row>
    <row r="293" spans="1:54" ht="102.75" customHeight="1">
      <c r="A293" s="428">
        <f t="shared" si="41"/>
        <v>285</v>
      </c>
      <c r="B293" s="294"/>
      <c r="C293" s="201"/>
      <c r="D293" s="290"/>
      <c r="E293" s="301"/>
      <c r="F293" s="301"/>
      <c r="G293" s="290"/>
      <c r="H293" s="291"/>
      <c r="I293" s="292"/>
      <c r="J293" s="61"/>
      <c r="K293" s="57"/>
      <c r="L293" s="303"/>
      <c r="M293" s="201"/>
      <c r="N293" s="84" t="str">
        <f>IF($AI293&lt;&gt;"",Master!$N$37,IF($AC293&lt;&gt;"",Master!$N$38,IF($S293&lt;&gt;"",Master!$N$39,IF($C293&lt;&gt;"",Master!$N$40,Master!$N$41))))</f>
        <v>起票</v>
      </c>
      <c r="O293" s="202" t="str">
        <f>IF($N293=Master!$N$37,MAX($S293,$AC293,$AI293),"")</f>
        <v/>
      </c>
      <c r="P293" s="65"/>
      <c r="Q293" s="203"/>
      <c r="R293" s="57"/>
      <c r="S293" s="203"/>
      <c r="T293" s="310"/>
      <c r="U293" s="289"/>
      <c r="V293" s="57"/>
      <c r="W293" s="288"/>
      <c r="X293" s="288"/>
      <c r="Y293" s="296"/>
      <c r="Z293" s="57"/>
      <c r="AA293" s="203"/>
      <c r="AB293" s="288"/>
      <c r="AC293" s="201"/>
      <c r="AD293" s="298"/>
      <c r="AE293" s="297"/>
      <c r="AF293" s="58"/>
      <c r="AG293" s="204"/>
      <c r="AH293" s="57"/>
      <c r="AI293" s="201"/>
      <c r="AJ293" s="287"/>
      <c r="AK293" s="452"/>
      <c r="AL293" s="59"/>
      <c r="AM293" s="60"/>
      <c r="AO293" s="137" t="e">
        <f t="shared" si="42"/>
        <v>#N/A</v>
      </c>
      <c r="AP293" s="138" t="e">
        <f t="shared" si="43"/>
        <v>#N/A</v>
      </c>
      <c r="AQ293" s="138" t="e">
        <f t="shared" si="44"/>
        <v>#N/A</v>
      </c>
      <c r="AR293" s="138" t="e">
        <f t="shared" si="45"/>
        <v>#N/A</v>
      </c>
      <c r="AS293" s="138" t="e">
        <f t="shared" si="46"/>
        <v>#N/A</v>
      </c>
      <c r="AT293" s="139" t="e">
        <f t="shared" si="47"/>
        <v>#N/A</v>
      </c>
      <c r="BB293" s="16" t="s">
        <v>596</v>
      </c>
    </row>
    <row r="294" spans="1:54" ht="102.75" customHeight="1">
      <c r="A294" s="428">
        <f t="shared" si="41"/>
        <v>286</v>
      </c>
      <c r="B294" s="294"/>
      <c r="C294" s="201"/>
      <c r="D294" s="290"/>
      <c r="E294" s="301"/>
      <c r="F294" s="301"/>
      <c r="G294" s="290"/>
      <c r="H294" s="291"/>
      <c r="I294" s="292"/>
      <c r="J294" s="61"/>
      <c r="K294" s="57"/>
      <c r="L294" s="303"/>
      <c r="M294" s="201"/>
      <c r="N294" s="84" t="str">
        <f>IF($AI294&lt;&gt;"",Master!$N$37,IF($AC294&lt;&gt;"",Master!$N$38,IF($S294&lt;&gt;"",Master!$N$39,IF($C294&lt;&gt;"",Master!$N$40,Master!$N$41))))</f>
        <v>起票</v>
      </c>
      <c r="O294" s="202" t="str">
        <f>IF($N294=Master!$N$37,MAX($S294,$AC294,$AI294),"")</f>
        <v/>
      </c>
      <c r="P294" s="65"/>
      <c r="Q294" s="203"/>
      <c r="R294" s="57"/>
      <c r="S294" s="203"/>
      <c r="T294" s="310"/>
      <c r="U294" s="289"/>
      <c r="V294" s="57"/>
      <c r="W294" s="288"/>
      <c r="X294" s="288"/>
      <c r="Y294" s="296"/>
      <c r="Z294" s="57"/>
      <c r="AA294" s="203"/>
      <c r="AB294" s="288"/>
      <c r="AC294" s="201"/>
      <c r="AD294" s="298"/>
      <c r="AE294" s="297"/>
      <c r="AF294" s="58"/>
      <c r="AG294" s="204"/>
      <c r="AH294" s="57"/>
      <c r="AI294" s="201"/>
      <c r="AJ294" s="287"/>
      <c r="AK294" s="452"/>
      <c r="AL294" s="59"/>
      <c r="AM294" s="60"/>
      <c r="AO294" s="137" t="e">
        <f t="shared" si="42"/>
        <v>#N/A</v>
      </c>
      <c r="AP294" s="138" t="e">
        <f t="shared" si="43"/>
        <v>#N/A</v>
      </c>
      <c r="AQ294" s="138" t="e">
        <f t="shared" si="44"/>
        <v>#N/A</v>
      </c>
      <c r="AR294" s="138" t="e">
        <f t="shared" si="45"/>
        <v>#N/A</v>
      </c>
      <c r="AS294" s="138" t="e">
        <f t="shared" si="46"/>
        <v>#N/A</v>
      </c>
      <c r="AT294" s="139" t="e">
        <f t="shared" si="47"/>
        <v>#N/A</v>
      </c>
      <c r="BB294" s="16" t="s">
        <v>596</v>
      </c>
    </row>
    <row r="295" spans="1:54" ht="102.75" customHeight="1">
      <c r="A295" s="428">
        <f t="shared" si="41"/>
        <v>287</v>
      </c>
      <c r="B295" s="403"/>
      <c r="C295" s="404"/>
      <c r="D295" s="405"/>
      <c r="E295" s="405"/>
      <c r="F295" s="405"/>
      <c r="G295" s="405"/>
      <c r="H295" s="406"/>
      <c r="I295" s="407"/>
      <c r="J295" s="408"/>
      <c r="K295" s="409"/>
      <c r="L295" s="410"/>
      <c r="M295" s="404"/>
      <c r="N295" s="411" t="str">
        <f>IF($AI295&lt;&gt;"",Master!$N$37,IF($AC295&lt;&gt;"",Master!$N$38,IF($S295&lt;&gt;"",Master!$N$39,IF($C295&lt;&gt;"",Master!$N$40,Master!$N$41))))</f>
        <v>起票</v>
      </c>
      <c r="O295" s="412" t="str">
        <f>IF($N295=Master!$N$37,MAX($S295,$AC295,$AI295),"")</f>
        <v/>
      </c>
      <c r="P295" s="413"/>
      <c r="Q295" s="414"/>
      <c r="R295" s="409"/>
      <c r="S295" s="404"/>
      <c r="T295" s="418"/>
      <c r="U295" s="415"/>
      <c r="V295" s="409"/>
      <c r="W295" s="419"/>
      <c r="X295" s="419"/>
      <c r="Y295" s="416"/>
      <c r="Z295" s="417"/>
      <c r="AA295" s="418"/>
      <c r="AB295" s="419"/>
      <c r="AC295" s="404"/>
      <c r="AD295" s="404"/>
      <c r="AE295" s="420"/>
      <c r="AF295" s="421"/>
      <c r="AG295" s="418"/>
      <c r="AH295" s="409"/>
      <c r="AI295" s="404"/>
      <c r="AJ295" s="416"/>
      <c r="AK295" s="453"/>
      <c r="AL295" s="422"/>
      <c r="AM295" s="423"/>
      <c r="AO295" s="137" t="e">
        <f t="shared" si="42"/>
        <v>#N/A</v>
      </c>
      <c r="AP295" s="138" t="e">
        <f t="shared" si="43"/>
        <v>#N/A</v>
      </c>
      <c r="AQ295" s="138" t="e">
        <f t="shared" si="44"/>
        <v>#N/A</v>
      </c>
      <c r="AR295" s="138" t="e">
        <f t="shared" si="45"/>
        <v>#N/A</v>
      </c>
      <c r="AS295" s="138" t="e">
        <f t="shared" si="46"/>
        <v>#N/A</v>
      </c>
      <c r="AT295" s="139" t="e">
        <f t="shared" si="47"/>
        <v>#N/A</v>
      </c>
      <c r="BB295" s="16" t="s">
        <v>596</v>
      </c>
    </row>
    <row r="296" spans="1:54" ht="102.75" customHeight="1">
      <c r="A296" s="428">
        <f t="shared" si="41"/>
        <v>288</v>
      </c>
      <c r="B296" s="403"/>
      <c r="C296" s="404"/>
      <c r="D296" s="405"/>
      <c r="E296" s="405"/>
      <c r="F296" s="405"/>
      <c r="G296" s="405"/>
      <c r="H296" s="406"/>
      <c r="I296" s="407"/>
      <c r="J296" s="408"/>
      <c r="K296" s="409"/>
      <c r="L296" s="410"/>
      <c r="M296" s="404"/>
      <c r="N296" s="411" t="str">
        <f>IF($AI296&lt;&gt;"",Master!$N$37,IF($AC296&lt;&gt;"",Master!$N$38,IF($S296&lt;&gt;"",Master!$N$39,IF($C296&lt;&gt;"",Master!$N$40,Master!$N$41))))</f>
        <v>起票</v>
      </c>
      <c r="O296" s="412" t="str">
        <f>IF($N296=Master!$N$37,MAX($S296,$AC296,$AI296),"")</f>
        <v/>
      </c>
      <c r="P296" s="413"/>
      <c r="Q296" s="414"/>
      <c r="R296" s="409"/>
      <c r="S296" s="404"/>
      <c r="T296" s="418"/>
      <c r="U296" s="415"/>
      <c r="V296" s="409"/>
      <c r="W296" s="419"/>
      <c r="X296" s="419"/>
      <c r="Y296" s="416"/>
      <c r="Z296" s="417"/>
      <c r="AA296" s="418"/>
      <c r="AB296" s="419"/>
      <c r="AC296" s="404"/>
      <c r="AD296" s="404"/>
      <c r="AE296" s="420"/>
      <c r="AF296" s="421"/>
      <c r="AG296" s="418"/>
      <c r="AH296" s="409"/>
      <c r="AI296" s="404"/>
      <c r="AJ296" s="416"/>
      <c r="AK296" s="453"/>
      <c r="AL296" s="422"/>
      <c r="AM296" s="423"/>
      <c r="AO296" s="137" t="e">
        <f t="shared" si="42"/>
        <v>#N/A</v>
      </c>
      <c r="AP296" s="138" t="e">
        <f t="shared" si="43"/>
        <v>#N/A</v>
      </c>
      <c r="AQ296" s="138" t="e">
        <f t="shared" si="44"/>
        <v>#N/A</v>
      </c>
      <c r="AR296" s="138" t="e">
        <f t="shared" si="45"/>
        <v>#N/A</v>
      </c>
      <c r="AS296" s="138" t="e">
        <f t="shared" si="46"/>
        <v>#N/A</v>
      </c>
      <c r="AT296" s="139" t="e">
        <f t="shared" si="47"/>
        <v>#N/A</v>
      </c>
      <c r="BB296" s="16" t="s">
        <v>596</v>
      </c>
    </row>
    <row r="297" spans="1:54" ht="102.75" customHeight="1">
      <c r="A297" s="428">
        <f t="shared" si="41"/>
        <v>289</v>
      </c>
      <c r="B297" s="403"/>
      <c r="C297" s="404"/>
      <c r="D297" s="405"/>
      <c r="E297" s="405"/>
      <c r="F297" s="405"/>
      <c r="G297" s="405"/>
      <c r="H297" s="406"/>
      <c r="I297" s="407"/>
      <c r="J297" s="408"/>
      <c r="K297" s="409"/>
      <c r="L297" s="410"/>
      <c r="M297" s="404"/>
      <c r="N297" s="411" t="str">
        <f>IF($AI297&lt;&gt;"",Master!$N$37,IF($AC297&lt;&gt;"",Master!$N$38,IF($S297&lt;&gt;"",Master!$N$39,IF($C297&lt;&gt;"",Master!$N$40,Master!$N$41))))</f>
        <v>起票</v>
      </c>
      <c r="O297" s="412" t="str">
        <f>IF($N297=Master!$N$37,MAX($S297,$AC297,$AI297),"")</f>
        <v/>
      </c>
      <c r="P297" s="413"/>
      <c r="Q297" s="414"/>
      <c r="R297" s="409"/>
      <c r="S297" s="404"/>
      <c r="T297" s="418"/>
      <c r="U297" s="415"/>
      <c r="V297" s="409"/>
      <c r="W297" s="419"/>
      <c r="X297" s="419"/>
      <c r="Y297" s="416"/>
      <c r="Z297" s="417"/>
      <c r="AA297" s="418"/>
      <c r="AB297" s="419"/>
      <c r="AC297" s="404"/>
      <c r="AD297" s="404"/>
      <c r="AE297" s="420"/>
      <c r="AF297" s="421"/>
      <c r="AG297" s="418"/>
      <c r="AH297" s="409"/>
      <c r="AI297" s="404"/>
      <c r="AJ297" s="416"/>
      <c r="AK297" s="453"/>
      <c r="AL297" s="422"/>
      <c r="AM297" s="423"/>
      <c r="AO297" s="137" t="e">
        <f t="shared" si="42"/>
        <v>#N/A</v>
      </c>
      <c r="AP297" s="138" t="e">
        <f t="shared" si="43"/>
        <v>#N/A</v>
      </c>
      <c r="AQ297" s="138" t="e">
        <f t="shared" si="44"/>
        <v>#N/A</v>
      </c>
      <c r="AR297" s="138" t="e">
        <f t="shared" si="45"/>
        <v>#N/A</v>
      </c>
      <c r="AS297" s="138" t="e">
        <f t="shared" si="46"/>
        <v>#N/A</v>
      </c>
      <c r="AT297" s="139" t="e">
        <f t="shared" si="47"/>
        <v>#N/A</v>
      </c>
      <c r="BB297" s="16" t="s">
        <v>596</v>
      </c>
    </row>
    <row r="298" spans="1:54" ht="102.75" customHeight="1">
      <c r="A298" s="428">
        <f t="shared" si="41"/>
        <v>290</v>
      </c>
      <c r="B298" s="294"/>
      <c r="C298" s="201"/>
      <c r="D298" s="290"/>
      <c r="E298" s="301"/>
      <c r="F298" s="301"/>
      <c r="G298" s="290"/>
      <c r="H298" s="291"/>
      <c r="I298" s="292"/>
      <c r="J298" s="61"/>
      <c r="K298" s="57"/>
      <c r="L298" s="303"/>
      <c r="M298" s="201"/>
      <c r="N298" s="84" t="str">
        <f>IF($AI298&lt;&gt;"",Master!$N$37,IF($AC298&lt;&gt;"",Master!$N$38,IF($S298&lt;&gt;"",Master!$N$39,IF($C298&lt;&gt;"",Master!$N$40,Master!$N$41))))</f>
        <v>起票</v>
      </c>
      <c r="O298" s="202" t="str">
        <f>IF($N298=Master!$N$37,MAX($S298,$AC298,$AI298),"")</f>
        <v/>
      </c>
      <c r="P298" s="65"/>
      <c r="Q298" s="203"/>
      <c r="R298" s="57"/>
      <c r="S298" s="203"/>
      <c r="T298" s="310"/>
      <c r="U298" s="289"/>
      <c r="V298" s="57"/>
      <c r="W298" s="288"/>
      <c r="X298" s="288"/>
      <c r="Y298" s="296"/>
      <c r="Z298" s="57"/>
      <c r="AA298" s="203"/>
      <c r="AB298" s="288"/>
      <c r="AC298" s="201"/>
      <c r="AD298" s="298"/>
      <c r="AE298" s="297"/>
      <c r="AF298" s="58"/>
      <c r="AG298" s="204"/>
      <c r="AH298" s="57"/>
      <c r="AI298" s="201"/>
      <c r="AJ298" s="287"/>
      <c r="AK298" s="452"/>
      <c r="AL298" s="59"/>
      <c r="AM298" s="60"/>
      <c r="AO298" s="137" t="e">
        <f t="shared" si="42"/>
        <v>#N/A</v>
      </c>
      <c r="AP298" s="138" t="e">
        <f t="shared" si="43"/>
        <v>#N/A</v>
      </c>
      <c r="AQ298" s="138" t="e">
        <f t="shared" si="44"/>
        <v>#N/A</v>
      </c>
      <c r="AR298" s="138" t="e">
        <f t="shared" si="45"/>
        <v>#N/A</v>
      </c>
      <c r="AS298" s="138" t="e">
        <f t="shared" si="46"/>
        <v>#N/A</v>
      </c>
      <c r="AT298" s="139" t="e">
        <f t="shared" si="47"/>
        <v>#N/A</v>
      </c>
      <c r="BB298" s="16" t="s">
        <v>596</v>
      </c>
    </row>
    <row r="299" spans="1:54" ht="102.75" customHeight="1">
      <c r="A299" s="428">
        <f t="shared" si="41"/>
        <v>291</v>
      </c>
      <c r="B299" s="294"/>
      <c r="C299" s="201"/>
      <c r="D299" s="290"/>
      <c r="E299" s="301"/>
      <c r="F299" s="301"/>
      <c r="G299" s="290"/>
      <c r="H299" s="291"/>
      <c r="I299" s="292"/>
      <c r="J299" s="61"/>
      <c r="K299" s="57"/>
      <c r="L299" s="303"/>
      <c r="M299" s="201"/>
      <c r="N299" s="84" t="str">
        <f>IF($AI299&lt;&gt;"",Master!$N$37,IF($AC299&lt;&gt;"",Master!$N$38,IF($S299&lt;&gt;"",Master!$N$39,IF($C299&lt;&gt;"",Master!$N$40,Master!$N$41))))</f>
        <v>起票</v>
      </c>
      <c r="O299" s="202" t="str">
        <f>IF($N299=Master!$N$37,MAX($S299,$AC299,$AI299),"")</f>
        <v/>
      </c>
      <c r="P299" s="65"/>
      <c r="Q299" s="203"/>
      <c r="R299" s="57"/>
      <c r="S299" s="203"/>
      <c r="T299" s="310"/>
      <c r="U299" s="289"/>
      <c r="V299" s="57"/>
      <c r="W299" s="288"/>
      <c r="X299" s="288"/>
      <c r="Y299" s="296"/>
      <c r="Z299" s="57"/>
      <c r="AA299" s="203"/>
      <c r="AB299" s="288"/>
      <c r="AC299" s="201"/>
      <c r="AD299" s="298"/>
      <c r="AE299" s="297"/>
      <c r="AF299" s="58"/>
      <c r="AG299" s="204"/>
      <c r="AH299" s="57"/>
      <c r="AI299" s="201"/>
      <c r="AJ299" s="287"/>
      <c r="AK299" s="452"/>
      <c r="AL299" s="59"/>
      <c r="AM299" s="60"/>
      <c r="AO299" s="137" t="e">
        <f t="shared" si="42"/>
        <v>#N/A</v>
      </c>
      <c r="AP299" s="138" t="e">
        <f t="shared" si="43"/>
        <v>#N/A</v>
      </c>
      <c r="AQ299" s="138" t="e">
        <f t="shared" si="44"/>
        <v>#N/A</v>
      </c>
      <c r="AR299" s="138" t="e">
        <f t="shared" si="45"/>
        <v>#N/A</v>
      </c>
      <c r="AS299" s="138" t="e">
        <f t="shared" si="46"/>
        <v>#N/A</v>
      </c>
      <c r="AT299" s="139" t="e">
        <f t="shared" si="47"/>
        <v>#N/A</v>
      </c>
      <c r="BB299" s="16" t="s">
        <v>596</v>
      </c>
    </row>
    <row r="300" spans="1:54" ht="102.75" customHeight="1">
      <c r="A300" s="428">
        <f t="shared" si="41"/>
        <v>292</v>
      </c>
      <c r="B300" s="403"/>
      <c r="C300" s="404"/>
      <c r="D300" s="405"/>
      <c r="E300" s="405"/>
      <c r="F300" s="405"/>
      <c r="G300" s="405"/>
      <c r="H300" s="406"/>
      <c r="I300" s="407"/>
      <c r="J300" s="408"/>
      <c r="K300" s="409"/>
      <c r="L300" s="410"/>
      <c r="M300" s="404"/>
      <c r="N300" s="411" t="str">
        <f>IF($AI300&lt;&gt;"",Master!$N$37,IF($AC300&lt;&gt;"",Master!$N$38,IF($S300&lt;&gt;"",Master!$N$39,IF($C300&lt;&gt;"",Master!$N$40,Master!$N$41))))</f>
        <v>起票</v>
      </c>
      <c r="O300" s="412" t="str">
        <f>IF($N300=Master!$N$37,MAX($S300,$AC300,$AI300),"")</f>
        <v/>
      </c>
      <c r="P300" s="413"/>
      <c r="Q300" s="414"/>
      <c r="R300" s="409"/>
      <c r="S300" s="404"/>
      <c r="T300" s="418"/>
      <c r="U300" s="415"/>
      <c r="V300" s="409"/>
      <c r="W300" s="419"/>
      <c r="X300" s="419"/>
      <c r="Y300" s="416"/>
      <c r="Z300" s="417"/>
      <c r="AA300" s="418"/>
      <c r="AB300" s="419"/>
      <c r="AC300" s="404"/>
      <c r="AD300" s="404"/>
      <c r="AE300" s="420"/>
      <c r="AF300" s="421"/>
      <c r="AG300" s="418"/>
      <c r="AH300" s="409"/>
      <c r="AI300" s="404"/>
      <c r="AJ300" s="416"/>
      <c r="AK300" s="453"/>
      <c r="AL300" s="422"/>
      <c r="AM300" s="423"/>
      <c r="AO300" s="137" t="e">
        <f t="shared" si="42"/>
        <v>#N/A</v>
      </c>
      <c r="AP300" s="138" t="e">
        <f t="shared" si="43"/>
        <v>#N/A</v>
      </c>
      <c r="AQ300" s="138" t="e">
        <f t="shared" si="44"/>
        <v>#N/A</v>
      </c>
      <c r="AR300" s="138" t="e">
        <f t="shared" si="45"/>
        <v>#N/A</v>
      </c>
      <c r="AS300" s="138" t="e">
        <f t="shared" si="46"/>
        <v>#N/A</v>
      </c>
      <c r="AT300" s="139" t="e">
        <f t="shared" si="47"/>
        <v>#N/A</v>
      </c>
      <c r="BB300" s="16" t="s">
        <v>596</v>
      </c>
    </row>
    <row r="301" spans="1:54" ht="102.75" customHeight="1">
      <c r="A301" s="428">
        <f t="shared" si="41"/>
        <v>293</v>
      </c>
      <c r="B301" s="403"/>
      <c r="C301" s="404"/>
      <c r="D301" s="405"/>
      <c r="E301" s="405"/>
      <c r="F301" s="405"/>
      <c r="G301" s="405"/>
      <c r="H301" s="406"/>
      <c r="I301" s="407"/>
      <c r="J301" s="408"/>
      <c r="K301" s="409"/>
      <c r="L301" s="410"/>
      <c r="M301" s="404"/>
      <c r="N301" s="411" t="str">
        <f>IF($AI301&lt;&gt;"",Master!$N$37,IF($AC301&lt;&gt;"",Master!$N$38,IF($S301&lt;&gt;"",Master!$N$39,IF($C301&lt;&gt;"",Master!$N$40,Master!$N$41))))</f>
        <v>起票</v>
      </c>
      <c r="O301" s="412" t="str">
        <f>IF($N301=Master!$N$37,MAX($S301,$AC301,$AI301),"")</f>
        <v/>
      </c>
      <c r="P301" s="413"/>
      <c r="Q301" s="414"/>
      <c r="R301" s="409"/>
      <c r="S301" s="404"/>
      <c r="T301" s="418"/>
      <c r="U301" s="415"/>
      <c r="V301" s="409"/>
      <c r="W301" s="419"/>
      <c r="X301" s="419"/>
      <c r="Y301" s="416"/>
      <c r="Z301" s="417"/>
      <c r="AA301" s="418"/>
      <c r="AB301" s="419"/>
      <c r="AC301" s="404"/>
      <c r="AD301" s="404"/>
      <c r="AE301" s="420"/>
      <c r="AF301" s="421"/>
      <c r="AG301" s="418"/>
      <c r="AH301" s="409"/>
      <c r="AI301" s="404"/>
      <c r="AJ301" s="416"/>
      <c r="AK301" s="453"/>
      <c r="AL301" s="422"/>
      <c r="AM301" s="423"/>
      <c r="AO301" s="137" t="e">
        <f t="shared" si="42"/>
        <v>#N/A</v>
      </c>
      <c r="AP301" s="138" t="e">
        <f t="shared" si="43"/>
        <v>#N/A</v>
      </c>
      <c r="AQ301" s="138" t="e">
        <f t="shared" si="44"/>
        <v>#N/A</v>
      </c>
      <c r="AR301" s="138" t="e">
        <f t="shared" si="45"/>
        <v>#N/A</v>
      </c>
      <c r="AS301" s="138" t="e">
        <f t="shared" si="46"/>
        <v>#N/A</v>
      </c>
      <c r="AT301" s="139" t="e">
        <f t="shared" si="47"/>
        <v>#N/A</v>
      </c>
      <c r="BB301" s="16" t="s">
        <v>596</v>
      </c>
    </row>
    <row r="302" spans="1:54" ht="102.75" customHeight="1">
      <c r="A302" s="428">
        <f t="shared" si="41"/>
        <v>294</v>
      </c>
      <c r="B302" s="403"/>
      <c r="C302" s="404"/>
      <c r="D302" s="405"/>
      <c r="E302" s="405"/>
      <c r="F302" s="405"/>
      <c r="G302" s="405"/>
      <c r="H302" s="406"/>
      <c r="I302" s="407"/>
      <c r="J302" s="408"/>
      <c r="K302" s="409"/>
      <c r="L302" s="410"/>
      <c r="M302" s="404"/>
      <c r="N302" s="411" t="str">
        <f>IF($AI302&lt;&gt;"",Master!$N$37,IF($AC302&lt;&gt;"",Master!$N$38,IF($S302&lt;&gt;"",Master!$N$39,IF($C302&lt;&gt;"",Master!$N$40,Master!$N$41))))</f>
        <v>起票</v>
      </c>
      <c r="O302" s="412" t="str">
        <f>IF($N302=Master!$N$37,MAX($S302,$AC302,$AI302),"")</f>
        <v/>
      </c>
      <c r="P302" s="413"/>
      <c r="Q302" s="414"/>
      <c r="R302" s="409"/>
      <c r="S302" s="404"/>
      <c r="T302" s="418"/>
      <c r="U302" s="415"/>
      <c r="V302" s="409"/>
      <c r="W302" s="419"/>
      <c r="X302" s="419"/>
      <c r="Y302" s="416"/>
      <c r="Z302" s="417"/>
      <c r="AA302" s="418"/>
      <c r="AB302" s="419"/>
      <c r="AC302" s="404"/>
      <c r="AD302" s="404"/>
      <c r="AE302" s="420"/>
      <c r="AF302" s="421"/>
      <c r="AG302" s="418"/>
      <c r="AH302" s="409"/>
      <c r="AI302" s="404"/>
      <c r="AJ302" s="416"/>
      <c r="AK302" s="453"/>
      <c r="AL302" s="422"/>
      <c r="AM302" s="423"/>
      <c r="AO302" s="137" t="e">
        <f t="shared" si="42"/>
        <v>#N/A</v>
      </c>
      <c r="AP302" s="138" t="e">
        <f t="shared" si="43"/>
        <v>#N/A</v>
      </c>
      <c r="AQ302" s="138" t="e">
        <f t="shared" si="44"/>
        <v>#N/A</v>
      </c>
      <c r="AR302" s="138" t="e">
        <f t="shared" si="45"/>
        <v>#N/A</v>
      </c>
      <c r="AS302" s="138" t="e">
        <f t="shared" si="46"/>
        <v>#N/A</v>
      </c>
      <c r="AT302" s="139" t="e">
        <f t="shared" si="47"/>
        <v>#N/A</v>
      </c>
      <c r="BB302" s="16" t="s">
        <v>596</v>
      </c>
    </row>
    <row r="303" spans="1:54" ht="102.75" customHeight="1">
      <c r="A303" s="428">
        <f t="shared" si="41"/>
        <v>295</v>
      </c>
      <c r="B303" s="294"/>
      <c r="C303" s="201"/>
      <c r="D303" s="290"/>
      <c r="E303" s="301"/>
      <c r="F303" s="301"/>
      <c r="G303" s="290"/>
      <c r="H303" s="291"/>
      <c r="I303" s="292"/>
      <c r="J303" s="61"/>
      <c r="K303" s="57"/>
      <c r="L303" s="303"/>
      <c r="M303" s="201"/>
      <c r="N303" s="84" t="str">
        <f>IF($AI303&lt;&gt;"",Master!$N$37,IF($AC303&lt;&gt;"",Master!$N$38,IF($S303&lt;&gt;"",Master!$N$39,IF($C303&lt;&gt;"",Master!$N$40,Master!$N$41))))</f>
        <v>起票</v>
      </c>
      <c r="O303" s="202" t="str">
        <f>IF($N303=Master!$N$37,MAX($S303,$AC303,$AI303),"")</f>
        <v/>
      </c>
      <c r="P303" s="65"/>
      <c r="Q303" s="203"/>
      <c r="R303" s="57"/>
      <c r="S303" s="203"/>
      <c r="T303" s="310"/>
      <c r="U303" s="289"/>
      <c r="V303" s="57"/>
      <c r="W303" s="288"/>
      <c r="X303" s="288"/>
      <c r="Y303" s="296"/>
      <c r="Z303" s="57"/>
      <c r="AA303" s="203"/>
      <c r="AB303" s="288"/>
      <c r="AC303" s="201"/>
      <c r="AD303" s="298"/>
      <c r="AE303" s="297"/>
      <c r="AF303" s="58"/>
      <c r="AG303" s="204"/>
      <c r="AH303" s="57"/>
      <c r="AI303" s="201"/>
      <c r="AJ303" s="287"/>
      <c r="AK303" s="452"/>
      <c r="AL303" s="59"/>
      <c r="AM303" s="60"/>
      <c r="AO303" s="137" t="e">
        <f t="shared" si="42"/>
        <v>#N/A</v>
      </c>
      <c r="AP303" s="138" t="e">
        <f t="shared" si="43"/>
        <v>#N/A</v>
      </c>
      <c r="AQ303" s="138" t="e">
        <f t="shared" si="44"/>
        <v>#N/A</v>
      </c>
      <c r="AR303" s="138" t="e">
        <f t="shared" si="45"/>
        <v>#N/A</v>
      </c>
      <c r="AS303" s="138" t="e">
        <f t="shared" si="46"/>
        <v>#N/A</v>
      </c>
      <c r="AT303" s="139" t="e">
        <f t="shared" si="47"/>
        <v>#N/A</v>
      </c>
      <c r="BB303" s="16" t="s">
        <v>596</v>
      </c>
    </row>
    <row r="304" spans="1:54" ht="102.75" customHeight="1">
      <c r="A304" s="428">
        <f t="shared" si="41"/>
        <v>296</v>
      </c>
      <c r="B304" s="294"/>
      <c r="C304" s="201"/>
      <c r="D304" s="290"/>
      <c r="E304" s="301"/>
      <c r="F304" s="301"/>
      <c r="G304" s="290"/>
      <c r="H304" s="291"/>
      <c r="I304" s="292"/>
      <c r="J304" s="61"/>
      <c r="K304" s="57"/>
      <c r="L304" s="303"/>
      <c r="M304" s="201"/>
      <c r="N304" s="84" t="str">
        <f>IF($AI304&lt;&gt;"",Master!$N$37,IF($AC304&lt;&gt;"",Master!$N$38,IF($S304&lt;&gt;"",Master!$N$39,IF($C304&lt;&gt;"",Master!$N$40,Master!$N$41))))</f>
        <v>起票</v>
      </c>
      <c r="O304" s="202" t="str">
        <f>IF($N304=Master!$N$37,MAX($S304,$AC304,$AI304),"")</f>
        <v/>
      </c>
      <c r="P304" s="65"/>
      <c r="Q304" s="203"/>
      <c r="R304" s="57"/>
      <c r="S304" s="203"/>
      <c r="T304" s="310"/>
      <c r="U304" s="289"/>
      <c r="V304" s="57"/>
      <c r="W304" s="288"/>
      <c r="X304" s="288"/>
      <c r="Y304" s="296"/>
      <c r="Z304" s="57"/>
      <c r="AA304" s="203"/>
      <c r="AB304" s="288"/>
      <c r="AC304" s="201"/>
      <c r="AD304" s="298"/>
      <c r="AE304" s="297"/>
      <c r="AF304" s="58"/>
      <c r="AG304" s="204"/>
      <c r="AH304" s="57"/>
      <c r="AI304" s="201"/>
      <c r="AJ304" s="287"/>
      <c r="AK304" s="452"/>
      <c r="AL304" s="59"/>
      <c r="AM304" s="60"/>
      <c r="AO304" s="137" t="e">
        <f t="shared" si="42"/>
        <v>#N/A</v>
      </c>
      <c r="AP304" s="138" t="e">
        <f t="shared" si="43"/>
        <v>#N/A</v>
      </c>
      <c r="AQ304" s="138" t="e">
        <f t="shared" si="44"/>
        <v>#N/A</v>
      </c>
      <c r="AR304" s="138" t="e">
        <f t="shared" si="45"/>
        <v>#N/A</v>
      </c>
      <c r="AS304" s="138" t="e">
        <f t="shared" si="46"/>
        <v>#N/A</v>
      </c>
      <c r="AT304" s="139" t="e">
        <f t="shared" si="47"/>
        <v>#N/A</v>
      </c>
      <c r="BB304" s="16" t="s">
        <v>596</v>
      </c>
    </row>
    <row r="305" spans="1:54" ht="102.75" customHeight="1">
      <c r="A305" s="428">
        <f t="shared" si="41"/>
        <v>297</v>
      </c>
      <c r="B305" s="294"/>
      <c r="C305" s="201"/>
      <c r="D305" s="290"/>
      <c r="E305" s="301"/>
      <c r="F305" s="301"/>
      <c r="G305" s="290"/>
      <c r="H305" s="291"/>
      <c r="I305" s="292"/>
      <c r="J305" s="61"/>
      <c r="K305" s="57"/>
      <c r="L305" s="303"/>
      <c r="M305" s="201"/>
      <c r="N305" s="84" t="str">
        <f>IF($AI305&lt;&gt;"",Master!$N$37,IF($AC305&lt;&gt;"",Master!$N$38,IF($S305&lt;&gt;"",Master!$N$39,IF($C305&lt;&gt;"",Master!$N$40,Master!$N$41))))</f>
        <v>起票</v>
      </c>
      <c r="O305" s="202" t="str">
        <f>IF($N305=Master!$N$37,MAX($S305,$AC305,$AI305),"")</f>
        <v/>
      </c>
      <c r="P305" s="65"/>
      <c r="Q305" s="203"/>
      <c r="R305" s="57"/>
      <c r="S305" s="203"/>
      <c r="T305" s="310"/>
      <c r="U305" s="289"/>
      <c r="V305" s="57"/>
      <c r="W305" s="288"/>
      <c r="X305" s="288"/>
      <c r="Y305" s="296"/>
      <c r="Z305" s="57"/>
      <c r="AA305" s="203"/>
      <c r="AB305" s="288"/>
      <c r="AC305" s="201"/>
      <c r="AD305" s="298"/>
      <c r="AE305" s="297"/>
      <c r="AF305" s="58"/>
      <c r="AG305" s="204"/>
      <c r="AH305" s="57"/>
      <c r="AI305" s="201"/>
      <c r="AJ305" s="287"/>
      <c r="AK305" s="452"/>
      <c r="AL305" s="59"/>
      <c r="AM305" s="60"/>
      <c r="AO305" s="137" t="e">
        <f t="shared" si="42"/>
        <v>#N/A</v>
      </c>
      <c r="AP305" s="138" t="e">
        <f t="shared" si="43"/>
        <v>#N/A</v>
      </c>
      <c r="AQ305" s="138" t="e">
        <f t="shared" si="44"/>
        <v>#N/A</v>
      </c>
      <c r="AR305" s="138" t="e">
        <f t="shared" si="45"/>
        <v>#N/A</v>
      </c>
      <c r="AS305" s="138" t="e">
        <f t="shared" si="46"/>
        <v>#N/A</v>
      </c>
      <c r="AT305" s="139" t="e">
        <f t="shared" si="47"/>
        <v>#N/A</v>
      </c>
      <c r="BB305" s="16" t="s">
        <v>596</v>
      </c>
    </row>
    <row r="306" spans="1:54" ht="102.75" customHeight="1">
      <c r="A306" s="428">
        <f t="shared" si="41"/>
        <v>298</v>
      </c>
      <c r="B306" s="294"/>
      <c r="C306" s="201"/>
      <c r="D306" s="290"/>
      <c r="E306" s="301"/>
      <c r="F306" s="301"/>
      <c r="G306" s="290"/>
      <c r="H306" s="291"/>
      <c r="I306" s="292"/>
      <c r="J306" s="61"/>
      <c r="K306" s="57"/>
      <c r="L306" s="303"/>
      <c r="M306" s="201"/>
      <c r="N306" s="84" t="str">
        <f>IF($AI306&lt;&gt;"",Master!$N$37,IF($AC306&lt;&gt;"",Master!$N$38,IF($S306&lt;&gt;"",Master!$N$39,IF($C306&lt;&gt;"",Master!$N$40,Master!$N$41))))</f>
        <v>起票</v>
      </c>
      <c r="O306" s="202" t="str">
        <f>IF($N306=Master!$N$37,MAX($S306,$AC306,$AI306),"")</f>
        <v/>
      </c>
      <c r="P306" s="65"/>
      <c r="Q306" s="203"/>
      <c r="R306" s="57"/>
      <c r="S306" s="203"/>
      <c r="T306" s="310"/>
      <c r="U306" s="289"/>
      <c r="V306" s="57"/>
      <c r="W306" s="288"/>
      <c r="X306" s="288"/>
      <c r="Y306" s="296"/>
      <c r="Z306" s="57"/>
      <c r="AA306" s="203"/>
      <c r="AB306" s="288"/>
      <c r="AC306" s="201"/>
      <c r="AD306" s="298"/>
      <c r="AE306" s="297"/>
      <c r="AF306" s="58"/>
      <c r="AG306" s="204"/>
      <c r="AH306" s="57"/>
      <c r="AI306" s="201"/>
      <c r="AJ306" s="287"/>
      <c r="AK306" s="452"/>
      <c r="AL306" s="59"/>
      <c r="AM306" s="60"/>
      <c r="AO306" s="137" t="e">
        <f t="shared" si="42"/>
        <v>#N/A</v>
      </c>
      <c r="AP306" s="138" t="e">
        <f t="shared" si="43"/>
        <v>#N/A</v>
      </c>
      <c r="AQ306" s="138" t="e">
        <f t="shared" si="44"/>
        <v>#N/A</v>
      </c>
      <c r="AR306" s="138" t="e">
        <f t="shared" si="45"/>
        <v>#N/A</v>
      </c>
      <c r="AS306" s="138" t="e">
        <f t="shared" si="46"/>
        <v>#N/A</v>
      </c>
      <c r="AT306" s="139" t="e">
        <f t="shared" si="47"/>
        <v>#N/A</v>
      </c>
      <c r="BB306" s="16" t="s">
        <v>596</v>
      </c>
    </row>
    <row r="307" spans="1:54" ht="102.75" customHeight="1">
      <c r="A307" s="428">
        <f t="shared" si="41"/>
        <v>299</v>
      </c>
      <c r="B307" s="294"/>
      <c r="C307" s="201"/>
      <c r="D307" s="290"/>
      <c r="E307" s="301"/>
      <c r="F307" s="301"/>
      <c r="G307" s="290"/>
      <c r="H307" s="291"/>
      <c r="I307" s="292"/>
      <c r="J307" s="61"/>
      <c r="K307" s="57"/>
      <c r="L307" s="303"/>
      <c r="M307" s="201"/>
      <c r="N307" s="84" t="str">
        <f>IF($AI307&lt;&gt;"",Master!$N$37,IF($AC307&lt;&gt;"",Master!$N$38,IF($S307&lt;&gt;"",Master!$N$39,IF($C307&lt;&gt;"",Master!$N$40,Master!$N$41))))</f>
        <v>起票</v>
      </c>
      <c r="O307" s="202" t="str">
        <f>IF($N307=Master!$N$37,MAX($S307,$AC307,$AI307),"")</f>
        <v/>
      </c>
      <c r="P307" s="65"/>
      <c r="Q307" s="203"/>
      <c r="R307" s="57"/>
      <c r="S307" s="203"/>
      <c r="T307" s="310"/>
      <c r="U307" s="289"/>
      <c r="V307" s="57"/>
      <c r="W307" s="288"/>
      <c r="X307" s="288"/>
      <c r="Y307" s="296"/>
      <c r="Z307" s="57"/>
      <c r="AA307" s="203"/>
      <c r="AB307" s="288"/>
      <c r="AC307" s="201"/>
      <c r="AD307" s="298"/>
      <c r="AE307" s="297"/>
      <c r="AF307" s="58"/>
      <c r="AG307" s="204"/>
      <c r="AH307" s="57"/>
      <c r="AI307" s="201"/>
      <c r="AJ307" s="287"/>
      <c r="AK307" s="452"/>
      <c r="AL307" s="59"/>
      <c r="AM307" s="60"/>
      <c r="AO307" s="137" t="e">
        <f t="shared" si="42"/>
        <v>#N/A</v>
      </c>
      <c r="AP307" s="138" t="e">
        <f t="shared" si="43"/>
        <v>#N/A</v>
      </c>
      <c r="AQ307" s="138" t="e">
        <f t="shared" si="44"/>
        <v>#N/A</v>
      </c>
      <c r="AR307" s="138" t="e">
        <f t="shared" si="45"/>
        <v>#N/A</v>
      </c>
      <c r="AS307" s="138" t="e">
        <f t="shared" si="46"/>
        <v>#N/A</v>
      </c>
      <c r="AT307" s="139" t="e">
        <f t="shared" si="47"/>
        <v>#N/A</v>
      </c>
      <c r="BB307" s="16" t="s">
        <v>596</v>
      </c>
    </row>
    <row r="308" spans="1:54" ht="102.75" customHeight="1">
      <c r="A308" s="428">
        <f t="shared" si="41"/>
        <v>300</v>
      </c>
      <c r="B308" s="403"/>
      <c r="C308" s="404"/>
      <c r="D308" s="405"/>
      <c r="E308" s="405"/>
      <c r="F308" s="405"/>
      <c r="G308" s="405"/>
      <c r="H308" s="406"/>
      <c r="I308" s="407"/>
      <c r="J308" s="408"/>
      <c r="K308" s="409"/>
      <c r="L308" s="410"/>
      <c r="M308" s="404"/>
      <c r="N308" s="411" t="str">
        <f>IF($AI308&lt;&gt;"",Master!$N$37,IF($AC308&lt;&gt;"",Master!$N$38,IF($S308&lt;&gt;"",Master!$N$39,IF($C308&lt;&gt;"",Master!$N$40,Master!$N$41))))</f>
        <v>起票</v>
      </c>
      <c r="O308" s="412" t="str">
        <f>IF($N308=Master!$N$37,MAX($S308,$AC308,$AI308),"")</f>
        <v/>
      </c>
      <c r="P308" s="413"/>
      <c r="Q308" s="414"/>
      <c r="R308" s="409"/>
      <c r="S308" s="404"/>
      <c r="T308" s="418"/>
      <c r="U308" s="415"/>
      <c r="V308" s="409"/>
      <c r="W308" s="419"/>
      <c r="X308" s="419"/>
      <c r="Y308" s="416"/>
      <c r="Z308" s="417"/>
      <c r="AA308" s="418"/>
      <c r="AB308" s="419"/>
      <c r="AC308" s="404"/>
      <c r="AD308" s="404"/>
      <c r="AE308" s="420"/>
      <c r="AF308" s="421"/>
      <c r="AG308" s="418"/>
      <c r="AH308" s="409"/>
      <c r="AI308" s="404"/>
      <c r="AJ308" s="416"/>
      <c r="AK308" s="453"/>
      <c r="AL308" s="422"/>
      <c r="AM308" s="423"/>
      <c r="AO308" s="137" t="e">
        <f t="shared" si="42"/>
        <v>#N/A</v>
      </c>
      <c r="AP308" s="138" t="e">
        <f t="shared" si="43"/>
        <v>#N/A</v>
      </c>
      <c r="AQ308" s="138" t="e">
        <f t="shared" si="44"/>
        <v>#N/A</v>
      </c>
      <c r="AR308" s="138" t="e">
        <f t="shared" si="45"/>
        <v>#N/A</v>
      </c>
      <c r="AS308" s="138" t="e">
        <f t="shared" si="46"/>
        <v>#N/A</v>
      </c>
      <c r="AT308" s="139" t="e">
        <f t="shared" si="47"/>
        <v>#N/A</v>
      </c>
      <c r="BB308" s="16" t="s">
        <v>596</v>
      </c>
    </row>
    <row r="309" spans="1:54" ht="102.75" customHeight="1">
      <c r="A309" s="428">
        <f t="shared" si="41"/>
        <v>301</v>
      </c>
      <c r="B309" s="403"/>
      <c r="C309" s="404"/>
      <c r="D309" s="405"/>
      <c r="E309" s="405"/>
      <c r="F309" s="405"/>
      <c r="G309" s="405"/>
      <c r="H309" s="406"/>
      <c r="I309" s="407"/>
      <c r="J309" s="408"/>
      <c r="K309" s="409"/>
      <c r="L309" s="410"/>
      <c r="M309" s="404"/>
      <c r="N309" s="411" t="str">
        <f>IF($AI309&lt;&gt;"",Master!$N$37,IF($AC309&lt;&gt;"",Master!$N$38,IF($S309&lt;&gt;"",Master!$N$39,IF($C309&lt;&gt;"",Master!$N$40,Master!$N$41))))</f>
        <v>起票</v>
      </c>
      <c r="O309" s="412" t="str">
        <f>IF($N309=Master!$N$37,MAX($S309,$AC309,$AI309),"")</f>
        <v/>
      </c>
      <c r="P309" s="413"/>
      <c r="Q309" s="414"/>
      <c r="R309" s="409"/>
      <c r="S309" s="404"/>
      <c r="T309" s="418"/>
      <c r="U309" s="415"/>
      <c r="V309" s="409"/>
      <c r="W309" s="419"/>
      <c r="X309" s="419"/>
      <c r="Y309" s="416"/>
      <c r="Z309" s="417"/>
      <c r="AA309" s="418"/>
      <c r="AB309" s="419"/>
      <c r="AC309" s="404"/>
      <c r="AD309" s="404"/>
      <c r="AE309" s="420"/>
      <c r="AF309" s="421"/>
      <c r="AG309" s="418"/>
      <c r="AH309" s="409"/>
      <c r="AI309" s="404"/>
      <c r="AJ309" s="416"/>
      <c r="AK309" s="453"/>
      <c r="AL309" s="422"/>
      <c r="AM309" s="423"/>
      <c r="AO309" s="137" t="e">
        <f t="shared" si="42"/>
        <v>#N/A</v>
      </c>
      <c r="AP309" s="138" t="e">
        <f t="shared" si="43"/>
        <v>#N/A</v>
      </c>
      <c r="AQ309" s="138" t="e">
        <f t="shared" si="44"/>
        <v>#N/A</v>
      </c>
      <c r="AR309" s="138" t="e">
        <f t="shared" si="45"/>
        <v>#N/A</v>
      </c>
      <c r="AS309" s="138" t="e">
        <f t="shared" si="46"/>
        <v>#N/A</v>
      </c>
      <c r="AT309" s="139" t="e">
        <f t="shared" si="47"/>
        <v>#N/A</v>
      </c>
      <c r="BB309" s="16" t="s">
        <v>596</v>
      </c>
    </row>
    <row r="310" spans="1:54" ht="102.75" customHeight="1">
      <c r="A310" s="428">
        <f t="shared" si="41"/>
        <v>302</v>
      </c>
      <c r="B310" s="403"/>
      <c r="C310" s="404"/>
      <c r="D310" s="405"/>
      <c r="E310" s="405"/>
      <c r="F310" s="405"/>
      <c r="G310" s="405"/>
      <c r="H310" s="406"/>
      <c r="I310" s="407"/>
      <c r="J310" s="408"/>
      <c r="K310" s="409"/>
      <c r="L310" s="410"/>
      <c r="M310" s="404"/>
      <c r="N310" s="411" t="str">
        <f>IF($AI310&lt;&gt;"",Master!$N$37,IF($AC310&lt;&gt;"",Master!$N$38,IF($S310&lt;&gt;"",Master!$N$39,IF($C310&lt;&gt;"",Master!$N$40,Master!$N$41))))</f>
        <v>起票</v>
      </c>
      <c r="O310" s="412" t="str">
        <f>IF($N310=Master!$N$37,MAX($S310,$AC310,$AI310),"")</f>
        <v/>
      </c>
      <c r="P310" s="413"/>
      <c r="Q310" s="414"/>
      <c r="R310" s="409"/>
      <c r="S310" s="404"/>
      <c r="T310" s="418"/>
      <c r="U310" s="415"/>
      <c r="V310" s="409"/>
      <c r="W310" s="419"/>
      <c r="X310" s="419"/>
      <c r="Y310" s="416"/>
      <c r="Z310" s="417"/>
      <c r="AA310" s="418"/>
      <c r="AB310" s="419"/>
      <c r="AC310" s="404"/>
      <c r="AD310" s="404"/>
      <c r="AE310" s="420"/>
      <c r="AF310" s="421"/>
      <c r="AG310" s="418"/>
      <c r="AH310" s="409"/>
      <c r="AI310" s="404"/>
      <c r="AJ310" s="416"/>
      <c r="AK310" s="453"/>
      <c r="AL310" s="422"/>
      <c r="AM310" s="423"/>
      <c r="AO310" s="137" t="e">
        <f t="shared" si="42"/>
        <v>#N/A</v>
      </c>
      <c r="AP310" s="138" t="e">
        <f t="shared" si="43"/>
        <v>#N/A</v>
      </c>
      <c r="AQ310" s="138" t="e">
        <f t="shared" si="44"/>
        <v>#N/A</v>
      </c>
      <c r="AR310" s="138" t="e">
        <f t="shared" si="45"/>
        <v>#N/A</v>
      </c>
      <c r="AS310" s="138" t="e">
        <f t="shared" si="46"/>
        <v>#N/A</v>
      </c>
      <c r="AT310" s="139" t="e">
        <f t="shared" si="47"/>
        <v>#N/A</v>
      </c>
      <c r="BB310" s="16" t="s">
        <v>596</v>
      </c>
    </row>
    <row r="311" spans="1:54" ht="102.75" customHeight="1">
      <c r="A311" s="428">
        <f t="shared" si="41"/>
        <v>303</v>
      </c>
      <c r="B311" s="294"/>
      <c r="C311" s="201"/>
      <c r="D311" s="290"/>
      <c r="E311" s="301"/>
      <c r="F311" s="301"/>
      <c r="G311" s="290"/>
      <c r="H311" s="291"/>
      <c r="I311" s="292"/>
      <c r="J311" s="61"/>
      <c r="K311" s="57"/>
      <c r="L311" s="303"/>
      <c r="M311" s="201"/>
      <c r="N311" s="84" t="str">
        <f>IF($AI311&lt;&gt;"",Master!$N$37,IF($AC311&lt;&gt;"",Master!$N$38,IF($S311&lt;&gt;"",Master!$N$39,IF($C311&lt;&gt;"",Master!$N$40,Master!$N$41))))</f>
        <v>起票</v>
      </c>
      <c r="O311" s="202" t="str">
        <f>IF($N311=Master!$N$37,MAX($S311,$AC311,$AI311),"")</f>
        <v/>
      </c>
      <c r="P311" s="65"/>
      <c r="Q311" s="203"/>
      <c r="R311" s="57"/>
      <c r="S311" s="203"/>
      <c r="T311" s="310"/>
      <c r="U311" s="289"/>
      <c r="V311" s="57"/>
      <c r="W311" s="288"/>
      <c r="X311" s="288"/>
      <c r="Y311" s="296"/>
      <c r="Z311" s="57"/>
      <c r="AA311" s="203"/>
      <c r="AB311" s="288"/>
      <c r="AC311" s="201"/>
      <c r="AD311" s="298"/>
      <c r="AE311" s="297"/>
      <c r="AF311" s="58"/>
      <c r="AG311" s="204"/>
      <c r="AH311" s="57"/>
      <c r="AI311" s="201"/>
      <c r="AJ311" s="287"/>
      <c r="AK311" s="452"/>
      <c r="AL311" s="59"/>
      <c r="AM311" s="60"/>
      <c r="AO311" s="137" t="e">
        <f t="shared" si="42"/>
        <v>#N/A</v>
      </c>
      <c r="AP311" s="138" t="e">
        <f t="shared" si="43"/>
        <v>#N/A</v>
      </c>
      <c r="AQ311" s="138" t="e">
        <f t="shared" si="44"/>
        <v>#N/A</v>
      </c>
      <c r="AR311" s="138" t="e">
        <f t="shared" si="45"/>
        <v>#N/A</v>
      </c>
      <c r="AS311" s="138" t="e">
        <f t="shared" si="46"/>
        <v>#N/A</v>
      </c>
      <c r="AT311" s="139" t="e">
        <f t="shared" si="47"/>
        <v>#N/A</v>
      </c>
      <c r="BB311" s="16" t="s">
        <v>596</v>
      </c>
    </row>
    <row r="312" spans="1:54" ht="102.75" customHeight="1">
      <c r="A312" s="428">
        <f t="shared" si="41"/>
        <v>304</v>
      </c>
      <c r="B312" s="294"/>
      <c r="C312" s="201"/>
      <c r="D312" s="290"/>
      <c r="E312" s="301"/>
      <c r="F312" s="301"/>
      <c r="G312" s="290"/>
      <c r="H312" s="291"/>
      <c r="I312" s="292"/>
      <c r="J312" s="61"/>
      <c r="K312" s="57"/>
      <c r="L312" s="303"/>
      <c r="M312" s="201"/>
      <c r="N312" s="84" t="str">
        <f>IF($AI312&lt;&gt;"",Master!$N$37,IF($AC312&lt;&gt;"",Master!$N$38,IF($S312&lt;&gt;"",Master!$N$39,IF($C312&lt;&gt;"",Master!$N$40,Master!$N$41))))</f>
        <v>起票</v>
      </c>
      <c r="O312" s="202" t="str">
        <f>IF($N312=Master!$N$37,MAX($S312,$AC312,$AI312),"")</f>
        <v/>
      </c>
      <c r="P312" s="65"/>
      <c r="Q312" s="203"/>
      <c r="R312" s="57"/>
      <c r="S312" s="203"/>
      <c r="T312" s="310"/>
      <c r="U312" s="289"/>
      <c r="V312" s="57"/>
      <c r="W312" s="288"/>
      <c r="X312" s="288"/>
      <c r="Y312" s="296"/>
      <c r="Z312" s="57"/>
      <c r="AA312" s="203"/>
      <c r="AB312" s="288"/>
      <c r="AC312" s="201"/>
      <c r="AD312" s="298"/>
      <c r="AE312" s="297"/>
      <c r="AF312" s="58"/>
      <c r="AG312" s="204"/>
      <c r="AH312" s="57"/>
      <c r="AI312" s="201"/>
      <c r="AJ312" s="287"/>
      <c r="AK312" s="452"/>
      <c r="AL312" s="59"/>
      <c r="AM312" s="60"/>
      <c r="AO312" s="137" t="e">
        <f t="shared" si="42"/>
        <v>#N/A</v>
      </c>
      <c r="AP312" s="138" t="e">
        <f t="shared" si="43"/>
        <v>#N/A</v>
      </c>
      <c r="AQ312" s="138" t="e">
        <f t="shared" si="44"/>
        <v>#N/A</v>
      </c>
      <c r="AR312" s="138" t="e">
        <f t="shared" si="45"/>
        <v>#N/A</v>
      </c>
      <c r="AS312" s="138" t="e">
        <f t="shared" si="46"/>
        <v>#N/A</v>
      </c>
      <c r="AT312" s="139" t="e">
        <f t="shared" si="47"/>
        <v>#N/A</v>
      </c>
      <c r="BB312" s="16" t="s">
        <v>596</v>
      </c>
    </row>
    <row r="313" spans="1:54" ht="102.75" customHeight="1">
      <c r="A313" s="428">
        <f t="shared" si="41"/>
        <v>305</v>
      </c>
      <c r="B313" s="403"/>
      <c r="C313" s="404"/>
      <c r="D313" s="405"/>
      <c r="E313" s="405"/>
      <c r="F313" s="405"/>
      <c r="G313" s="405"/>
      <c r="H313" s="406"/>
      <c r="I313" s="407"/>
      <c r="J313" s="408"/>
      <c r="K313" s="409"/>
      <c r="L313" s="410"/>
      <c r="M313" s="404"/>
      <c r="N313" s="411" t="str">
        <f>IF($AI313&lt;&gt;"",Master!$N$37,IF($AC313&lt;&gt;"",Master!$N$38,IF($S313&lt;&gt;"",Master!$N$39,IF($C313&lt;&gt;"",Master!$N$40,Master!$N$41))))</f>
        <v>起票</v>
      </c>
      <c r="O313" s="412" t="str">
        <f>IF($N313=Master!$N$37,MAX($S313,$AC313,$AI313),"")</f>
        <v/>
      </c>
      <c r="P313" s="413"/>
      <c r="Q313" s="414"/>
      <c r="R313" s="409"/>
      <c r="S313" s="404"/>
      <c r="T313" s="418"/>
      <c r="U313" s="415"/>
      <c r="V313" s="409"/>
      <c r="W313" s="419"/>
      <c r="X313" s="419"/>
      <c r="Y313" s="416"/>
      <c r="Z313" s="417"/>
      <c r="AA313" s="418"/>
      <c r="AB313" s="419"/>
      <c r="AC313" s="404"/>
      <c r="AD313" s="404"/>
      <c r="AE313" s="420"/>
      <c r="AF313" s="421"/>
      <c r="AG313" s="418"/>
      <c r="AH313" s="409"/>
      <c r="AI313" s="404"/>
      <c r="AJ313" s="416"/>
      <c r="AK313" s="453"/>
      <c r="AL313" s="422"/>
      <c r="AM313" s="423"/>
      <c r="AO313" s="137" t="e">
        <f t="shared" si="42"/>
        <v>#N/A</v>
      </c>
      <c r="AP313" s="138" t="e">
        <f t="shared" si="43"/>
        <v>#N/A</v>
      </c>
      <c r="AQ313" s="138" t="e">
        <f t="shared" si="44"/>
        <v>#N/A</v>
      </c>
      <c r="AR313" s="138" t="e">
        <f t="shared" si="45"/>
        <v>#N/A</v>
      </c>
      <c r="AS313" s="138" t="e">
        <f t="shared" si="46"/>
        <v>#N/A</v>
      </c>
      <c r="AT313" s="139" t="e">
        <f t="shared" si="47"/>
        <v>#N/A</v>
      </c>
      <c r="BB313" s="16" t="s">
        <v>596</v>
      </c>
    </row>
    <row r="314" spans="1:54" ht="102.75" customHeight="1">
      <c r="A314" s="428">
        <f t="shared" si="41"/>
        <v>306</v>
      </c>
      <c r="B314" s="403"/>
      <c r="C314" s="404"/>
      <c r="D314" s="405"/>
      <c r="E314" s="405"/>
      <c r="F314" s="405"/>
      <c r="G314" s="405"/>
      <c r="H314" s="406"/>
      <c r="I314" s="407"/>
      <c r="J314" s="408"/>
      <c r="K314" s="409"/>
      <c r="L314" s="410"/>
      <c r="M314" s="404"/>
      <c r="N314" s="411" t="str">
        <f>IF($AI314&lt;&gt;"",Master!$N$37,IF($AC314&lt;&gt;"",Master!$N$38,IF($S314&lt;&gt;"",Master!$N$39,IF($C314&lt;&gt;"",Master!$N$40,Master!$N$41))))</f>
        <v>起票</v>
      </c>
      <c r="O314" s="412" t="str">
        <f>IF($N314=Master!$N$37,MAX($S314,$AC314,$AI314),"")</f>
        <v/>
      </c>
      <c r="P314" s="413"/>
      <c r="Q314" s="414"/>
      <c r="R314" s="409"/>
      <c r="S314" s="404"/>
      <c r="T314" s="418"/>
      <c r="U314" s="415"/>
      <c r="V314" s="409"/>
      <c r="W314" s="419"/>
      <c r="X314" s="419"/>
      <c r="Y314" s="416"/>
      <c r="Z314" s="417"/>
      <c r="AA314" s="418"/>
      <c r="AB314" s="419"/>
      <c r="AC314" s="404"/>
      <c r="AD314" s="404"/>
      <c r="AE314" s="420"/>
      <c r="AF314" s="421"/>
      <c r="AG314" s="418"/>
      <c r="AH314" s="409"/>
      <c r="AI314" s="404"/>
      <c r="AJ314" s="416"/>
      <c r="AK314" s="453"/>
      <c r="AL314" s="422"/>
      <c r="AM314" s="423"/>
      <c r="AO314" s="137" t="e">
        <f t="shared" si="42"/>
        <v>#N/A</v>
      </c>
      <c r="AP314" s="138" t="e">
        <f t="shared" si="43"/>
        <v>#N/A</v>
      </c>
      <c r="AQ314" s="138" t="e">
        <f t="shared" si="44"/>
        <v>#N/A</v>
      </c>
      <c r="AR314" s="138" t="e">
        <f t="shared" si="45"/>
        <v>#N/A</v>
      </c>
      <c r="AS314" s="138" t="e">
        <f t="shared" si="46"/>
        <v>#N/A</v>
      </c>
      <c r="AT314" s="139" t="e">
        <f t="shared" si="47"/>
        <v>#N/A</v>
      </c>
      <c r="BB314" s="16" t="s">
        <v>596</v>
      </c>
    </row>
    <row r="315" spans="1:54" ht="102.75" customHeight="1">
      <c r="A315" s="428">
        <f t="shared" si="41"/>
        <v>307</v>
      </c>
      <c r="B315" s="403"/>
      <c r="C315" s="404"/>
      <c r="D315" s="405"/>
      <c r="E315" s="405"/>
      <c r="F315" s="405"/>
      <c r="G315" s="405"/>
      <c r="H315" s="406"/>
      <c r="I315" s="407"/>
      <c r="J315" s="408"/>
      <c r="K315" s="409"/>
      <c r="L315" s="410"/>
      <c r="M315" s="404"/>
      <c r="N315" s="411" t="str">
        <f>IF($AI315&lt;&gt;"",Master!$N$37,IF($AC315&lt;&gt;"",Master!$N$38,IF($S315&lt;&gt;"",Master!$N$39,IF($C315&lt;&gt;"",Master!$N$40,Master!$N$41))))</f>
        <v>起票</v>
      </c>
      <c r="O315" s="412" t="str">
        <f>IF($N315=Master!$N$37,MAX($S315,$AC315,$AI315),"")</f>
        <v/>
      </c>
      <c r="P315" s="413"/>
      <c r="Q315" s="414"/>
      <c r="R315" s="409"/>
      <c r="S315" s="404"/>
      <c r="T315" s="418"/>
      <c r="U315" s="415"/>
      <c r="V315" s="409"/>
      <c r="W315" s="419"/>
      <c r="X315" s="419"/>
      <c r="Y315" s="416"/>
      <c r="Z315" s="417"/>
      <c r="AA315" s="418"/>
      <c r="AB315" s="419"/>
      <c r="AC315" s="404"/>
      <c r="AD315" s="404"/>
      <c r="AE315" s="420"/>
      <c r="AF315" s="421"/>
      <c r="AG315" s="418"/>
      <c r="AH315" s="409"/>
      <c r="AI315" s="404"/>
      <c r="AJ315" s="416"/>
      <c r="AK315" s="453"/>
      <c r="AL315" s="422"/>
      <c r="AM315" s="423"/>
      <c r="AO315" s="137" t="e">
        <f t="shared" si="42"/>
        <v>#N/A</v>
      </c>
      <c r="AP315" s="138" t="e">
        <f t="shared" si="43"/>
        <v>#N/A</v>
      </c>
      <c r="AQ315" s="138" t="e">
        <f t="shared" si="44"/>
        <v>#N/A</v>
      </c>
      <c r="AR315" s="138" t="e">
        <f t="shared" si="45"/>
        <v>#N/A</v>
      </c>
      <c r="AS315" s="138" t="e">
        <f t="shared" si="46"/>
        <v>#N/A</v>
      </c>
      <c r="AT315" s="139" t="e">
        <f t="shared" si="47"/>
        <v>#N/A</v>
      </c>
      <c r="BB315" s="16" t="s">
        <v>596</v>
      </c>
    </row>
    <row r="316" spans="1:54" ht="102.75" customHeight="1">
      <c r="A316" s="428">
        <f t="shared" si="41"/>
        <v>308</v>
      </c>
      <c r="B316" s="294"/>
      <c r="C316" s="201"/>
      <c r="D316" s="290"/>
      <c r="E316" s="301"/>
      <c r="F316" s="301"/>
      <c r="G316" s="290"/>
      <c r="H316" s="291"/>
      <c r="I316" s="292"/>
      <c r="J316" s="61"/>
      <c r="K316" s="57"/>
      <c r="L316" s="303"/>
      <c r="M316" s="201"/>
      <c r="N316" s="84" t="str">
        <f>IF($AI316&lt;&gt;"",Master!$N$37,IF($AC316&lt;&gt;"",Master!$N$38,IF($S316&lt;&gt;"",Master!$N$39,IF($C316&lt;&gt;"",Master!$N$40,Master!$N$41))))</f>
        <v>起票</v>
      </c>
      <c r="O316" s="202" t="str">
        <f>IF($N316=Master!$N$37,MAX($S316,$AC316,$AI316),"")</f>
        <v/>
      </c>
      <c r="P316" s="65"/>
      <c r="Q316" s="203"/>
      <c r="R316" s="57"/>
      <c r="S316" s="203"/>
      <c r="T316" s="310"/>
      <c r="U316" s="289"/>
      <c r="V316" s="57"/>
      <c r="W316" s="288"/>
      <c r="X316" s="288"/>
      <c r="Y316" s="296"/>
      <c r="Z316" s="57"/>
      <c r="AA316" s="203"/>
      <c r="AB316" s="288"/>
      <c r="AC316" s="201"/>
      <c r="AD316" s="298"/>
      <c r="AE316" s="297"/>
      <c r="AF316" s="58"/>
      <c r="AG316" s="204"/>
      <c r="AH316" s="57"/>
      <c r="AI316" s="201"/>
      <c r="AJ316" s="287"/>
      <c r="AK316" s="452"/>
      <c r="AL316" s="59"/>
      <c r="AM316" s="60"/>
      <c r="AO316" s="137" t="e">
        <f t="shared" si="42"/>
        <v>#N/A</v>
      </c>
      <c r="AP316" s="138" t="e">
        <f t="shared" si="43"/>
        <v>#N/A</v>
      </c>
      <c r="AQ316" s="138" t="e">
        <f t="shared" si="44"/>
        <v>#N/A</v>
      </c>
      <c r="AR316" s="138" t="e">
        <f t="shared" si="45"/>
        <v>#N/A</v>
      </c>
      <c r="AS316" s="138" t="e">
        <f t="shared" si="46"/>
        <v>#N/A</v>
      </c>
      <c r="AT316" s="139" t="e">
        <f t="shared" si="47"/>
        <v>#N/A</v>
      </c>
      <c r="BB316" s="16" t="s">
        <v>596</v>
      </c>
    </row>
    <row r="317" spans="1:54" ht="102.75" customHeight="1">
      <c r="A317" s="428">
        <f t="shared" si="41"/>
        <v>309</v>
      </c>
      <c r="B317" s="294"/>
      <c r="C317" s="201"/>
      <c r="D317" s="290"/>
      <c r="E317" s="301"/>
      <c r="F317" s="301"/>
      <c r="G317" s="290"/>
      <c r="H317" s="291"/>
      <c r="I317" s="292"/>
      <c r="J317" s="61"/>
      <c r="K317" s="57"/>
      <c r="L317" s="303"/>
      <c r="M317" s="201"/>
      <c r="N317" s="84" t="str">
        <f>IF($AI317&lt;&gt;"",Master!$N$37,IF($AC317&lt;&gt;"",Master!$N$38,IF($S317&lt;&gt;"",Master!$N$39,IF($C317&lt;&gt;"",Master!$N$40,Master!$N$41))))</f>
        <v>起票</v>
      </c>
      <c r="O317" s="202" t="str">
        <f>IF($N317=Master!$N$37,MAX($S317,$AC317,$AI317),"")</f>
        <v/>
      </c>
      <c r="P317" s="65"/>
      <c r="Q317" s="203"/>
      <c r="R317" s="57"/>
      <c r="S317" s="203"/>
      <c r="T317" s="310"/>
      <c r="U317" s="289"/>
      <c r="V317" s="57"/>
      <c r="W317" s="288"/>
      <c r="X317" s="288"/>
      <c r="Y317" s="296"/>
      <c r="Z317" s="57"/>
      <c r="AA317" s="203"/>
      <c r="AB317" s="288"/>
      <c r="AC317" s="201"/>
      <c r="AD317" s="298"/>
      <c r="AE317" s="297"/>
      <c r="AF317" s="58"/>
      <c r="AG317" s="204"/>
      <c r="AH317" s="57"/>
      <c r="AI317" s="201"/>
      <c r="AJ317" s="287"/>
      <c r="AK317" s="452"/>
      <c r="AL317" s="59"/>
      <c r="AM317" s="60"/>
      <c r="AO317" s="137" t="e">
        <f t="shared" si="42"/>
        <v>#N/A</v>
      </c>
      <c r="AP317" s="138" t="e">
        <f t="shared" si="43"/>
        <v>#N/A</v>
      </c>
      <c r="AQ317" s="138" t="e">
        <f t="shared" si="44"/>
        <v>#N/A</v>
      </c>
      <c r="AR317" s="138" t="e">
        <f t="shared" si="45"/>
        <v>#N/A</v>
      </c>
      <c r="AS317" s="138" t="e">
        <f t="shared" si="46"/>
        <v>#N/A</v>
      </c>
      <c r="AT317" s="139" t="e">
        <f t="shared" si="47"/>
        <v>#N/A</v>
      </c>
      <c r="BB317" s="16" t="s">
        <v>596</v>
      </c>
    </row>
    <row r="318" spans="1:54" ht="102.75" customHeight="1">
      <c r="A318" s="428">
        <f t="shared" si="41"/>
        <v>310</v>
      </c>
      <c r="B318" s="294"/>
      <c r="C318" s="201"/>
      <c r="D318" s="290"/>
      <c r="E318" s="301"/>
      <c r="F318" s="301"/>
      <c r="G318" s="290"/>
      <c r="H318" s="291"/>
      <c r="I318" s="292"/>
      <c r="J318" s="61"/>
      <c r="K318" s="57"/>
      <c r="L318" s="303"/>
      <c r="M318" s="201"/>
      <c r="N318" s="84" t="str">
        <f>IF($AI318&lt;&gt;"",Master!$N$37,IF($AC318&lt;&gt;"",Master!$N$38,IF($S318&lt;&gt;"",Master!$N$39,IF($C318&lt;&gt;"",Master!$N$40,Master!$N$41))))</f>
        <v>起票</v>
      </c>
      <c r="O318" s="202" t="str">
        <f>IF($N318=Master!$N$37,MAX($S318,$AC318,$AI318),"")</f>
        <v/>
      </c>
      <c r="P318" s="65"/>
      <c r="Q318" s="203"/>
      <c r="R318" s="57"/>
      <c r="S318" s="203"/>
      <c r="T318" s="310"/>
      <c r="U318" s="289"/>
      <c r="V318" s="57"/>
      <c r="W318" s="288"/>
      <c r="X318" s="288"/>
      <c r="Y318" s="296"/>
      <c r="Z318" s="57"/>
      <c r="AA318" s="203"/>
      <c r="AB318" s="288"/>
      <c r="AC318" s="201"/>
      <c r="AD318" s="298"/>
      <c r="AE318" s="297"/>
      <c r="AF318" s="58"/>
      <c r="AG318" s="204"/>
      <c r="AH318" s="57"/>
      <c r="AI318" s="201"/>
      <c r="AJ318" s="287"/>
      <c r="AK318" s="452"/>
      <c r="AL318" s="59"/>
      <c r="AM318" s="60"/>
      <c r="AO318" s="137" t="e">
        <f t="shared" si="42"/>
        <v>#N/A</v>
      </c>
      <c r="AP318" s="138" t="e">
        <f t="shared" si="43"/>
        <v>#N/A</v>
      </c>
      <c r="AQ318" s="138" t="e">
        <f t="shared" si="44"/>
        <v>#N/A</v>
      </c>
      <c r="AR318" s="138" t="e">
        <f t="shared" si="45"/>
        <v>#N/A</v>
      </c>
      <c r="AS318" s="138" t="e">
        <f t="shared" si="46"/>
        <v>#N/A</v>
      </c>
      <c r="AT318" s="139" t="e">
        <f t="shared" si="47"/>
        <v>#N/A</v>
      </c>
      <c r="BB318" s="16" t="s">
        <v>596</v>
      </c>
    </row>
    <row r="319" spans="1:54" ht="102.75" customHeight="1">
      <c r="A319" s="428">
        <f t="shared" si="41"/>
        <v>311</v>
      </c>
      <c r="B319" s="294"/>
      <c r="C319" s="201"/>
      <c r="D319" s="290"/>
      <c r="E319" s="301"/>
      <c r="F319" s="301"/>
      <c r="G319" s="290"/>
      <c r="H319" s="291"/>
      <c r="I319" s="292"/>
      <c r="J319" s="61"/>
      <c r="K319" s="57"/>
      <c r="L319" s="303"/>
      <c r="M319" s="201"/>
      <c r="N319" s="84" t="str">
        <f>IF($AI319&lt;&gt;"",Master!$N$37,IF($AC319&lt;&gt;"",Master!$N$38,IF($S319&lt;&gt;"",Master!$N$39,IF($C319&lt;&gt;"",Master!$N$40,Master!$N$41))))</f>
        <v>起票</v>
      </c>
      <c r="O319" s="202" t="str">
        <f>IF($N319=Master!$N$37,MAX($S319,$AC319,$AI319),"")</f>
        <v/>
      </c>
      <c r="P319" s="65"/>
      <c r="Q319" s="203"/>
      <c r="R319" s="57"/>
      <c r="S319" s="203"/>
      <c r="T319" s="310"/>
      <c r="U319" s="289"/>
      <c r="V319" s="57"/>
      <c r="W319" s="288"/>
      <c r="X319" s="288"/>
      <c r="Y319" s="296"/>
      <c r="Z319" s="57"/>
      <c r="AA319" s="203"/>
      <c r="AB319" s="288"/>
      <c r="AC319" s="201"/>
      <c r="AD319" s="298"/>
      <c r="AE319" s="297"/>
      <c r="AF319" s="58"/>
      <c r="AG319" s="204"/>
      <c r="AH319" s="57"/>
      <c r="AI319" s="201"/>
      <c r="AJ319" s="287"/>
      <c r="AK319" s="452"/>
      <c r="AL319" s="59"/>
      <c r="AM319" s="60"/>
      <c r="AO319" s="137" t="e">
        <f t="shared" si="42"/>
        <v>#N/A</v>
      </c>
      <c r="AP319" s="138" t="e">
        <f t="shared" si="43"/>
        <v>#N/A</v>
      </c>
      <c r="AQ319" s="138" t="e">
        <f t="shared" si="44"/>
        <v>#N/A</v>
      </c>
      <c r="AR319" s="138" t="e">
        <f t="shared" si="45"/>
        <v>#N/A</v>
      </c>
      <c r="AS319" s="138" t="e">
        <f t="shared" si="46"/>
        <v>#N/A</v>
      </c>
      <c r="AT319" s="139" t="e">
        <f t="shared" si="47"/>
        <v>#N/A</v>
      </c>
      <c r="BB319" s="16" t="s">
        <v>596</v>
      </c>
    </row>
    <row r="320" spans="1:54" ht="102.75" customHeight="1">
      <c r="A320" s="428">
        <f t="shared" si="41"/>
        <v>312</v>
      </c>
      <c r="B320" s="294"/>
      <c r="C320" s="201"/>
      <c r="D320" s="290"/>
      <c r="E320" s="301"/>
      <c r="F320" s="301"/>
      <c r="G320" s="290"/>
      <c r="H320" s="291"/>
      <c r="I320" s="292"/>
      <c r="J320" s="61"/>
      <c r="K320" s="57"/>
      <c r="L320" s="303"/>
      <c r="M320" s="201"/>
      <c r="N320" s="84" t="str">
        <f>IF($AI320&lt;&gt;"",Master!$N$37,IF($AC320&lt;&gt;"",Master!$N$38,IF($S320&lt;&gt;"",Master!$N$39,IF($C320&lt;&gt;"",Master!$N$40,Master!$N$41))))</f>
        <v>起票</v>
      </c>
      <c r="O320" s="202" t="str">
        <f>IF($N320=Master!$N$37,MAX($S320,$AC320,$AI320),"")</f>
        <v/>
      </c>
      <c r="P320" s="65"/>
      <c r="Q320" s="203"/>
      <c r="R320" s="57"/>
      <c r="S320" s="203"/>
      <c r="T320" s="310"/>
      <c r="U320" s="289"/>
      <c r="V320" s="57"/>
      <c r="W320" s="288"/>
      <c r="X320" s="288"/>
      <c r="Y320" s="296"/>
      <c r="Z320" s="57"/>
      <c r="AA320" s="203"/>
      <c r="AB320" s="288"/>
      <c r="AC320" s="201"/>
      <c r="AD320" s="298"/>
      <c r="AE320" s="297"/>
      <c r="AF320" s="58"/>
      <c r="AG320" s="204"/>
      <c r="AH320" s="57"/>
      <c r="AI320" s="201"/>
      <c r="AJ320" s="287"/>
      <c r="AK320" s="452"/>
      <c r="AL320" s="59"/>
      <c r="AM320" s="60"/>
      <c r="AO320" s="137" t="e">
        <f t="shared" si="42"/>
        <v>#N/A</v>
      </c>
      <c r="AP320" s="138" t="e">
        <f t="shared" si="43"/>
        <v>#N/A</v>
      </c>
      <c r="AQ320" s="138" t="e">
        <f t="shared" si="44"/>
        <v>#N/A</v>
      </c>
      <c r="AR320" s="138" t="e">
        <f t="shared" si="45"/>
        <v>#N/A</v>
      </c>
      <c r="AS320" s="138" t="e">
        <f t="shared" si="46"/>
        <v>#N/A</v>
      </c>
      <c r="AT320" s="139" t="e">
        <f t="shared" si="47"/>
        <v>#N/A</v>
      </c>
      <c r="BB320" s="16" t="s">
        <v>596</v>
      </c>
    </row>
    <row r="321" spans="1:54" ht="102.75" customHeight="1">
      <c r="A321" s="428">
        <f t="shared" si="41"/>
        <v>313</v>
      </c>
      <c r="B321" s="403"/>
      <c r="C321" s="404"/>
      <c r="D321" s="405"/>
      <c r="E321" s="405"/>
      <c r="F321" s="405"/>
      <c r="G321" s="405"/>
      <c r="H321" s="406"/>
      <c r="I321" s="407"/>
      <c r="J321" s="408"/>
      <c r="K321" s="409"/>
      <c r="L321" s="410"/>
      <c r="M321" s="404"/>
      <c r="N321" s="411" t="str">
        <f>IF($AI321&lt;&gt;"",Master!$N$37,IF($AC321&lt;&gt;"",Master!$N$38,IF($S321&lt;&gt;"",Master!$N$39,IF($C321&lt;&gt;"",Master!$N$40,Master!$N$41))))</f>
        <v>起票</v>
      </c>
      <c r="O321" s="412" t="str">
        <f>IF($N321=Master!$N$37,MAX($S321,$AC321,$AI321),"")</f>
        <v/>
      </c>
      <c r="P321" s="413"/>
      <c r="Q321" s="414"/>
      <c r="R321" s="409"/>
      <c r="S321" s="404"/>
      <c r="T321" s="418"/>
      <c r="U321" s="415"/>
      <c r="V321" s="409"/>
      <c r="W321" s="419"/>
      <c r="X321" s="419"/>
      <c r="Y321" s="416"/>
      <c r="Z321" s="417"/>
      <c r="AA321" s="418"/>
      <c r="AB321" s="419"/>
      <c r="AC321" s="404"/>
      <c r="AD321" s="404"/>
      <c r="AE321" s="420"/>
      <c r="AF321" s="421"/>
      <c r="AG321" s="418"/>
      <c r="AH321" s="409"/>
      <c r="AI321" s="404"/>
      <c r="AJ321" s="416"/>
      <c r="AK321" s="453"/>
      <c r="AL321" s="422"/>
      <c r="AM321" s="423"/>
      <c r="AO321" s="137" t="e">
        <f t="shared" si="42"/>
        <v>#N/A</v>
      </c>
      <c r="AP321" s="138" t="e">
        <f t="shared" si="43"/>
        <v>#N/A</v>
      </c>
      <c r="AQ321" s="138" t="e">
        <f t="shared" si="44"/>
        <v>#N/A</v>
      </c>
      <c r="AR321" s="138" t="e">
        <f t="shared" si="45"/>
        <v>#N/A</v>
      </c>
      <c r="AS321" s="138" t="e">
        <f t="shared" si="46"/>
        <v>#N/A</v>
      </c>
      <c r="AT321" s="139" t="e">
        <f t="shared" si="47"/>
        <v>#N/A</v>
      </c>
      <c r="BB321" s="16" t="s">
        <v>596</v>
      </c>
    </row>
    <row r="322" spans="1:54" ht="102.75" customHeight="1">
      <c r="A322" s="428">
        <f t="shared" si="41"/>
        <v>314</v>
      </c>
      <c r="B322" s="403"/>
      <c r="C322" s="404"/>
      <c r="D322" s="405"/>
      <c r="E322" s="405"/>
      <c r="F322" s="405"/>
      <c r="G322" s="405"/>
      <c r="H322" s="406"/>
      <c r="I322" s="407"/>
      <c r="J322" s="408"/>
      <c r="K322" s="409"/>
      <c r="L322" s="410"/>
      <c r="M322" s="404"/>
      <c r="N322" s="411" t="str">
        <f>IF($AI322&lt;&gt;"",Master!$N$37,IF($AC322&lt;&gt;"",Master!$N$38,IF($S322&lt;&gt;"",Master!$N$39,IF($C322&lt;&gt;"",Master!$N$40,Master!$N$41))))</f>
        <v>起票</v>
      </c>
      <c r="O322" s="412" t="str">
        <f>IF($N322=Master!$N$37,MAX($S322,$AC322,$AI322),"")</f>
        <v/>
      </c>
      <c r="P322" s="413"/>
      <c r="Q322" s="414"/>
      <c r="R322" s="409"/>
      <c r="S322" s="404"/>
      <c r="T322" s="418"/>
      <c r="U322" s="415"/>
      <c r="V322" s="409"/>
      <c r="W322" s="419"/>
      <c r="X322" s="419"/>
      <c r="Y322" s="416"/>
      <c r="Z322" s="417"/>
      <c r="AA322" s="418"/>
      <c r="AB322" s="419"/>
      <c r="AC322" s="404"/>
      <c r="AD322" s="404"/>
      <c r="AE322" s="420"/>
      <c r="AF322" s="421"/>
      <c r="AG322" s="418"/>
      <c r="AH322" s="409"/>
      <c r="AI322" s="404"/>
      <c r="AJ322" s="416"/>
      <c r="AK322" s="453"/>
      <c r="AL322" s="422"/>
      <c r="AM322" s="423"/>
      <c r="AO322" s="137" t="e">
        <f t="shared" si="42"/>
        <v>#N/A</v>
      </c>
      <c r="AP322" s="138" t="e">
        <f t="shared" si="43"/>
        <v>#N/A</v>
      </c>
      <c r="AQ322" s="138" t="e">
        <f t="shared" si="44"/>
        <v>#N/A</v>
      </c>
      <c r="AR322" s="138" t="e">
        <f t="shared" si="45"/>
        <v>#N/A</v>
      </c>
      <c r="AS322" s="138" t="e">
        <f t="shared" si="46"/>
        <v>#N/A</v>
      </c>
      <c r="AT322" s="139" t="e">
        <f t="shared" si="47"/>
        <v>#N/A</v>
      </c>
      <c r="BB322" s="16" t="s">
        <v>596</v>
      </c>
    </row>
    <row r="323" spans="1:54" ht="102.75" customHeight="1">
      <c r="A323" s="428">
        <f t="shared" si="41"/>
        <v>315</v>
      </c>
      <c r="B323" s="403"/>
      <c r="C323" s="404"/>
      <c r="D323" s="405"/>
      <c r="E323" s="405"/>
      <c r="F323" s="405"/>
      <c r="G323" s="405"/>
      <c r="H323" s="406"/>
      <c r="I323" s="407"/>
      <c r="J323" s="408"/>
      <c r="K323" s="409"/>
      <c r="L323" s="410"/>
      <c r="M323" s="404"/>
      <c r="N323" s="411" t="str">
        <f>IF($AI323&lt;&gt;"",Master!$N$37,IF($AC323&lt;&gt;"",Master!$N$38,IF($S323&lt;&gt;"",Master!$N$39,IF($C323&lt;&gt;"",Master!$N$40,Master!$N$41))))</f>
        <v>起票</v>
      </c>
      <c r="O323" s="412" t="str">
        <f>IF($N323=Master!$N$37,MAX($S323,$AC323,$AI323),"")</f>
        <v/>
      </c>
      <c r="P323" s="413"/>
      <c r="Q323" s="414"/>
      <c r="R323" s="409"/>
      <c r="S323" s="404"/>
      <c r="T323" s="418"/>
      <c r="U323" s="415"/>
      <c r="V323" s="409"/>
      <c r="W323" s="419"/>
      <c r="X323" s="419"/>
      <c r="Y323" s="416"/>
      <c r="Z323" s="417"/>
      <c r="AA323" s="418"/>
      <c r="AB323" s="419"/>
      <c r="AC323" s="404"/>
      <c r="AD323" s="404"/>
      <c r="AE323" s="420"/>
      <c r="AF323" s="421"/>
      <c r="AG323" s="418"/>
      <c r="AH323" s="409"/>
      <c r="AI323" s="404"/>
      <c r="AJ323" s="416"/>
      <c r="AK323" s="453"/>
      <c r="AL323" s="422"/>
      <c r="AM323" s="423"/>
      <c r="AO323" s="137" t="e">
        <f t="shared" si="42"/>
        <v>#N/A</v>
      </c>
      <c r="AP323" s="138" t="e">
        <f t="shared" si="43"/>
        <v>#N/A</v>
      </c>
      <c r="AQ323" s="138" t="e">
        <f t="shared" si="44"/>
        <v>#N/A</v>
      </c>
      <c r="AR323" s="138" t="e">
        <f t="shared" si="45"/>
        <v>#N/A</v>
      </c>
      <c r="AS323" s="138" t="e">
        <f t="shared" si="46"/>
        <v>#N/A</v>
      </c>
      <c r="AT323" s="139" t="e">
        <f t="shared" si="47"/>
        <v>#N/A</v>
      </c>
      <c r="BB323" s="16" t="s">
        <v>596</v>
      </c>
    </row>
    <row r="324" spans="1:54" ht="102.75" customHeight="1">
      <c r="A324" s="428">
        <f t="shared" si="41"/>
        <v>316</v>
      </c>
      <c r="B324" s="294"/>
      <c r="C324" s="201"/>
      <c r="D324" s="290"/>
      <c r="E324" s="301"/>
      <c r="F324" s="301"/>
      <c r="G324" s="290"/>
      <c r="H324" s="291"/>
      <c r="I324" s="292"/>
      <c r="J324" s="61"/>
      <c r="K324" s="57"/>
      <c r="L324" s="303"/>
      <c r="M324" s="201"/>
      <c r="N324" s="84" t="str">
        <f>IF($AI324&lt;&gt;"",Master!$N$37,IF($AC324&lt;&gt;"",Master!$N$38,IF($S324&lt;&gt;"",Master!$N$39,IF($C324&lt;&gt;"",Master!$N$40,Master!$N$41))))</f>
        <v>起票</v>
      </c>
      <c r="O324" s="202" t="str">
        <f>IF($N324=Master!$N$37,MAX($S324,$AC324,$AI324),"")</f>
        <v/>
      </c>
      <c r="P324" s="65"/>
      <c r="Q324" s="203"/>
      <c r="R324" s="57"/>
      <c r="S324" s="203"/>
      <c r="T324" s="310"/>
      <c r="U324" s="289"/>
      <c r="V324" s="57"/>
      <c r="W324" s="288"/>
      <c r="X324" s="288"/>
      <c r="Y324" s="296"/>
      <c r="Z324" s="57"/>
      <c r="AA324" s="203"/>
      <c r="AB324" s="288"/>
      <c r="AC324" s="201"/>
      <c r="AD324" s="298"/>
      <c r="AE324" s="297"/>
      <c r="AF324" s="58"/>
      <c r="AG324" s="204"/>
      <c r="AH324" s="57"/>
      <c r="AI324" s="201"/>
      <c r="AJ324" s="287"/>
      <c r="AK324" s="452"/>
      <c r="AL324" s="59"/>
      <c r="AM324" s="60"/>
      <c r="AO324" s="137" t="e">
        <f t="shared" si="42"/>
        <v>#N/A</v>
      </c>
      <c r="AP324" s="138" t="e">
        <f t="shared" si="43"/>
        <v>#N/A</v>
      </c>
      <c r="AQ324" s="138" t="e">
        <f t="shared" si="44"/>
        <v>#N/A</v>
      </c>
      <c r="AR324" s="138" t="e">
        <f t="shared" si="45"/>
        <v>#N/A</v>
      </c>
      <c r="AS324" s="138" t="e">
        <f t="shared" si="46"/>
        <v>#N/A</v>
      </c>
      <c r="AT324" s="139" t="e">
        <f t="shared" si="47"/>
        <v>#N/A</v>
      </c>
      <c r="BB324" s="16" t="s">
        <v>596</v>
      </c>
    </row>
    <row r="325" spans="1:54" ht="102.75" customHeight="1">
      <c r="A325" s="428">
        <f t="shared" si="41"/>
        <v>317</v>
      </c>
      <c r="B325" s="294"/>
      <c r="C325" s="201"/>
      <c r="D325" s="290"/>
      <c r="E325" s="301"/>
      <c r="F325" s="301"/>
      <c r="G325" s="290"/>
      <c r="H325" s="291"/>
      <c r="I325" s="292"/>
      <c r="J325" s="61"/>
      <c r="K325" s="57"/>
      <c r="L325" s="303"/>
      <c r="M325" s="201"/>
      <c r="N325" s="84" t="str">
        <f>IF($AI325&lt;&gt;"",Master!$N$37,IF($AC325&lt;&gt;"",Master!$N$38,IF($S325&lt;&gt;"",Master!$N$39,IF($C325&lt;&gt;"",Master!$N$40,Master!$N$41))))</f>
        <v>起票</v>
      </c>
      <c r="O325" s="202" t="str">
        <f>IF($N325=Master!$N$37,MAX($S325,$AC325,$AI325),"")</f>
        <v/>
      </c>
      <c r="P325" s="65"/>
      <c r="Q325" s="203"/>
      <c r="R325" s="57"/>
      <c r="S325" s="203"/>
      <c r="T325" s="310"/>
      <c r="U325" s="289"/>
      <c r="V325" s="57"/>
      <c r="W325" s="288"/>
      <c r="X325" s="288"/>
      <c r="Y325" s="296"/>
      <c r="Z325" s="57"/>
      <c r="AA325" s="203"/>
      <c r="AB325" s="288"/>
      <c r="AC325" s="201"/>
      <c r="AD325" s="298"/>
      <c r="AE325" s="297"/>
      <c r="AF325" s="58"/>
      <c r="AG325" s="204"/>
      <c r="AH325" s="57"/>
      <c r="AI325" s="201"/>
      <c r="AJ325" s="287"/>
      <c r="AK325" s="452"/>
      <c r="AL325" s="59"/>
      <c r="AM325" s="60"/>
      <c r="AO325" s="137" t="e">
        <f t="shared" si="42"/>
        <v>#N/A</v>
      </c>
      <c r="AP325" s="138" t="e">
        <f t="shared" si="43"/>
        <v>#N/A</v>
      </c>
      <c r="AQ325" s="138" t="e">
        <f t="shared" si="44"/>
        <v>#N/A</v>
      </c>
      <c r="AR325" s="138" t="e">
        <f t="shared" si="45"/>
        <v>#N/A</v>
      </c>
      <c r="AS325" s="138" t="e">
        <f t="shared" si="46"/>
        <v>#N/A</v>
      </c>
      <c r="AT325" s="139" t="e">
        <f t="shared" si="47"/>
        <v>#N/A</v>
      </c>
      <c r="BB325" s="16" t="s">
        <v>596</v>
      </c>
    </row>
    <row r="326" spans="1:54" ht="102.75" customHeight="1">
      <c r="A326" s="428">
        <f t="shared" si="41"/>
        <v>318</v>
      </c>
      <c r="B326" s="403"/>
      <c r="C326" s="404"/>
      <c r="D326" s="405"/>
      <c r="E326" s="405"/>
      <c r="F326" s="405"/>
      <c r="G326" s="405"/>
      <c r="H326" s="406"/>
      <c r="I326" s="407"/>
      <c r="J326" s="408"/>
      <c r="K326" s="409"/>
      <c r="L326" s="410"/>
      <c r="M326" s="404"/>
      <c r="N326" s="411" t="str">
        <f>IF($AI326&lt;&gt;"",Master!$N$37,IF($AC326&lt;&gt;"",Master!$N$38,IF($S326&lt;&gt;"",Master!$N$39,IF($C326&lt;&gt;"",Master!$N$40,Master!$N$41))))</f>
        <v>起票</v>
      </c>
      <c r="O326" s="412" t="str">
        <f>IF($N326=Master!$N$37,MAX($S326,$AC326,$AI326),"")</f>
        <v/>
      </c>
      <c r="P326" s="413"/>
      <c r="Q326" s="414"/>
      <c r="R326" s="409"/>
      <c r="S326" s="404"/>
      <c r="T326" s="418"/>
      <c r="U326" s="415"/>
      <c r="V326" s="409"/>
      <c r="W326" s="419"/>
      <c r="X326" s="419"/>
      <c r="Y326" s="416"/>
      <c r="Z326" s="417"/>
      <c r="AA326" s="418"/>
      <c r="AB326" s="419"/>
      <c r="AC326" s="404"/>
      <c r="AD326" s="404"/>
      <c r="AE326" s="420"/>
      <c r="AF326" s="421"/>
      <c r="AG326" s="418"/>
      <c r="AH326" s="409"/>
      <c r="AI326" s="404"/>
      <c r="AJ326" s="416"/>
      <c r="AK326" s="453"/>
      <c r="AL326" s="422"/>
      <c r="AM326" s="423"/>
      <c r="AO326" s="137" t="e">
        <f t="shared" si="42"/>
        <v>#N/A</v>
      </c>
      <c r="AP326" s="138" t="e">
        <f t="shared" si="43"/>
        <v>#N/A</v>
      </c>
      <c r="AQ326" s="138" t="e">
        <f t="shared" si="44"/>
        <v>#N/A</v>
      </c>
      <c r="AR326" s="138" t="e">
        <f t="shared" si="45"/>
        <v>#N/A</v>
      </c>
      <c r="AS326" s="138" t="e">
        <f t="shared" si="46"/>
        <v>#N/A</v>
      </c>
      <c r="AT326" s="139" t="e">
        <f t="shared" si="47"/>
        <v>#N/A</v>
      </c>
      <c r="BB326" s="16" t="s">
        <v>596</v>
      </c>
    </row>
    <row r="327" spans="1:54" ht="102.75" customHeight="1">
      <c r="A327" s="428">
        <f t="shared" si="41"/>
        <v>319</v>
      </c>
      <c r="B327" s="403"/>
      <c r="C327" s="404"/>
      <c r="D327" s="405"/>
      <c r="E327" s="405"/>
      <c r="F327" s="405"/>
      <c r="G327" s="405"/>
      <c r="H327" s="406"/>
      <c r="I327" s="407"/>
      <c r="J327" s="408"/>
      <c r="K327" s="409"/>
      <c r="L327" s="410"/>
      <c r="M327" s="404"/>
      <c r="N327" s="411" t="str">
        <f>IF($AI327&lt;&gt;"",Master!$N$37,IF($AC327&lt;&gt;"",Master!$N$38,IF($S327&lt;&gt;"",Master!$N$39,IF($C327&lt;&gt;"",Master!$N$40,Master!$N$41))))</f>
        <v>起票</v>
      </c>
      <c r="O327" s="412" t="str">
        <f>IF($N327=Master!$N$37,MAX($S327,$AC327,$AI327),"")</f>
        <v/>
      </c>
      <c r="P327" s="413"/>
      <c r="Q327" s="414"/>
      <c r="R327" s="409"/>
      <c r="S327" s="404"/>
      <c r="T327" s="418"/>
      <c r="U327" s="415"/>
      <c r="V327" s="409"/>
      <c r="W327" s="419"/>
      <c r="X327" s="419"/>
      <c r="Y327" s="416"/>
      <c r="Z327" s="417"/>
      <c r="AA327" s="418"/>
      <c r="AB327" s="419"/>
      <c r="AC327" s="404"/>
      <c r="AD327" s="404"/>
      <c r="AE327" s="420"/>
      <c r="AF327" s="421"/>
      <c r="AG327" s="418"/>
      <c r="AH327" s="409"/>
      <c r="AI327" s="404"/>
      <c r="AJ327" s="416"/>
      <c r="AK327" s="453"/>
      <c r="AL327" s="422"/>
      <c r="AM327" s="423"/>
      <c r="AO327" s="137" t="e">
        <f t="shared" si="42"/>
        <v>#N/A</v>
      </c>
      <c r="AP327" s="138" t="e">
        <f t="shared" si="43"/>
        <v>#N/A</v>
      </c>
      <c r="AQ327" s="138" t="e">
        <f t="shared" si="44"/>
        <v>#N/A</v>
      </c>
      <c r="AR327" s="138" t="e">
        <f t="shared" si="45"/>
        <v>#N/A</v>
      </c>
      <c r="AS327" s="138" t="e">
        <f t="shared" si="46"/>
        <v>#N/A</v>
      </c>
      <c r="AT327" s="139" t="e">
        <f t="shared" si="47"/>
        <v>#N/A</v>
      </c>
      <c r="BB327" s="16" t="s">
        <v>596</v>
      </c>
    </row>
    <row r="328" spans="1:54" ht="102.75" customHeight="1">
      <c r="A328" s="428">
        <f t="shared" si="41"/>
        <v>320</v>
      </c>
      <c r="B328" s="403"/>
      <c r="C328" s="404"/>
      <c r="D328" s="405"/>
      <c r="E328" s="405"/>
      <c r="F328" s="405"/>
      <c r="G328" s="405"/>
      <c r="H328" s="406"/>
      <c r="I328" s="407"/>
      <c r="J328" s="408"/>
      <c r="K328" s="409"/>
      <c r="L328" s="410"/>
      <c r="M328" s="404"/>
      <c r="N328" s="411" t="str">
        <f>IF($AI328&lt;&gt;"",Master!$N$37,IF($AC328&lt;&gt;"",Master!$N$38,IF($S328&lt;&gt;"",Master!$N$39,IF($C328&lt;&gt;"",Master!$N$40,Master!$N$41))))</f>
        <v>起票</v>
      </c>
      <c r="O328" s="412" t="str">
        <f>IF($N328=Master!$N$37,MAX($S328,$AC328,$AI328),"")</f>
        <v/>
      </c>
      <c r="P328" s="413"/>
      <c r="Q328" s="414"/>
      <c r="R328" s="409"/>
      <c r="S328" s="404"/>
      <c r="T328" s="418"/>
      <c r="U328" s="415"/>
      <c r="V328" s="409"/>
      <c r="W328" s="419"/>
      <c r="X328" s="419"/>
      <c r="Y328" s="416"/>
      <c r="Z328" s="417"/>
      <c r="AA328" s="418"/>
      <c r="AB328" s="419"/>
      <c r="AC328" s="404"/>
      <c r="AD328" s="404"/>
      <c r="AE328" s="420"/>
      <c r="AF328" s="421"/>
      <c r="AG328" s="418"/>
      <c r="AH328" s="409"/>
      <c r="AI328" s="404"/>
      <c r="AJ328" s="416"/>
      <c r="AK328" s="453"/>
      <c r="AL328" s="422"/>
      <c r="AM328" s="423"/>
      <c r="AO328" s="137" t="e">
        <f t="shared" si="42"/>
        <v>#N/A</v>
      </c>
      <c r="AP328" s="138" t="e">
        <f t="shared" si="43"/>
        <v>#N/A</v>
      </c>
      <c r="AQ328" s="138" t="e">
        <f t="shared" si="44"/>
        <v>#N/A</v>
      </c>
      <c r="AR328" s="138" t="e">
        <f t="shared" si="45"/>
        <v>#N/A</v>
      </c>
      <c r="AS328" s="138" t="e">
        <f t="shared" si="46"/>
        <v>#N/A</v>
      </c>
      <c r="AT328" s="139" t="e">
        <f t="shared" si="47"/>
        <v>#N/A</v>
      </c>
      <c r="BB328" s="16" t="s">
        <v>596</v>
      </c>
    </row>
    <row r="329" spans="1:54" ht="102.75" customHeight="1">
      <c r="A329" s="428">
        <f t="shared" si="41"/>
        <v>321</v>
      </c>
      <c r="B329" s="294"/>
      <c r="C329" s="201"/>
      <c r="D329" s="290"/>
      <c r="E329" s="301"/>
      <c r="F329" s="301"/>
      <c r="G329" s="290"/>
      <c r="H329" s="291"/>
      <c r="I329" s="292"/>
      <c r="J329" s="61"/>
      <c r="K329" s="57"/>
      <c r="L329" s="303"/>
      <c r="M329" s="201"/>
      <c r="N329" s="84" t="str">
        <f>IF($AI329&lt;&gt;"",Master!$N$37,IF($AC329&lt;&gt;"",Master!$N$38,IF($S329&lt;&gt;"",Master!$N$39,IF($C329&lt;&gt;"",Master!$N$40,Master!$N$41))))</f>
        <v>起票</v>
      </c>
      <c r="O329" s="202" t="str">
        <f>IF($N329=Master!$N$37,MAX($S329,$AC329,$AI329),"")</f>
        <v/>
      </c>
      <c r="P329" s="65"/>
      <c r="Q329" s="203"/>
      <c r="R329" s="57"/>
      <c r="S329" s="203"/>
      <c r="T329" s="310"/>
      <c r="U329" s="289"/>
      <c r="V329" s="57"/>
      <c r="W329" s="288"/>
      <c r="X329" s="288"/>
      <c r="Y329" s="296"/>
      <c r="Z329" s="57"/>
      <c r="AA329" s="203"/>
      <c r="AB329" s="288"/>
      <c r="AC329" s="201"/>
      <c r="AD329" s="298"/>
      <c r="AE329" s="297"/>
      <c r="AF329" s="58"/>
      <c r="AG329" s="204"/>
      <c r="AH329" s="57"/>
      <c r="AI329" s="201"/>
      <c r="AJ329" s="287"/>
      <c r="AK329" s="452"/>
      <c r="AL329" s="59"/>
      <c r="AM329" s="60"/>
      <c r="AO329" s="137" t="e">
        <f t="shared" si="42"/>
        <v>#N/A</v>
      </c>
      <c r="AP329" s="138" t="e">
        <f t="shared" si="43"/>
        <v>#N/A</v>
      </c>
      <c r="AQ329" s="138" t="e">
        <f t="shared" si="44"/>
        <v>#N/A</v>
      </c>
      <c r="AR329" s="138" t="e">
        <f t="shared" si="45"/>
        <v>#N/A</v>
      </c>
      <c r="AS329" s="138" t="e">
        <f t="shared" si="46"/>
        <v>#N/A</v>
      </c>
      <c r="AT329" s="139" t="e">
        <f t="shared" si="47"/>
        <v>#N/A</v>
      </c>
      <c r="BB329" s="16" t="s">
        <v>596</v>
      </c>
    </row>
    <row r="330" spans="1:54" ht="102.75" customHeight="1">
      <c r="A330" s="428">
        <f t="shared" si="41"/>
        <v>322</v>
      </c>
      <c r="B330" s="294"/>
      <c r="C330" s="201"/>
      <c r="D330" s="290"/>
      <c r="E330" s="301"/>
      <c r="F330" s="301"/>
      <c r="G330" s="290"/>
      <c r="H330" s="291"/>
      <c r="I330" s="292"/>
      <c r="J330" s="61"/>
      <c r="K330" s="57"/>
      <c r="L330" s="303"/>
      <c r="M330" s="201"/>
      <c r="N330" s="84" t="str">
        <f>IF($AI330&lt;&gt;"",Master!$N$37,IF($AC330&lt;&gt;"",Master!$N$38,IF($S330&lt;&gt;"",Master!$N$39,IF($C330&lt;&gt;"",Master!$N$40,Master!$N$41))))</f>
        <v>起票</v>
      </c>
      <c r="O330" s="202" t="str">
        <f>IF($N330=Master!$N$37,MAX($S330,$AC330,$AI330),"")</f>
        <v/>
      </c>
      <c r="P330" s="65"/>
      <c r="Q330" s="203"/>
      <c r="R330" s="57"/>
      <c r="S330" s="203"/>
      <c r="T330" s="310"/>
      <c r="U330" s="289"/>
      <c r="V330" s="57"/>
      <c r="W330" s="288"/>
      <c r="X330" s="288"/>
      <c r="Y330" s="296"/>
      <c r="Z330" s="57"/>
      <c r="AA330" s="203"/>
      <c r="AB330" s="288"/>
      <c r="AC330" s="201"/>
      <c r="AD330" s="298"/>
      <c r="AE330" s="297"/>
      <c r="AF330" s="58"/>
      <c r="AG330" s="204"/>
      <c r="AH330" s="57"/>
      <c r="AI330" s="201"/>
      <c r="AJ330" s="287"/>
      <c r="AK330" s="452"/>
      <c r="AL330" s="59"/>
      <c r="AM330" s="60"/>
      <c r="AO330" s="137" t="e">
        <f t="shared" si="42"/>
        <v>#N/A</v>
      </c>
      <c r="AP330" s="138" t="e">
        <f t="shared" si="43"/>
        <v>#N/A</v>
      </c>
      <c r="AQ330" s="138" t="e">
        <f t="shared" si="44"/>
        <v>#N/A</v>
      </c>
      <c r="AR330" s="138" t="e">
        <f t="shared" si="45"/>
        <v>#N/A</v>
      </c>
      <c r="AS330" s="138" t="e">
        <f t="shared" si="46"/>
        <v>#N/A</v>
      </c>
      <c r="AT330" s="139" t="e">
        <f t="shared" si="47"/>
        <v>#N/A</v>
      </c>
      <c r="BB330" s="16" t="s">
        <v>596</v>
      </c>
    </row>
    <row r="331" spans="1:54" ht="102.75" customHeight="1">
      <c r="A331" s="428">
        <f t="shared" si="41"/>
        <v>323</v>
      </c>
      <c r="B331" s="294"/>
      <c r="C331" s="201"/>
      <c r="D331" s="290"/>
      <c r="E331" s="301"/>
      <c r="F331" s="301"/>
      <c r="G331" s="290"/>
      <c r="H331" s="291"/>
      <c r="I331" s="292"/>
      <c r="J331" s="61"/>
      <c r="K331" s="57"/>
      <c r="L331" s="303"/>
      <c r="M331" s="201"/>
      <c r="N331" s="84" t="str">
        <f>IF($AI331&lt;&gt;"",Master!$N$37,IF($AC331&lt;&gt;"",Master!$N$38,IF($S331&lt;&gt;"",Master!$N$39,IF($C331&lt;&gt;"",Master!$N$40,Master!$N$41))))</f>
        <v>起票</v>
      </c>
      <c r="O331" s="202" t="str">
        <f>IF($N331=Master!$N$37,MAX($S331,$AC331,$AI331),"")</f>
        <v/>
      </c>
      <c r="P331" s="65"/>
      <c r="Q331" s="203"/>
      <c r="R331" s="57"/>
      <c r="S331" s="203"/>
      <c r="T331" s="310"/>
      <c r="U331" s="289"/>
      <c r="V331" s="57"/>
      <c r="W331" s="288"/>
      <c r="X331" s="288"/>
      <c r="Y331" s="296"/>
      <c r="Z331" s="57"/>
      <c r="AA331" s="203"/>
      <c r="AB331" s="288"/>
      <c r="AC331" s="201"/>
      <c r="AD331" s="298"/>
      <c r="AE331" s="297"/>
      <c r="AF331" s="58"/>
      <c r="AG331" s="204"/>
      <c r="AH331" s="57"/>
      <c r="AI331" s="201"/>
      <c r="AJ331" s="287"/>
      <c r="AK331" s="452"/>
      <c r="AL331" s="59"/>
      <c r="AM331" s="60"/>
      <c r="AO331" s="137" t="e">
        <f t="shared" si="42"/>
        <v>#N/A</v>
      </c>
      <c r="AP331" s="138" t="e">
        <f t="shared" si="43"/>
        <v>#N/A</v>
      </c>
      <c r="AQ331" s="138" t="e">
        <f t="shared" si="44"/>
        <v>#N/A</v>
      </c>
      <c r="AR331" s="138" t="e">
        <f t="shared" si="45"/>
        <v>#N/A</v>
      </c>
      <c r="AS331" s="138" t="e">
        <f t="shared" si="46"/>
        <v>#N/A</v>
      </c>
      <c r="AT331" s="139" t="e">
        <f t="shared" si="47"/>
        <v>#N/A</v>
      </c>
      <c r="BB331" s="16" t="s">
        <v>596</v>
      </c>
    </row>
    <row r="332" spans="1:54" ht="102.75" customHeight="1">
      <c r="A332" s="428">
        <f t="shared" ref="A332:A395" si="48">A331+1</f>
        <v>324</v>
      </c>
      <c r="B332" s="294"/>
      <c r="C332" s="201"/>
      <c r="D332" s="290"/>
      <c r="E332" s="301"/>
      <c r="F332" s="301"/>
      <c r="G332" s="290"/>
      <c r="H332" s="291"/>
      <c r="I332" s="292"/>
      <c r="J332" s="61"/>
      <c r="K332" s="57"/>
      <c r="L332" s="303"/>
      <c r="M332" s="201"/>
      <c r="N332" s="84" t="str">
        <f>IF($AI332&lt;&gt;"",Master!$N$37,IF($AC332&lt;&gt;"",Master!$N$38,IF($S332&lt;&gt;"",Master!$N$39,IF($C332&lt;&gt;"",Master!$N$40,Master!$N$41))))</f>
        <v>起票</v>
      </c>
      <c r="O332" s="202" t="str">
        <f>IF($N332=Master!$N$37,MAX($S332,$AC332,$AI332),"")</f>
        <v/>
      </c>
      <c r="P332" s="65"/>
      <c r="Q332" s="203"/>
      <c r="R332" s="57"/>
      <c r="S332" s="203"/>
      <c r="T332" s="310"/>
      <c r="U332" s="289"/>
      <c r="V332" s="57"/>
      <c r="W332" s="288"/>
      <c r="X332" s="288"/>
      <c r="Y332" s="296"/>
      <c r="Z332" s="57"/>
      <c r="AA332" s="203"/>
      <c r="AB332" s="288"/>
      <c r="AC332" s="201"/>
      <c r="AD332" s="298"/>
      <c r="AE332" s="297"/>
      <c r="AF332" s="58"/>
      <c r="AG332" s="204"/>
      <c r="AH332" s="57"/>
      <c r="AI332" s="201"/>
      <c r="AJ332" s="287"/>
      <c r="AK332" s="452"/>
      <c r="AL332" s="59"/>
      <c r="AM332" s="60"/>
      <c r="AO332" s="137" t="e">
        <f t="shared" si="42"/>
        <v>#N/A</v>
      </c>
      <c r="AP332" s="138" t="e">
        <f t="shared" si="43"/>
        <v>#N/A</v>
      </c>
      <c r="AQ332" s="138" t="e">
        <f t="shared" si="44"/>
        <v>#N/A</v>
      </c>
      <c r="AR332" s="138" t="e">
        <f t="shared" si="45"/>
        <v>#N/A</v>
      </c>
      <c r="AS332" s="138" t="e">
        <f t="shared" si="46"/>
        <v>#N/A</v>
      </c>
      <c r="AT332" s="139" t="e">
        <f t="shared" si="47"/>
        <v>#N/A</v>
      </c>
      <c r="BB332" s="16" t="s">
        <v>596</v>
      </c>
    </row>
    <row r="333" spans="1:54" ht="102.75" customHeight="1">
      <c r="A333" s="428">
        <f t="shared" si="48"/>
        <v>325</v>
      </c>
      <c r="B333" s="294"/>
      <c r="C333" s="201"/>
      <c r="D333" s="290"/>
      <c r="E333" s="301"/>
      <c r="F333" s="301"/>
      <c r="G333" s="290"/>
      <c r="H333" s="291"/>
      <c r="I333" s="292"/>
      <c r="J333" s="61"/>
      <c r="K333" s="57"/>
      <c r="L333" s="303"/>
      <c r="M333" s="201"/>
      <c r="N333" s="84" t="str">
        <f>IF($AI333&lt;&gt;"",Master!$N$37,IF($AC333&lt;&gt;"",Master!$N$38,IF($S333&lt;&gt;"",Master!$N$39,IF($C333&lt;&gt;"",Master!$N$40,Master!$N$41))))</f>
        <v>起票</v>
      </c>
      <c r="O333" s="202" t="str">
        <f>IF($N333=Master!$N$37,MAX($S333,$AC333,$AI333),"")</f>
        <v/>
      </c>
      <c r="P333" s="65"/>
      <c r="Q333" s="203"/>
      <c r="R333" s="57"/>
      <c r="S333" s="203"/>
      <c r="T333" s="310"/>
      <c r="U333" s="289"/>
      <c r="V333" s="57"/>
      <c r="W333" s="288"/>
      <c r="X333" s="288"/>
      <c r="Y333" s="296"/>
      <c r="Z333" s="57"/>
      <c r="AA333" s="203"/>
      <c r="AB333" s="288"/>
      <c r="AC333" s="201"/>
      <c r="AD333" s="298"/>
      <c r="AE333" s="297"/>
      <c r="AF333" s="58"/>
      <c r="AG333" s="204"/>
      <c r="AH333" s="57"/>
      <c r="AI333" s="201"/>
      <c r="AJ333" s="287"/>
      <c r="AK333" s="452"/>
      <c r="AL333" s="59"/>
      <c r="AM333" s="60"/>
      <c r="AO333" s="137" t="e">
        <f t="shared" si="42"/>
        <v>#N/A</v>
      </c>
      <c r="AP333" s="138" t="e">
        <f t="shared" si="43"/>
        <v>#N/A</v>
      </c>
      <c r="AQ333" s="138" t="e">
        <f t="shared" si="44"/>
        <v>#N/A</v>
      </c>
      <c r="AR333" s="138" t="e">
        <f t="shared" si="45"/>
        <v>#N/A</v>
      </c>
      <c r="AS333" s="138" t="e">
        <f t="shared" si="46"/>
        <v>#N/A</v>
      </c>
      <c r="AT333" s="139" t="e">
        <f t="shared" si="47"/>
        <v>#N/A</v>
      </c>
      <c r="BB333" s="16" t="s">
        <v>596</v>
      </c>
    </row>
    <row r="334" spans="1:54" ht="102.75" customHeight="1">
      <c r="A334" s="428">
        <f t="shared" si="48"/>
        <v>326</v>
      </c>
      <c r="B334" s="403"/>
      <c r="C334" s="404"/>
      <c r="D334" s="405"/>
      <c r="E334" s="405"/>
      <c r="F334" s="405"/>
      <c r="G334" s="405"/>
      <c r="H334" s="406"/>
      <c r="I334" s="407"/>
      <c r="J334" s="408"/>
      <c r="K334" s="409"/>
      <c r="L334" s="410"/>
      <c r="M334" s="404"/>
      <c r="N334" s="411" t="str">
        <f>IF($AI334&lt;&gt;"",Master!$N$37,IF($AC334&lt;&gt;"",Master!$N$38,IF($S334&lt;&gt;"",Master!$N$39,IF($C334&lt;&gt;"",Master!$N$40,Master!$N$41))))</f>
        <v>起票</v>
      </c>
      <c r="O334" s="412" t="str">
        <f>IF($N334=Master!$N$37,MAX($S334,$AC334,$AI334),"")</f>
        <v/>
      </c>
      <c r="P334" s="413"/>
      <c r="Q334" s="414"/>
      <c r="R334" s="409"/>
      <c r="S334" s="404"/>
      <c r="T334" s="418"/>
      <c r="U334" s="415"/>
      <c r="V334" s="409"/>
      <c r="W334" s="419"/>
      <c r="X334" s="419"/>
      <c r="Y334" s="416"/>
      <c r="Z334" s="417"/>
      <c r="AA334" s="418"/>
      <c r="AB334" s="419"/>
      <c r="AC334" s="404"/>
      <c r="AD334" s="404"/>
      <c r="AE334" s="420"/>
      <c r="AF334" s="421"/>
      <c r="AG334" s="418"/>
      <c r="AH334" s="409"/>
      <c r="AI334" s="404"/>
      <c r="AJ334" s="416"/>
      <c r="AK334" s="453"/>
      <c r="AL334" s="422"/>
      <c r="AM334" s="423"/>
      <c r="AO334" s="137" t="e">
        <f t="shared" si="42"/>
        <v>#N/A</v>
      </c>
      <c r="AP334" s="138" t="e">
        <f t="shared" si="43"/>
        <v>#N/A</v>
      </c>
      <c r="AQ334" s="138" t="e">
        <f t="shared" si="44"/>
        <v>#N/A</v>
      </c>
      <c r="AR334" s="138" t="e">
        <f t="shared" si="45"/>
        <v>#N/A</v>
      </c>
      <c r="AS334" s="138" t="e">
        <f t="shared" si="46"/>
        <v>#N/A</v>
      </c>
      <c r="AT334" s="139" t="e">
        <f t="shared" si="47"/>
        <v>#N/A</v>
      </c>
      <c r="BB334" s="16" t="s">
        <v>596</v>
      </c>
    </row>
    <row r="335" spans="1:54" ht="102.75" customHeight="1">
      <c r="A335" s="428">
        <f t="shared" si="48"/>
        <v>327</v>
      </c>
      <c r="B335" s="403"/>
      <c r="C335" s="404"/>
      <c r="D335" s="405"/>
      <c r="E335" s="405"/>
      <c r="F335" s="405"/>
      <c r="G335" s="405"/>
      <c r="H335" s="406"/>
      <c r="I335" s="407"/>
      <c r="J335" s="408"/>
      <c r="K335" s="409"/>
      <c r="L335" s="410"/>
      <c r="M335" s="404"/>
      <c r="N335" s="411" t="str">
        <f>IF($AI335&lt;&gt;"",Master!$N$37,IF($AC335&lt;&gt;"",Master!$N$38,IF($S335&lt;&gt;"",Master!$N$39,IF($C335&lt;&gt;"",Master!$N$40,Master!$N$41))))</f>
        <v>起票</v>
      </c>
      <c r="O335" s="412" t="str">
        <f>IF($N335=Master!$N$37,MAX($S335,$AC335,$AI335),"")</f>
        <v/>
      </c>
      <c r="P335" s="413"/>
      <c r="Q335" s="414"/>
      <c r="R335" s="409"/>
      <c r="S335" s="404"/>
      <c r="T335" s="418"/>
      <c r="U335" s="415"/>
      <c r="V335" s="409"/>
      <c r="W335" s="419"/>
      <c r="X335" s="419"/>
      <c r="Y335" s="416"/>
      <c r="Z335" s="417"/>
      <c r="AA335" s="418"/>
      <c r="AB335" s="419"/>
      <c r="AC335" s="404"/>
      <c r="AD335" s="404"/>
      <c r="AE335" s="420"/>
      <c r="AF335" s="421"/>
      <c r="AG335" s="418"/>
      <c r="AH335" s="409"/>
      <c r="AI335" s="404"/>
      <c r="AJ335" s="416"/>
      <c r="AK335" s="453"/>
      <c r="AL335" s="422"/>
      <c r="AM335" s="423"/>
      <c r="AO335" s="137" t="e">
        <f t="shared" si="42"/>
        <v>#N/A</v>
      </c>
      <c r="AP335" s="138" t="e">
        <f t="shared" si="43"/>
        <v>#N/A</v>
      </c>
      <c r="AQ335" s="138" t="e">
        <f t="shared" si="44"/>
        <v>#N/A</v>
      </c>
      <c r="AR335" s="138" t="e">
        <f t="shared" si="45"/>
        <v>#N/A</v>
      </c>
      <c r="AS335" s="138" t="e">
        <f t="shared" si="46"/>
        <v>#N/A</v>
      </c>
      <c r="AT335" s="139" t="e">
        <f t="shared" si="47"/>
        <v>#N/A</v>
      </c>
      <c r="BB335" s="16" t="s">
        <v>596</v>
      </c>
    </row>
    <row r="336" spans="1:54" ht="102.75" customHeight="1">
      <c r="A336" s="428">
        <f t="shared" si="48"/>
        <v>328</v>
      </c>
      <c r="B336" s="403"/>
      <c r="C336" s="404"/>
      <c r="D336" s="405"/>
      <c r="E336" s="405"/>
      <c r="F336" s="405"/>
      <c r="G336" s="405"/>
      <c r="H336" s="406"/>
      <c r="I336" s="407"/>
      <c r="J336" s="408"/>
      <c r="K336" s="409"/>
      <c r="L336" s="410"/>
      <c r="M336" s="404"/>
      <c r="N336" s="411" t="str">
        <f>IF($AI336&lt;&gt;"",Master!$N$37,IF($AC336&lt;&gt;"",Master!$N$38,IF($S336&lt;&gt;"",Master!$N$39,IF($C336&lt;&gt;"",Master!$N$40,Master!$N$41))))</f>
        <v>起票</v>
      </c>
      <c r="O336" s="412" t="str">
        <f>IF($N336=Master!$N$37,MAX($S336,$AC336,$AI336),"")</f>
        <v/>
      </c>
      <c r="P336" s="413"/>
      <c r="Q336" s="414"/>
      <c r="R336" s="409"/>
      <c r="S336" s="404"/>
      <c r="T336" s="418"/>
      <c r="U336" s="415"/>
      <c r="V336" s="409"/>
      <c r="W336" s="419"/>
      <c r="X336" s="419"/>
      <c r="Y336" s="416"/>
      <c r="Z336" s="417"/>
      <c r="AA336" s="418"/>
      <c r="AB336" s="419"/>
      <c r="AC336" s="404"/>
      <c r="AD336" s="404"/>
      <c r="AE336" s="420"/>
      <c r="AF336" s="421"/>
      <c r="AG336" s="418"/>
      <c r="AH336" s="409"/>
      <c r="AI336" s="404"/>
      <c r="AJ336" s="416"/>
      <c r="AK336" s="453"/>
      <c r="AL336" s="422"/>
      <c r="AM336" s="423"/>
      <c r="AO336" s="137" t="e">
        <f t="shared" si="42"/>
        <v>#N/A</v>
      </c>
      <c r="AP336" s="138" t="e">
        <f t="shared" si="43"/>
        <v>#N/A</v>
      </c>
      <c r="AQ336" s="138" t="e">
        <f t="shared" si="44"/>
        <v>#N/A</v>
      </c>
      <c r="AR336" s="138" t="e">
        <f t="shared" si="45"/>
        <v>#N/A</v>
      </c>
      <c r="AS336" s="138" t="e">
        <f t="shared" si="46"/>
        <v>#N/A</v>
      </c>
      <c r="AT336" s="139" t="e">
        <f t="shared" si="47"/>
        <v>#N/A</v>
      </c>
      <c r="BB336" s="16" t="s">
        <v>596</v>
      </c>
    </row>
    <row r="337" spans="1:54" ht="102.75" customHeight="1">
      <c r="A337" s="428">
        <f t="shared" si="48"/>
        <v>329</v>
      </c>
      <c r="B337" s="294"/>
      <c r="C337" s="201"/>
      <c r="D337" s="290"/>
      <c r="E337" s="301"/>
      <c r="F337" s="301"/>
      <c r="G337" s="290"/>
      <c r="H337" s="291"/>
      <c r="I337" s="292"/>
      <c r="J337" s="61"/>
      <c r="K337" s="57"/>
      <c r="L337" s="303"/>
      <c r="M337" s="201"/>
      <c r="N337" s="84" t="str">
        <f>IF($AI337&lt;&gt;"",Master!$N$37,IF($AC337&lt;&gt;"",Master!$N$38,IF($S337&lt;&gt;"",Master!$N$39,IF($C337&lt;&gt;"",Master!$N$40,Master!$N$41))))</f>
        <v>起票</v>
      </c>
      <c r="O337" s="202" t="str">
        <f>IF($N337=Master!$N$37,MAX($S337,$AC337,$AI337),"")</f>
        <v/>
      </c>
      <c r="P337" s="65"/>
      <c r="Q337" s="203"/>
      <c r="R337" s="57"/>
      <c r="S337" s="203"/>
      <c r="T337" s="310"/>
      <c r="U337" s="289"/>
      <c r="V337" s="57"/>
      <c r="W337" s="288"/>
      <c r="X337" s="288"/>
      <c r="Y337" s="296"/>
      <c r="Z337" s="57"/>
      <c r="AA337" s="203"/>
      <c r="AB337" s="288"/>
      <c r="AC337" s="201"/>
      <c r="AD337" s="298"/>
      <c r="AE337" s="297"/>
      <c r="AF337" s="58"/>
      <c r="AG337" s="204"/>
      <c r="AH337" s="57"/>
      <c r="AI337" s="201"/>
      <c r="AJ337" s="287"/>
      <c r="AK337" s="452"/>
      <c r="AL337" s="59"/>
      <c r="AM337" s="60"/>
      <c r="AO337" s="137" t="e">
        <f t="shared" si="42"/>
        <v>#N/A</v>
      </c>
      <c r="AP337" s="138" t="e">
        <f t="shared" si="43"/>
        <v>#N/A</v>
      </c>
      <c r="AQ337" s="138" t="e">
        <f t="shared" si="44"/>
        <v>#N/A</v>
      </c>
      <c r="AR337" s="138" t="e">
        <f t="shared" si="45"/>
        <v>#N/A</v>
      </c>
      <c r="AS337" s="138" t="e">
        <f t="shared" si="46"/>
        <v>#N/A</v>
      </c>
      <c r="AT337" s="139" t="e">
        <f t="shared" si="47"/>
        <v>#N/A</v>
      </c>
      <c r="BB337" s="16" t="s">
        <v>596</v>
      </c>
    </row>
    <row r="338" spans="1:54" ht="102.75" customHeight="1">
      <c r="A338" s="428">
        <f t="shared" si="48"/>
        <v>330</v>
      </c>
      <c r="B338" s="294"/>
      <c r="C338" s="201"/>
      <c r="D338" s="290"/>
      <c r="E338" s="301"/>
      <c r="F338" s="301"/>
      <c r="G338" s="290"/>
      <c r="H338" s="291"/>
      <c r="I338" s="292"/>
      <c r="J338" s="61"/>
      <c r="K338" s="57"/>
      <c r="L338" s="303"/>
      <c r="M338" s="201"/>
      <c r="N338" s="84" t="str">
        <f>IF($AI338&lt;&gt;"",Master!$N$37,IF($AC338&lt;&gt;"",Master!$N$38,IF($S338&lt;&gt;"",Master!$N$39,IF($C338&lt;&gt;"",Master!$N$40,Master!$N$41))))</f>
        <v>起票</v>
      </c>
      <c r="O338" s="202" t="str">
        <f>IF($N338=Master!$N$37,MAX($S338,$AC338,$AI338),"")</f>
        <v/>
      </c>
      <c r="P338" s="65"/>
      <c r="Q338" s="203"/>
      <c r="R338" s="57"/>
      <c r="S338" s="203"/>
      <c r="T338" s="310"/>
      <c r="U338" s="289"/>
      <c r="V338" s="57"/>
      <c r="W338" s="288"/>
      <c r="X338" s="288"/>
      <c r="Y338" s="296"/>
      <c r="Z338" s="57"/>
      <c r="AA338" s="203"/>
      <c r="AB338" s="288"/>
      <c r="AC338" s="201"/>
      <c r="AD338" s="298"/>
      <c r="AE338" s="297"/>
      <c r="AF338" s="58"/>
      <c r="AG338" s="204"/>
      <c r="AH338" s="57"/>
      <c r="AI338" s="201"/>
      <c r="AJ338" s="287"/>
      <c r="AK338" s="452"/>
      <c r="AL338" s="59"/>
      <c r="AM338" s="60"/>
      <c r="AO338" s="137" t="e">
        <f t="shared" si="42"/>
        <v>#N/A</v>
      </c>
      <c r="AP338" s="138" t="e">
        <f t="shared" si="43"/>
        <v>#N/A</v>
      </c>
      <c r="AQ338" s="138" t="e">
        <f t="shared" si="44"/>
        <v>#N/A</v>
      </c>
      <c r="AR338" s="138" t="e">
        <f t="shared" si="45"/>
        <v>#N/A</v>
      </c>
      <c r="AS338" s="138" t="e">
        <f t="shared" si="46"/>
        <v>#N/A</v>
      </c>
      <c r="AT338" s="139" t="e">
        <f t="shared" si="47"/>
        <v>#N/A</v>
      </c>
      <c r="BB338" s="16" t="s">
        <v>596</v>
      </c>
    </row>
    <row r="339" spans="1:54" ht="102.75" customHeight="1">
      <c r="A339" s="428">
        <f t="shared" si="48"/>
        <v>331</v>
      </c>
      <c r="B339" s="403"/>
      <c r="C339" s="404"/>
      <c r="D339" s="405"/>
      <c r="E339" s="405"/>
      <c r="F339" s="405"/>
      <c r="G339" s="405"/>
      <c r="H339" s="406"/>
      <c r="I339" s="407"/>
      <c r="J339" s="408"/>
      <c r="K339" s="409"/>
      <c r="L339" s="410"/>
      <c r="M339" s="404"/>
      <c r="N339" s="411" t="str">
        <f>IF($AI339&lt;&gt;"",Master!$N$37,IF($AC339&lt;&gt;"",Master!$N$38,IF($S339&lt;&gt;"",Master!$N$39,IF($C339&lt;&gt;"",Master!$N$40,Master!$N$41))))</f>
        <v>起票</v>
      </c>
      <c r="O339" s="412" t="str">
        <f>IF($N339=Master!$N$37,MAX($S339,$AC339,$AI339),"")</f>
        <v/>
      </c>
      <c r="P339" s="413"/>
      <c r="Q339" s="414"/>
      <c r="R339" s="409"/>
      <c r="S339" s="404"/>
      <c r="T339" s="418"/>
      <c r="U339" s="415"/>
      <c r="V339" s="409"/>
      <c r="W339" s="419"/>
      <c r="X339" s="419"/>
      <c r="Y339" s="416"/>
      <c r="Z339" s="417"/>
      <c r="AA339" s="418"/>
      <c r="AB339" s="419"/>
      <c r="AC339" s="404"/>
      <c r="AD339" s="404"/>
      <c r="AE339" s="420"/>
      <c r="AF339" s="421"/>
      <c r="AG339" s="418"/>
      <c r="AH339" s="409"/>
      <c r="AI339" s="404"/>
      <c r="AJ339" s="416"/>
      <c r="AK339" s="453"/>
      <c r="AL339" s="422"/>
      <c r="AM339" s="423"/>
      <c r="AO339" s="137" t="e">
        <f t="shared" si="42"/>
        <v>#N/A</v>
      </c>
      <c r="AP339" s="138" t="e">
        <f t="shared" si="43"/>
        <v>#N/A</v>
      </c>
      <c r="AQ339" s="138" t="e">
        <f t="shared" si="44"/>
        <v>#N/A</v>
      </c>
      <c r="AR339" s="138" t="e">
        <f t="shared" si="45"/>
        <v>#N/A</v>
      </c>
      <c r="AS339" s="138" t="e">
        <f t="shared" si="46"/>
        <v>#N/A</v>
      </c>
      <c r="AT339" s="139" t="e">
        <f t="shared" si="47"/>
        <v>#N/A</v>
      </c>
      <c r="BB339" s="16" t="s">
        <v>596</v>
      </c>
    </row>
    <row r="340" spans="1:54" ht="102.75" customHeight="1">
      <c r="A340" s="428">
        <f t="shared" si="48"/>
        <v>332</v>
      </c>
      <c r="B340" s="403"/>
      <c r="C340" s="404"/>
      <c r="D340" s="405"/>
      <c r="E340" s="405"/>
      <c r="F340" s="405"/>
      <c r="G340" s="405"/>
      <c r="H340" s="406"/>
      <c r="I340" s="407"/>
      <c r="J340" s="408"/>
      <c r="K340" s="409"/>
      <c r="L340" s="410"/>
      <c r="M340" s="404"/>
      <c r="N340" s="411" t="str">
        <f>IF($AI340&lt;&gt;"",Master!$N$37,IF($AC340&lt;&gt;"",Master!$N$38,IF($S340&lt;&gt;"",Master!$N$39,IF($C340&lt;&gt;"",Master!$N$40,Master!$N$41))))</f>
        <v>起票</v>
      </c>
      <c r="O340" s="412" t="str">
        <f>IF($N340=Master!$N$37,MAX($S340,$AC340,$AI340),"")</f>
        <v/>
      </c>
      <c r="P340" s="413"/>
      <c r="Q340" s="414"/>
      <c r="R340" s="409"/>
      <c r="S340" s="404"/>
      <c r="T340" s="418"/>
      <c r="U340" s="415"/>
      <c r="V340" s="409"/>
      <c r="W340" s="419"/>
      <c r="X340" s="419"/>
      <c r="Y340" s="416"/>
      <c r="Z340" s="417"/>
      <c r="AA340" s="418"/>
      <c r="AB340" s="419"/>
      <c r="AC340" s="404"/>
      <c r="AD340" s="404"/>
      <c r="AE340" s="420"/>
      <c r="AF340" s="421"/>
      <c r="AG340" s="418"/>
      <c r="AH340" s="409"/>
      <c r="AI340" s="404"/>
      <c r="AJ340" s="416"/>
      <c r="AK340" s="453"/>
      <c r="AL340" s="422"/>
      <c r="AM340" s="423"/>
      <c r="AO340" s="137" t="e">
        <f t="shared" si="42"/>
        <v>#N/A</v>
      </c>
      <c r="AP340" s="138" t="e">
        <f t="shared" si="43"/>
        <v>#N/A</v>
      </c>
      <c r="AQ340" s="138" t="e">
        <f t="shared" si="44"/>
        <v>#N/A</v>
      </c>
      <c r="AR340" s="138" t="e">
        <f t="shared" si="45"/>
        <v>#N/A</v>
      </c>
      <c r="AS340" s="138" t="e">
        <f t="shared" si="46"/>
        <v>#N/A</v>
      </c>
      <c r="AT340" s="139" t="e">
        <f t="shared" si="47"/>
        <v>#N/A</v>
      </c>
      <c r="BB340" s="16" t="s">
        <v>596</v>
      </c>
    </row>
    <row r="341" spans="1:54" ht="102.75" customHeight="1">
      <c r="A341" s="428">
        <f t="shared" si="48"/>
        <v>333</v>
      </c>
      <c r="B341" s="403"/>
      <c r="C341" s="404"/>
      <c r="D341" s="405"/>
      <c r="E341" s="405"/>
      <c r="F341" s="405"/>
      <c r="G341" s="405"/>
      <c r="H341" s="406"/>
      <c r="I341" s="407"/>
      <c r="J341" s="408"/>
      <c r="K341" s="409"/>
      <c r="L341" s="410"/>
      <c r="M341" s="404"/>
      <c r="N341" s="411" t="str">
        <f>IF($AI341&lt;&gt;"",Master!$N$37,IF($AC341&lt;&gt;"",Master!$N$38,IF($S341&lt;&gt;"",Master!$N$39,IF($C341&lt;&gt;"",Master!$N$40,Master!$N$41))))</f>
        <v>起票</v>
      </c>
      <c r="O341" s="412" t="str">
        <f>IF($N341=Master!$N$37,MAX($S341,$AC341,$AI341),"")</f>
        <v/>
      </c>
      <c r="P341" s="413"/>
      <c r="Q341" s="414"/>
      <c r="R341" s="409"/>
      <c r="S341" s="404"/>
      <c r="T341" s="418"/>
      <c r="U341" s="415"/>
      <c r="V341" s="409"/>
      <c r="W341" s="419"/>
      <c r="X341" s="419"/>
      <c r="Y341" s="416"/>
      <c r="Z341" s="417"/>
      <c r="AA341" s="418"/>
      <c r="AB341" s="419"/>
      <c r="AC341" s="404"/>
      <c r="AD341" s="404"/>
      <c r="AE341" s="420"/>
      <c r="AF341" s="421"/>
      <c r="AG341" s="418"/>
      <c r="AH341" s="409"/>
      <c r="AI341" s="404"/>
      <c r="AJ341" s="416"/>
      <c r="AK341" s="453"/>
      <c r="AL341" s="422"/>
      <c r="AM341" s="423"/>
      <c r="AO341" s="137" t="e">
        <f t="shared" si="42"/>
        <v>#N/A</v>
      </c>
      <c r="AP341" s="138" t="e">
        <f t="shared" si="43"/>
        <v>#N/A</v>
      </c>
      <c r="AQ341" s="138" t="e">
        <f t="shared" si="44"/>
        <v>#N/A</v>
      </c>
      <c r="AR341" s="138" t="e">
        <f t="shared" si="45"/>
        <v>#N/A</v>
      </c>
      <c r="AS341" s="138" t="e">
        <f t="shared" si="46"/>
        <v>#N/A</v>
      </c>
      <c r="AT341" s="139" t="e">
        <f t="shared" si="47"/>
        <v>#N/A</v>
      </c>
      <c r="BB341" s="16" t="s">
        <v>596</v>
      </c>
    </row>
    <row r="342" spans="1:54" ht="102.75" customHeight="1">
      <c r="A342" s="428">
        <f t="shared" si="48"/>
        <v>334</v>
      </c>
      <c r="B342" s="294"/>
      <c r="C342" s="201"/>
      <c r="D342" s="290"/>
      <c r="E342" s="301"/>
      <c r="F342" s="301"/>
      <c r="G342" s="290"/>
      <c r="H342" s="291"/>
      <c r="I342" s="292"/>
      <c r="J342" s="61"/>
      <c r="K342" s="57"/>
      <c r="L342" s="303"/>
      <c r="M342" s="201"/>
      <c r="N342" s="84" t="str">
        <f>IF($AI342&lt;&gt;"",Master!$N$37,IF($AC342&lt;&gt;"",Master!$N$38,IF($S342&lt;&gt;"",Master!$N$39,IF($C342&lt;&gt;"",Master!$N$40,Master!$N$41))))</f>
        <v>起票</v>
      </c>
      <c r="O342" s="202" t="str">
        <f>IF($N342=Master!$N$37,MAX($S342,$AC342,$AI342),"")</f>
        <v/>
      </c>
      <c r="P342" s="65"/>
      <c r="Q342" s="203"/>
      <c r="R342" s="57"/>
      <c r="S342" s="203"/>
      <c r="T342" s="310"/>
      <c r="U342" s="289"/>
      <c r="V342" s="57"/>
      <c r="W342" s="288"/>
      <c r="X342" s="288"/>
      <c r="Y342" s="296"/>
      <c r="Z342" s="57"/>
      <c r="AA342" s="203"/>
      <c r="AB342" s="288"/>
      <c r="AC342" s="201"/>
      <c r="AD342" s="298"/>
      <c r="AE342" s="297"/>
      <c r="AF342" s="58"/>
      <c r="AG342" s="204"/>
      <c r="AH342" s="57"/>
      <c r="AI342" s="201"/>
      <c r="AJ342" s="287"/>
      <c r="AK342" s="452"/>
      <c r="AL342" s="59"/>
      <c r="AM342" s="60"/>
      <c r="AO342" s="137" t="e">
        <f t="shared" si="42"/>
        <v>#N/A</v>
      </c>
      <c r="AP342" s="138" t="e">
        <f t="shared" si="43"/>
        <v>#N/A</v>
      </c>
      <c r="AQ342" s="138" t="e">
        <f t="shared" si="44"/>
        <v>#N/A</v>
      </c>
      <c r="AR342" s="138" t="e">
        <f t="shared" si="45"/>
        <v>#N/A</v>
      </c>
      <c r="AS342" s="138" t="e">
        <f t="shared" si="46"/>
        <v>#N/A</v>
      </c>
      <c r="AT342" s="139" t="e">
        <f t="shared" si="47"/>
        <v>#N/A</v>
      </c>
      <c r="BB342" s="16" t="s">
        <v>596</v>
      </c>
    </row>
    <row r="343" spans="1:54" ht="102.75" customHeight="1">
      <c r="A343" s="428">
        <f t="shared" si="48"/>
        <v>335</v>
      </c>
      <c r="B343" s="294"/>
      <c r="C343" s="201"/>
      <c r="D343" s="290"/>
      <c r="E343" s="301"/>
      <c r="F343" s="301"/>
      <c r="G343" s="290"/>
      <c r="H343" s="291"/>
      <c r="I343" s="292"/>
      <c r="J343" s="61"/>
      <c r="K343" s="57"/>
      <c r="L343" s="303"/>
      <c r="M343" s="201"/>
      <c r="N343" s="84" t="str">
        <f>IF($AI343&lt;&gt;"",Master!$N$37,IF($AC343&lt;&gt;"",Master!$N$38,IF($S343&lt;&gt;"",Master!$N$39,IF($C343&lt;&gt;"",Master!$N$40,Master!$N$41))))</f>
        <v>起票</v>
      </c>
      <c r="O343" s="202" t="str">
        <f>IF($N343=Master!$N$37,MAX($S343,$AC343,$AI343),"")</f>
        <v/>
      </c>
      <c r="P343" s="65"/>
      <c r="Q343" s="203"/>
      <c r="R343" s="57"/>
      <c r="S343" s="203"/>
      <c r="T343" s="310"/>
      <c r="U343" s="289"/>
      <c r="V343" s="57"/>
      <c r="W343" s="288"/>
      <c r="X343" s="288"/>
      <c r="Y343" s="296"/>
      <c r="Z343" s="57"/>
      <c r="AA343" s="203"/>
      <c r="AB343" s="288"/>
      <c r="AC343" s="201"/>
      <c r="AD343" s="298"/>
      <c r="AE343" s="297"/>
      <c r="AF343" s="58"/>
      <c r="AG343" s="204"/>
      <c r="AH343" s="57"/>
      <c r="AI343" s="201"/>
      <c r="AJ343" s="287"/>
      <c r="AK343" s="452"/>
      <c r="AL343" s="59"/>
      <c r="AM343" s="60"/>
      <c r="AO343" s="137" t="e">
        <f t="shared" si="42"/>
        <v>#N/A</v>
      </c>
      <c r="AP343" s="138" t="e">
        <f t="shared" si="43"/>
        <v>#N/A</v>
      </c>
      <c r="AQ343" s="138" t="e">
        <f t="shared" si="44"/>
        <v>#N/A</v>
      </c>
      <c r="AR343" s="138" t="e">
        <f t="shared" si="45"/>
        <v>#N/A</v>
      </c>
      <c r="AS343" s="138" t="e">
        <f t="shared" si="46"/>
        <v>#N/A</v>
      </c>
      <c r="AT343" s="139" t="e">
        <f t="shared" si="47"/>
        <v>#N/A</v>
      </c>
      <c r="BB343" s="16" t="s">
        <v>596</v>
      </c>
    </row>
    <row r="344" spans="1:54" ht="102.75" customHeight="1">
      <c r="A344" s="428">
        <f t="shared" si="48"/>
        <v>336</v>
      </c>
      <c r="B344" s="294"/>
      <c r="C344" s="201"/>
      <c r="D344" s="290"/>
      <c r="E344" s="301"/>
      <c r="F344" s="301"/>
      <c r="G344" s="290"/>
      <c r="H344" s="291"/>
      <c r="I344" s="292"/>
      <c r="J344" s="61"/>
      <c r="K344" s="57"/>
      <c r="L344" s="303"/>
      <c r="M344" s="201"/>
      <c r="N344" s="84" t="str">
        <f>IF($AI344&lt;&gt;"",Master!$N$37,IF($AC344&lt;&gt;"",Master!$N$38,IF($S344&lt;&gt;"",Master!$N$39,IF($C344&lt;&gt;"",Master!$N$40,Master!$N$41))))</f>
        <v>起票</v>
      </c>
      <c r="O344" s="202" t="str">
        <f>IF($N344=Master!$N$37,MAX($S344,$AC344,$AI344),"")</f>
        <v/>
      </c>
      <c r="P344" s="65"/>
      <c r="Q344" s="203"/>
      <c r="R344" s="57"/>
      <c r="S344" s="203"/>
      <c r="T344" s="310"/>
      <c r="U344" s="289"/>
      <c r="V344" s="57"/>
      <c r="W344" s="288"/>
      <c r="X344" s="288"/>
      <c r="Y344" s="296"/>
      <c r="Z344" s="57"/>
      <c r="AA344" s="203"/>
      <c r="AB344" s="288"/>
      <c r="AC344" s="201"/>
      <c r="AD344" s="298"/>
      <c r="AE344" s="297"/>
      <c r="AF344" s="58"/>
      <c r="AG344" s="204"/>
      <c r="AH344" s="57"/>
      <c r="AI344" s="201"/>
      <c r="AJ344" s="287"/>
      <c r="AK344" s="452"/>
      <c r="AL344" s="59"/>
      <c r="AM344" s="60"/>
      <c r="AO344" s="137" t="e">
        <f t="shared" si="42"/>
        <v>#N/A</v>
      </c>
      <c r="AP344" s="138" t="e">
        <f t="shared" si="43"/>
        <v>#N/A</v>
      </c>
      <c r="AQ344" s="138" t="e">
        <f t="shared" si="44"/>
        <v>#N/A</v>
      </c>
      <c r="AR344" s="138" t="e">
        <f t="shared" si="45"/>
        <v>#N/A</v>
      </c>
      <c r="AS344" s="138" t="e">
        <f t="shared" si="46"/>
        <v>#N/A</v>
      </c>
      <c r="AT344" s="139" t="e">
        <f t="shared" si="47"/>
        <v>#N/A</v>
      </c>
      <c r="BB344" s="16" t="s">
        <v>596</v>
      </c>
    </row>
    <row r="345" spans="1:54" ht="102.75" customHeight="1">
      <c r="A345" s="428">
        <f t="shared" si="48"/>
        <v>337</v>
      </c>
      <c r="B345" s="294"/>
      <c r="C345" s="201"/>
      <c r="D345" s="290"/>
      <c r="E345" s="301"/>
      <c r="F345" s="301"/>
      <c r="G345" s="290"/>
      <c r="H345" s="291"/>
      <c r="I345" s="292"/>
      <c r="J345" s="61"/>
      <c r="K345" s="57"/>
      <c r="L345" s="303"/>
      <c r="M345" s="201"/>
      <c r="N345" s="84" t="str">
        <f>IF($AI345&lt;&gt;"",Master!$N$37,IF($AC345&lt;&gt;"",Master!$N$38,IF($S345&lt;&gt;"",Master!$N$39,IF($C345&lt;&gt;"",Master!$N$40,Master!$N$41))))</f>
        <v>起票</v>
      </c>
      <c r="O345" s="202" t="str">
        <f>IF($N345=Master!$N$37,MAX($S345,$AC345,$AI345),"")</f>
        <v/>
      </c>
      <c r="P345" s="65"/>
      <c r="Q345" s="203"/>
      <c r="R345" s="57"/>
      <c r="S345" s="203"/>
      <c r="T345" s="310"/>
      <c r="U345" s="289"/>
      <c r="V345" s="57"/>
      <c r="W345" s="288"/>
      <c r="X345" s="288"/>
      <c r="Y345" s="296"/>
      <c r="Z345" s="57"/>
      <c r="AA345" s="203"/>
      <c r="AB345" s="288"/>
      <c r="AC345" s="201"/>
      <c r="AD345" s="298"/>
      <c r="AE345" s="297"/>
      <c r="AF345" s="58"/>
      <c r="AG345" s="204"/>
      <c r="AH345" s="57"/>
      <c r="AI345" s="201"/>
      <c r="AJ345" s="287"/>
      <c r="AK345" s="452"/>
      <c r="AL345" s="59"/>
      <c r="AM345" s="60"/>
      <c r="AO345" s="137" t="e">
        <f t="shared" si="42"/>
        <v>#N/A</v>
      </c>
      <c r="AP345" s="138" t="e">
        <f t="shared" si="43"/>
        <v>#N/A</v>
      </c>
      <c r="AQ345" s="138" t="e">
        <f t="shared" si="44"/>
        <v>#N/A</v>
      </c>
      <c r="AR345" s="138" t="e">
        <f t="shared" si="45"/>
        <v>#N/A</v>
      </c>
      <c r="AS345" s="138" t="e">
        <f t="shared" si="46"/>
        <v>#N/A</v>
      </c>
      <c r="AT345" s="139" t="e">
        <f t="shared" si="47"/>
        <v>#N/A</v>
      </c>
      <c r="BB345" s="16" t="s">
        <v>596</v>
      </c>
    </row>
    <row r="346" spans="1:54" ht="102.75" customHeight="1">
      <c r="A346" s="428">
        <f t="shared" si="48"/>
        <v>338</v>
      </c>
      <c r="B346" s="294"/>
      <c r="C346" s="201"/>
      <c r="D346" s="290"/>
      <c r="E346" s="301"/>
      <c r="F346" s="301"/>
      <c r="G346" s="290"/>
      <c r="H346" s="291"/>
      <c r="I346" s="292"/>
      <c r="J346" s="61"/>
      <c r="K346" s="57"/>
      <c r="L346" s="303"/>
      <c r="M346" s="201"/>
      <c r="N346" s="84" t="str">
        <f>IF($AI346&lt;&gt;"",Master!$N$37,IF($AC346&lt;&gt;"",Master!$N$38,IF($S346&lt;&gt;"",Master!$N$39,IF($C346&lt;&gt;"",Master!$N$40,Master!$N$41))))</f>
        <v>起票</v>
      </c>
      <c r="O346" s="202" t="str">
        <f>IF($N346=Master!$N$37,MAX($S346,$AC346,$AI346),"")</f>
        <v/>
      </c>
      <c r="P346" s="65"/>
      <c r="Q346" s="203"/>
      <c r="R346" s="57"/>
      <c r="S346" s="203"/>
      <c r="T346" s="310"/>
      <c r="U346" s="289"/>
      <c r="V346" s="57"/>
      <c r="W346" s="288"/>
      <c r="X346" s="288"/>
      <c r="Y346" s="296"/>
      <c r="Z346" s="57"/>
      <c r="AA346" s="203"/>
      <c r="AB346" s="288"/>
      <c r="AC346" s="201"/>
      <c r="AD346" s="298"/>
      <c r="AE346" s="297"/>
      <c r="AF346" s="58"/>
      <c r="AG346" s="204"/>
      <c r="AH346" s="57"/>
      <c r="AI346" s="201"/>
      <c r="AJ346" s="287"/>
      <c r="AK346" s="452"/>
      <c r="AL346" s="59"/>
      <c r="AM346" s="60"/>
      <c r="AO346" s="137" t="e">
        <f t="shared" si="42"/>
        <v>#N/A</v>
      </c>
      <c r="AP346" s="138" t="e">
        <f t="shared" si="43"/>
        <v>#N/A</v>
      </c>
      <c r="AQ346" s="138" t="e">
        <f t="shared" si="44"/>
        <v>#N/A</v>
      </c>
      <c r="AR346" s="138" t="e">
        <f t="shared" si="45"/>
        <v>#N/A</v>
      </c>
      <c r="AS346" s="138" t="e">
        <f t="shared" si="46"/>
        <v>#N/A</v>
      </c>
      <c r="AT346" s="139" t="e">
        <f t="shared" si="47"/>
        <v>#N/A</v>
      </c>
      <c r="BB346" s="16" t="s">
        <v>596</v>
      </c>
    </row>
    <row r="347" spans="1:54" ht="102.75" customHeight="1">
      <c r="A347" s="428">
        <f t="shared" si="48"/>
        <v>339</v>
      </c>
      <c r="B347" s="403"/>
      <c r="C347" s="404"/>
      <c r="D347" s="405"/>
      <c r="E347" s="405"/>
      <c r="F347" s="405"/>
      <c r="G347" s="405"/>
      <c r="H347" s="406"/>
      <c r="I347" s="407"/>
      <c r="J347" s="408"/>
      <c r="K347" s="409"/>
      <c r="L347" s="410"/>
      <c r="M347" s="404"/>
      <c r="N347" s="411" t="str">
        <f>IF($AI347&lt;&gt;"",Master!$N$37,IF($AC347&lt;&gt;"",Master!$N$38,IF($S347&lt;&gt;"",Master!$N$39,IF($C347&lt;&gt;"",Master!$N$40,Master!$N$41))))</f>
        <v>起票</v>
      </c>
      <c r="O347" s="412" t="str">
        <f>IF($N347=Master!$N$37,MAX($S347,$AC347,$AI347),"")</f>
        <v/>
      </c>
      <c r="P347" s="413"/>
      <c r="Q347" s="414"/>
      <c r="R347" s="409"/>
      <c r="S347" s="404"/>
      <c r="T347" s="418"/>
      <c r="U347" s="415"/>
      <c r="V347" s="409"/>
      <c r="W347" s="419"/>
      <c r="X347" s="419"/>
      <c r="Y347" s="416"/>
      <c r="Z347" s="417"/>
      <c r="AA347" s="418"/>
      <c r="AB347" s="419"/>
      <c r="AC347" s="404"/>
      <c r="AD347" s="404"/>
      <c r="AE347" s="420"/>
      <c r="AF347" s="421"/>
      <c r="AG347" s="418"/>
      <c r="AH347" s="409"/>
      <c r="AI347" s="404"/>
      <c r="AJ347" s="416"/>
      <c r="AK347" s="453"/>
      <c r="AL347" s="422"/>
      <c r="AM347" s="423"/>
      <c r="AO347" s="137" t="e">
        <f t="shared" si="42"/>
        <v>#N/A</v>
      </c>
      <c r="AP347" s="138" t="e">
        <f t="shared" si="43"/>
        <v>#N/A</v>
      </c>
      <c r="AQ347" s="138" t="e">
        <f t="shared" si="44"/>
        <v>#N/A</v>
      </c>
      <c r="AR347" s="138" t="e">
        <f t="shared" si="45"/>
        <v>#N/A</v>
      </c>
      <c r="AS347" s="138" t="e">
        <f t="shared" si="46"/>
        <v>#N/A</v>
      </c>
      <c r="AT347" s="139" t="e">
        <f t="shared" si="47"/>
        <v>#N/A</v>
      </c>
      <c r="BB347" s="16" t="s">
        <v>596</v>
      </c>
    </row>
    <row r="348" spans="1:54" ht="102.75" customHeight="1">
      <c r="A348" s="428">
        <f t="shared" si="48"/>
        <v>340</v>
      </c>
      <c r="B348" s="403"/>
      <c r="C348" s="404"/>
      <c r="D348" s="405"/>
      <c r="E348" s="405"/>
      <c r="F348" s="405"/>
      <c r="G348" s="405"/>
      <c r="H348" s="406"/>
      <c r="I348" s="407"/>
      <c r="J348" s="408"/>
      <c r="K348" s="409"/>
      <c r="L348" s="410"/>
      <c r="M348" s="404"/>
      <c r="N348" s="411" t="str">
        <f>IF($AI348&lt;&gt;"",Master!$N$37,IF($AC348&lt;&gt;"",Master!$N$38,IF($S348&lt;&gt;"",Master!$N$39,IF($C348&lt;&gt;"",Master!$N$40,Master!$N$41))))</f>
        <v>起票</v>
      </c>
      <c r="O348" s="412" t="str">
        <f>IF($N348=Master!$N$37,MAX($S348,$AC348,$AI348),"")</f>
        <v/>
      </c>
      <c r="P348" s="413"/>
      <c r="Q348" s="414"/>
      <c r="R348" s="409"/>
      <c r="S348" s="404"/>
      <c r="T348" s="418"/>
      <c r="U348" s="415"/>
      <c r="V348" s="409"/>
      <c r="W348" s="419"/>
      <c r="X348" s="419"/>
      <c r="Y348" s="416"/>
      <c r="Z348" s="417"/>
      <c r="AA348" s="418"/>
      <c r="AB348" s="419"/>
      <c r="AC348" s="404"/>
      <c r="AD348" s="404"/>
      <c r="AE348" s="420"/>
      <c r="AF348" s="421"/>
      <c r="AG348" s="418"/>
      <c r="AH348" s="409"/>
      <c r="AI348" s="404"/>
      <c r="AJ348" s="416"/>
      <c r="AK348" s="453"/>
      <c r="AL348" s="422"/>
      <c r="AM348" s="423"/>
      <c r="AO348" s="137" t="e">
        <f t="shared" si="42"/>
        <v>#N/A</v>
      </c>
      <c r="AP348" s="138" t="e">
        <f t="shared" si="43"/>
        <v>#N/A</v>
      </c>
      <c r="AQ348" s="138" t="e">
        <f t="shared" si="44"/>
        <v>#N/A</v>
      </c>
      <c r="AR348" s="138" t="e">
        <f t="shared" si="45"/>
        <v>#N/A</v>
      </c>
      <c r="AS348" s="138" t="e">
        <f t="shared" si="46"/>
        <v>#N/A</v>
      </c>
      <c r="AT348" s="139" t="e">
        <f t="shared" si="47"/>
        <v>#N/A</v>
      </c>
      <c r="BB348" s="16" t="s">
        <v>596</v>
      </c>
    </row>
    <row r="349" spans="1:54" ht="102.75" customHeight="1">
      <c r="A349" s="428">
        <f t="shared" si="48"/>
        <v>341</v>
      </c>
      <c r="B349" s="403"/>
      <c r="C349" s="404"/>
      <c r="D349" s="405"/>
      <c r="E349" s="405"/>
      <c r="F349" s="405"/>
      <c r="G349" s="405"/>
      <c r="H349" s="406"/>
      <c r="I349" s="407"/>
      <c r="J349" s="408"/>
      <c r="K349" s="409"/>
      <c r="L349" s="410"/>
      <c r="M349" s="404"/>
      <c r="N349" s="411" t="str">
        <f>IF($AI349&lt;&gt;"",Master!$N$37,IF($AC349&lt;&gt;"",Master!$N$38,IF($S349&lt;&gt;"",Master!$N$39,IF($C349&lt;&gt;"",Master!$N$40,Master!$N$41))))</f>
        <v>起票</v>
      </c>
      <c r="O349" s="412" t="str">
        <f>IF($N349=Master!$N$37,MAX($S349,$AC349,$AI349),"")</f>
        <v/>
      </c>
      <c r="P349" s="413"/>
      <c r="Q349" s="414"/>
      <c r="R349" s="409"/>
      <c r="S349" s="404"/>
      <c r="T349" s="418"/>
      <c r="U349" s="415"/>
      <c r="V349" s="409"/>
      <c r="W349" s="419"/>
      <c r="X349" s="419"/>
      <c r="Y349" s="416"/>
      <c r="Z349" s="417"/>
      <c r="AA349" s="418"/>
      <c r="AB349" s="419"/>
      <c r="AC349" s="404"/>
      <c r="AD349" s="404"/>
      <c r="AE349" s="420"/>
      <c r="AF349" s="421"/>
      <c r="AG349" s="418"/>
      <c r="AH349" s="409"/>
      <c r="AI349" s="404"/>
      <c r="AJ349" s="416"/>
      <c r="AK349" s="453"/>
      <c r="AL349" s="422"/>
      <c r="AM349" s="423"/>
      <c r="AO349" s="137" t="e">
        <f t="shared" si="42"/>
        <v>#N/A</v>
      </c>
      <c r="AP349" s="138" t="e">
        <f t="shared" si="43"/>
        <v>#N/A</v>
      </c>
      <c r="AQ349" s="138" t="e">
        <f t="shared" si="44"/>
        <v>#N/A</v>
      </c>
      <c r="AR349" s="138" t="e">
        <f t="shared" si="45"/>
        <v>#N/A</v>
      </c>
      <c r="AS349" s="138" t="e">
        <f t="shared" si="46"/>
        <v>#N/A</v>
      </c>
      <c r="AT349" s="139" t="e">
        <f t="shared" si="47"/>
        <v>#N/A</v>
      </c>
      <c r="BB349" s="16" t="s">
        <v>596</v>
      </c>
    </row>
    <row r="350" spans="1:54" ht="102.75" customHeight="1">
      <c r="A350" s="428">
        <f t="shared" si="48"/>
        <v>342</v>
      </c>
      <c r="B350" s="294"/>
      <c r="C350" s="201"/>
      <c r="D350" s="290"/>
      <c r="E350" s="301"/>
      <c r="F350" s="301"/>
      <c r="G350" s="290"/>
      <c r="H350" s="291"/>
      <c r="I350" s="292"/>
      <c r="J350" s="61"/>
      <c r="K350" s="57"/>
      <c r="L350" s="303"/>
      <c r="M350" s="201"/>
      <c r="N350" s="84" t="str">
        <f>IF($AI350&lt;&gt;"",Master!$N$37,IF($AC350&lt;&gt;"",Master!$N$38,IF($S350&lt;&gt;"",Master!$N$39,IF($C350&lt;&gt;"",Master!$N$40,Master!$N$41))))</f>
        <v>起票</v>
      </c>
      <c r="O350" s="202" t="str">
        <f>IF($N350=Master!$N$37,MAX($S350,$AC350,$AI350),"")</f>
        <v/>
      </c>
      <c r="P350" s="65"/>
      <c r="Q350" s="203"/>
      <c r="R350" s="57"/>
      <c r="S350" s="203"/>
      <c r="T350" s="310"/>
      <c r="U350" s="289"/>
      <c r="V350" s="57"/>
      <c r="W350" s="288"/>
      <c r="X350" s="288"/>
      <c r="Y350" s="296"/>
      <c r="Z350" s="57"/>
      <c r="AA350" s="203"/>
      <c r="AB350" s="288"/>
      <c r="AC350" s="201"/>
      <c r="AD350" s="298"/>
      <c r="AE350" s="297"/>
      <c r="AF350" s="58"/>
      <c r="AG350" s="204"/>
      <c r="AH350" s="57"/>
      <c r="AI350" s="201"/>
      <c r="AJ350" s="287"/>
      <c r="AK350" s="452"/>
      <c r="AL350" s="59"/>
      <c r="AM350" s="60"/>
      <c r="AO350" s="137" t="e">
        <f t="shared" si="42"/>
        <v>#N/A</v>
      </c>
      <c r="AP350" s="138" t="e">
        <f t="shared" si="43"/>
        <v>#N/A</v>
      </c>
      <c r="AQ350" s="138" t="e">
        <f t="shared" si="44"/>
        <v>#N/A</v>
      </c>
      <c r="AR350" s="138" t="e">
        <f t="shared" si="45"/>
        <v>#N/A</v>
      </c>
      <c r="AS350" s="138" t="e">
        <f t="shared" si="46"/>
        <v>#N/A</v>
      </c>
      <c r="AT350" s="139" t="e">
        <f t="shared" si="47"/>
        <v>#N/A</v>
      </c>
      <c r="BB350" s="16" t="s">
        <v>596</v>
      </c>
    </row>
    <row r="351" spans="1:54" ht="102.75" customHeight="1">
      <c r="A351" s="428">
        <f t="shared" si="48"/>
        <v>343</v>
      </c>
      <c r="B351" s="294"/>
      <c r="C351" s="201"/>
      <c r="D351" s="290"/>
      <c r="E351" s="301"/>
      <c r="F351" s="301"/>
      <c r="G351" s="290"/>
      <c r="H351" s="291"/>
      <c r="I351" s="292"/>
      <c r="J351" s="61"/>
      <c r="K351" s="57"/>
      <c r="L351" s="303"/>
      <c r="M351" s="201"/>
      <c r="N351" s="84" t="str">
        <f>IF($AI351&lt;&gt;"",Master!$N$37,IF($AC351&lt;&gt;"",Master!$N$38,IF($S351&lt;&gt;"",Master!$N$39,IF($C351&lt;&gt;"",Master!$N$40,Master!$N$41))))</f>
        <v>起票</v>
      </c>
      <c r="O351" s="202" t="str">
        <f>IF($N351=Master!$N$37,MAX($S351,$AC351,$AI351),"")</f>
        <v/>
      </c>
      <c r="P351" s="65"/>
      <c r="Q351" s="203"/>
      <c r="R351" s="57"/>
      <c r="S351" s="203"/>
      <c r="T351" s="310"/>
      <c r="U351" s="289"/>
      <c r="V351" s="57"/>
      <c r="W351" s="288"/>
      <c r="X351" s="288"/>
      <c r="Y351" s="296"/>
      <c r="Z351" s="57"/>
      <c r="AA351" s="203"/>
      <c r="AB351" s="288"/>
      <c r="AC351" s="201"/>
      <c r="AD351" s="298"/>
      <c r="AE351" s="297"/>
      <c r="AF351" s="58"/>
      <c r="AG351" s="204"/>
      <c r="AH351" s="57"/>
      <c r="AI351" s="201"/>
      <c r="AJ351" s="287"/>
      <c r="AK351" s="452"/>
      <c r="AL351" s="59"/>
      <c r="AM351" s="60"/>
      <c r="AO351" s="137" t="e">
        <f t="shared" si="42"/>
        <v>#N/A</v>
      </c>
      <c r="AP351" s="138" t="e">
        <f t="shared" si="43"/>
        <v>#N/A</v>
      </c>
      <c r="AQ351" s="138" t="e">
        <f t="shared" si="44"/>
        <v>#N/A</v>
      </c>
      <c r="AR351" s="138" t="e">
        <f t="shared" si="45"/>
        <v>#N/A</v>
      </c>
      <c r="AS351" s="138" t="e">
        <f t="shared" si="46"/>
        <v>#N/A</v>
      </c>
      <c r="AT351" s="139" t="e">
        <f t="shared" si="47"/>
        <v>#N/A</v>
      </c>
      <c r="BB351" s="16" t="s">
        <v>596</v>
      </c>
    </row>
    <row r="352" spans="1:54" ht="102.75" customHeight="1">
      <c r="A352" s="428">
        <f t="shared" si="48"/>
        <v>344</v>
      </c>
      <c r="B352" s="403"/>
      <c r="C352" s="404"/>
      <c r="D352" s="405"/>
      <c r="E352" s="405"/>
      <c r="F352" s="405"/>
      <c r="G352" s="405"/>
      <c r="H352" s="406"/>
      <c r="I352" s="407"/>
      <c r="J352" s="408"/>
      <c r="K352" s="409"/>
      <c r="L352" s="410"/>
      <c r="M352" s="404"/>
      <c r="N352" s="411" t="str">
        <f>IF($AI352&lt;&gt;"",Master!$N$37,IF($AC352&lt;&gt;"",Master!$N$38,IF($S352&lt;&gt;"",Master!$N$39,IF($C352&lt;&gt;"",Master!$N$40,Master!$N$41))))</f>
        <v>起票</v>
      </c>
      <c r="O352" s="412" t="str">
        <f>IF($N352=Master!$N$37,MAX($S352,$AC352,$AI352),"")</f>
        <v/>
      </c>
      <c r="P352" s="413"/>
      <c r="Q352" s="414"/>
      <c r="R352" s="409"/>
      <c r="S352" s="404"/>
      <c r="T352" s="418"/>
      <c r="U352" s="415"/>
      <c r="V352" s="409"/>
      <c r="W352" s="419"/>
      <c r="X352" s="419"/>
      <c r="Y352" s="416"/>
      <c r="Z352" s="417"/>
      <c r="AA352" s="418"/>
      <c r="AB352" s="419"/>
      <c r="AC352" s="404"/>
      <c r="AD352" s="404"/>
      <c r="AE352" s="420"/>
      <c r="AF352" s="421"/>
      <c r="AG352" s="418"/>
      <c r="AH352" s="409"/>
      <c r="AI352" s="404"/>
      <c r="AJ352" s="416"/>
      <c r="AK352" s="453"/>
      <c r="AL352" s="422"/>
      <c r="AM352" s="423"/>
      <c r="AO352" s="137" t="e">
        <f t="shared" si="42"/>
        <v>#N/A</v>
      </c>
      <c r="AP352" s="138" t="e">
        <f t="shared" si="43"/>
        <v>#N/A</v>
      </c>
      <c r="AQ352" s="138" t="e">
        <f t="shared" si="44"/>
        <v>#N/A</v>
      </c>
      <c r="AR352" s="138" t="e">
        <f t="shared" si="45"/>
        <v>#N/A</v>
      </c>
      <c r="AS352" s="138" t="e">
        <f t="shared" si="46"/>
        <v>#N/A</v>
      </c>
      <c r="AT352" s="139" t="e">
        <f t="shared" si="47"/>
        <v>#N/A</v>
      </c>
      <c r="BB352" s="16" t="s">
        <v>596</v>
      </c>
    </row>
    <row r="353" spans="1:54" ht="102.75" customHeight="1">
      <c r="A353" s="428">
        <f t="shared" si="48"/>
        <v>345</v>
      </c>
      <c r="B353" s="403"/>
      <c r="C353" s="404"/>
      <c r="D353" s="405"/>
      <c r="E353" s="405"/>
      <c r="F353" s="405"/>
      <c r="G353" s="405"/>
      <c r="H353" s="406"/>
      <c r="I353" s="407"/>
      <c r="J353" s="408"/>
      <c r="K353" s="409"/>
      <c r="L353" s="410"/>
      <c r="M353" s="404"/>
      <c r="N353" s="411" t="str">
        <f>IF($AI353&lt;&gt;"",Master!$N$37,IF($AC353&lt;&gt;"",Master!$N$38,IF($S353&lt;&gt;"",Master!$N$39,IF($C353&lt;&gt;"",Master!$N$40,Master!$N$41))))</f>
        <v>起票</v>
      </c>
      <c r="O353" s="412" t="str">
        <f>IF($N353=Master!$N$37,MAX($S353,$AC353,$AI353),"")</f>
        <v/>
      </c>
      <c r="P353" s="413"/>
      <c r="Q353" s="414"/>
      <c r="R353" s="409"/>
      <c r="S353" s="404"/>
      <c r="T353" s="418"/>
      <c r="U353" s="415"/>
      <c r="V353" s="409"/>
      <c r="W353" s="419"/>
      <c r="X353" s="419"/>
      <c r="Y353" s="416"/>
      <c r="Z353" s="417"/>
      <c r="AA353" s="418"/>
      <c r="AB353" s="419"/>
      <c r="AC353" s="404"/>
      <c r="AD353" s="404"/>
      <c r="AE353" s="420"/>
      <c r="AF353" s="421"/>
      <c r="AG353" s="418"/>
      <c r="AH353" s="409"/>
      <c r="AI353" s="404"/>
      <c r="AJ353" s="416"/>
      <c r="AK353" s="453"/>
      <c r="AL353" s="422"/>
      <c r="AM353" s="423"/>
      <c r="AO353" s="137" t="e">
        <f t="shared" si="42"/>
        <v>#N/A</v>
      </c>
      <c r="AP353" s="138" t="e">
        <f t="shared" si="43"/>
        <v>#N/A</v>
      </c>
      <c r="AQ353" s="138" t="e">
        <f t="shared" si="44"/>
        <v>#N/A</v>
      </c>
      <c r="AR353" s="138" t="e">
        <f t="shared" si="45"/>
        <v>#N/A</v>
      </c>
      <c r="AS353" s="138" t="e">
        <f t="shared" si="46"/>
        <v>#N/A</v>
      </c>
      <c r="AT353" s="139" t="e">
        <f t="shared" si="47"/>
        <v>#N/A</v>
      </c>
      <c r="BB353" s="16" t="s">
        <v>596</v>
      </c>
    </row>
    <row r="354" spans="1:54" ht="102.75" customHeight="1">
      <c r="A354" s="428">
        <f t="shared" si="48"/>
        <v>346</v>
      </c>
      <c r="B354" s="403"/>
      <c r="C354" s="404"/>
      <c r="D354" s="405"/>
      <c r="E354" s="405"/>
      <c r="F354" s="405"/>
      <c r="G354" s="405"/>
      <c r="H354" s="406"/>
      <c r="I354" s="407"/>
      <c r="J354" s="408"/>
      <c r="K354" s="409"/>
      <c r="L354" s="410"/>
      <c r="M354" s="404"/>
      <c r="N354" s="411" t="str">
        <f>IF($AI354&lt;&gt;"",Master!$N$37,IF($AC354&lt;&gt;"",Master!$N$38,IF($S354&lt;&gt;"",Master!$N$39,IF($C354&lt;&gt;"",Master!$N$40,Master!$N$41))))</f>
        <v>起票</v>
      </c>
      <c r="O354" s="412" t="str">
        <f>IF($N354=Master!$N$37,MAX($S354,$AC354,$AI354),"")</f>
        <v/>
      </c>
      <c r="P354" s="413"/>
      <c r="Q354" s="414"/>
      <c r="R354" s="409"/>
      <c r="S354" s="404"/>
      <c r="T354" s="418"/>
      <c r="U354" s="415"/>
      <c r="V354" s="409"/>
      <c r="W354" s="419"/>
      <c r="X354" s="419"/>
      <c r="Y354" s="416"/>
      <c r="Z354" s="417"/>
      <c r="AA354" s="418"/>
      <c r="AB354" s="419"/>
      <c r="AC354" s="404"/>
      <c r="AD354" s="404"/>
      <c r="AE354" s="420"/>
      <c r="AF354" s="421"/>
      <c r="AG354" s="418"/>
      <c r="AH354" s="409"/>
      <c r="AI354" s="404"/>
      <c r="AJ354" s="416"/>
      <c r="AK354" s="453"/>
      <c r="AL354" s="422"/>
      <c r="AM354" s="423"/>
      <c r="AO354" s="137" t="e">
        <f t="shared" si="42"/>
        <v>#N/A</v>
      </c>
      <c r="AP354" s="138" t="e">
        <f t="shared" si="43"/>
        <v>#N/A</v>
      </c>
      <c r="AQ354" s="138" t="e">
        <f t="shared" si="44"/>
        <v>#N/A</v>
      </c>
      <c r="AR354" s="138" t="e">
        <f t="shared" si="45"/>
        <v>#N/A</v>
      </c>
      <c r="AS354" s="138" t="e">
        <f t="shared" si="46"/>
        <v>#N/A</v>
      </c>
      <c r="AT354" s="139" t="e">
        <f t="shared" si="47"/>
        <v>#N/A</v>
      </c>
      <c r="BB354" s="16" t="s">
        <v>596</v>
      </c>
    </row>
    <row r="355" spans="1:54" ht="102.75" customHeight="1">
      <c r="A355" s="428">
        <f t="shared" si="48"/>
        <v>347</v>
      </c>
      <c r="B355" s="294"/>
      <c r="C355" s="201"/>
      <c r="D355" s="290"/>
      <c r="E355" s="301"/>
      <c r="F355" s="301"/>
      <c r="G355" s="290"/>
      <c r="H355" s="291"/>
      <c r="I355" s="292"/>
      <c r="J355" s="61"/>
      <c r="K355" s="57"/>
      <c r="L355" s="303"/>
      <c r="M355" s="201"/>
      <c r="N355" s="84" t="str">
        <f>IF($AI355&lt;&gt;"",Master!$N$37,IF($AC355&lt;&gt;"",Master!$N$38,IF($S355&lt;&gt;"",Master!$N$39,IF($C355&lt;&gt;"",Master!$N$40,Master!$N$41))))</f>
        <v>起票</v>
      </c>
      <c r="O355" s="202" t="str">
        <f>IF($N355=Master!$N$37,MAX($S355,$AC355,$AI355),"")</f>
        <v/>
      </c>
      <c r="P355" s="65"/>
      <c r="Q355" s="203"/>
      <c r="R355" s="57"/>
      <c r="S355" s="203"/>
      <c r="T355" s="310"/>
      <c r="U355" s="289"/>
      <c r="V355" s="57"/>
      <c r="W355" s="288"/>
      <c r="X355" s="288"/>
      <c r="Y355" s="296"/>
      <c r="Z355" s="57"/>
      <c r="AA355" s="203"/>
      <c r="AB355" s="288"/>
      <c r="AC355" s="201"/>
      <c r="AD355" s="298"/>
      <c r="AE355" s="297"/>
      <c r="AF355" s="58"/>
      <c r="AG355" s="204"/>
      <c r="AH355" s="57"/>
      <c r="AI355" s="201"/>
      <c r="AJ355" s="287"/>
      <c r="AK355" s="452"/>
      <c r="AL355" s="59"/>
      <c r="AM355" s="60"/>
      <c r="AO355" s="137" t="e">
        <f t="shared" si="42"/>
        <v>#N/A</v>
      </c>
      <c r="AP355" s="138" t="e">
        <f t="shared" si="43"/>
        <v>#N/A</v>
      </c>
      <c r="AQ355" s="138" t="e">
        <f t="shared" si="44"/>
        <v>#N/A</v>
      </c>
      <c r="AR355" s="138" t="e">
        <f t="shared" si="45"/>
        <v>#N/A</v>
      </c>
      <c r="AS355" s="138" t="e">
        <f t="shared" si="46"/>
        <v>#N/A</v>
      </c>
      <c r="AT355" s="139" t="e">
        <f t="shared" si="47"/>
        <v>#N/A</v>
      </c>
      <c r="BB355" s="16" t="s">
        <v>596</v>
      </c>
    </row>
    <row r="356" spans="1:54" ht="102.75" customHeight="1">
      <c r="A356" s="428">
        <f t="shared" si="48"/>
        <v>348</v>
      </c>
      <c r="B356" s="294"/>
      <c r="C356" s="201"/>
      <c r="D356" s="290"/>
      <c r="E356" s="301"/>
      <c r="F356" s="301"/>
      <c r="G356" s="290"/>
      <c r="H356" s="291"/>
      <c r="I356" s="292"/>
      <c r="J356" s="61"/>
      <c r="K356" s="57"/>
      <c r="L356" s="303"/>
      <c r="M356" s="201"/>
      <c r="N356" s="84" t="str">
        <f>IF($AI356&lt;&gt;"",Master!$N$37,IF($AC356&lt;&gt;"",Master!$N$38,IF($S356&lt;&gt;"",Master!$N$39,IF($C356&lt;&gt;"",Master!$N$40,Master!$N$41))))</f>
        <v>起票</v>
      </c>
      <c r="O356" s="202" t="str">
        <f>IF($N356=Master!$N$37,MAX($S356,$AC356,$AI356),"")</f>
        <v/>
      </c>
      <c r="P356" s="65"/>
      <c r="Q356" s="203"/>
      <c r="R356" s="57"/>
      <c r="S356" s="203"/>
      <c r="T356" s="310"/>
      <c r="U356" s="289"/>
      <c r="V356" s="57"/>
      <c r="W356" s="288"/>
      <c r="X356" s="288"/>
      <c r="Y356" s="296"/>
      <c r="Z356" s="57"/>
      <c r="AA356" s="203"/>
      <c r="AB356" s="288"/>
      <c r="AC356" s="201"/>
      <c r="AD356" s="298"/>
      <c r="AE356" s="297"/>
      <c r="AF356" s="58"/>
      <c r="AG356" s="204"/>
      <c r="AH356" s="57"/>
      <c r="AI356" s="201"/>
      <c r="AJ356" s="287"/>
      <c r="AK356" s="452"/>
      <c r="AL356" s="59"/>
      <c r="AM356" s="60"/>
      <c r="AO356" s="137" t="e">
        <f t="shared" si="42"/>
        <v>#N/A</v>
      </c>
      <c r="AP356" s="138" t="e">
        <f t="shared" si="43"/>
        <v>#N/A</v>
      </c>
      <c r="AQ356" s="138" t="e">
        <f t="shared" si="44"/>
        <v>#N/A</v>
      </c>
      <c r="AR356" s="138" t="e">
        <f t="shared" si="45"/>
        <v>#N/A</v>
      </c>
      <c r="AS356" s="138" t="e">
        <f t="shared" si="46"/>
        <v>#N/A</v>
      </c>
      <c r="AT356" s="139" t="e">
        <f t="shared" si="47"/>
        <v>#N/A</v>
      </c>
      <c r="BB356" s="16" t="s">
        <v>596</v>
      </c>
    </row>
    <row r="357" spans="1:54" ht="102.75" customHeight="1">
      <c r="A357" s="428">
        <f t="shared" si="48"/>
        <v>349</v>
      </c>
      <c r="B357" s="294"/>
      <c r="C357" s="201"/>
      <c r="D357" s="290"/>
      <c r="E357" s="301"/>
      <c r="F357" s="301"/>
      <c r="G357" s="290"/>
      <c r="H357" s="291"/>
      <c r="I357" s="292"/>
      <c r="J357" s="61"/>
      <c r="K357" s="57"/>
      <c r="L357" s="303"/>
      <c r="M357" s="201"/>
      <c r="N357" s="84" t="str">
        <f>IF($AI357&lt;&gt;"",Master!$N$37,IF($AC357&lt;&gt;"",Master!$N$38,IF($S357&lt;&gt;"",Master!$N$39,IF($C357&lt;&gt;"",Master!$N$40,Master!$N$41))))</f>
        <v>起票</v>
      </c>
      <c r="O357" s="202" t="str">
        <f>IF($N357=Master!$N$37,MAX($S357,$AC357,$AI357),"")</f>
        <v/>
      </c>
      <c r="P357" s="65"/>
      <c r="Q357" s="203"/>
      <c r="R357" s="57"/>
      <c r="S357" s="203"/>
      <c r="T357" s="310"/>
      <c r="U357" s="289"/>
      <c r="V357" s="57"/>
      <c r="W357" s="288"/>
      <c r="X357" s="288"/>
      <c r="Y357" s="296"/>
      <c r="Z357" s="57"/>
      <c r="AA357" s="203"/>
      <c r="AB357" s="288"/>
      <c r="AC357" s="201"/>
      <c r="AD357" s="298"/>
      <c r="AE357" s="297"/>
      <c r="AF357" s="58"/>
      <c r="AG357" s="204"/>
      <c r="AH357" s="57"/>
      <c r="AI357" s="201"/>
      <c r="AJ357" s="287"/>
      <c r="AK357" s="452"/>
      <c r="AL357" s="59"/>
      <c r="AM357" s="60"/>
      <c r="AO357" s="137" t="e">
        <f t="shared" si="42"/>
        <v>#N/A</v>
      </c>
      <c r="AP357" s="138" t="e">
        <f t="shared" si="43"/>
        <v>#N/A</v>
      </c>
      <c r="AQ357" s="138" t="e">
        <f t="shared" si="44"/>
        <v>#N/A</v>
      </c>
      <c r="AR357" s="138" t="e">
        <f t="shared" si="45"/>
        <v>#N/A</v>
      </c>
      <c r="AS357" s="138" t="e">
        <f t="shared" si="46"/>
        <v>#N/A</v>
      </c>
      <c r="AT357" s="139" t="e">
        <f t="shared" si="47"/>
        <v>#N/A</v>
      </c>
      <c r="BB357" s="16" t="s">
        <v>596</v>
      </c>
    </row>
    <row r="358" spans="1:54" ht="102.75" customHeight="1">
      <c r="A358" s="428">
        <f t="shared" si="48"/>
        <v>350</v>
      </c>
      <c r="B358" s="294"/>
      <c r="C358" s="201"/>
      <c r="D358" s="290"/>
      <c r="E358" s="301"/>
      <c r="F358" s="301"/>
      <c r="G358" s="290"/>
      <c r="H358" s="291"/>
      <c r="I358" s="292"/>
      <c r="J358" s="61"/>
      <c r="K358" s="57"/>
      <c r="L358" s="303"/>
      <c r="M358" s="201"/>
      <c r="N358" s="84" t="str">
        <f>IF($AI358&lt;&gt;"",Master!$N$37,IF($AC358&lt;&gt;"",Master!$N$38,IF($S358&lt;&gt;"",Master!$N$39,IF($C358&lt;&gt;"",Master!$N$40,Master!$N$41))))</f>
        <v>起票</v>
      </c>
      <c r="O358" s="202" t="str">
        <f>IF($N358=Master!$N$37,MAX($S358,$AC358,$AI358),"")</f>
        <v/>
      </c>
      <c r="P358" s="65"/>
      <c r="Q358" s="203"/>
      <c r="R358" s="57"/>
      <c r="S358" s="203"/>
      <c r="T358" s="310"/>
      <c r="U358" s="289"/>
      <c r="V358" s="57"/>
      <c r="W358" s="288"/>
      <c r="X358" s="288"/>
      <c r="Y358" s="296"/>
      <c r="Z358" s="57"/>
      <c r="AA358" s="203"/>
      <c r="AB358" s="288"/>
      <c r="AC358" s="201"/>
      <c r="AD358" s="298"/>
      <c r="AE358" s="297"/>
      <c r="AF358" s="58"/>
      <c r="AG358" s="204"/>
      <c r="AH358" s="57"/>
      <c r="AI358" s="201"/>
      <c r="AJ358" s="287"/>
      <c r="AK358" s="452"/>
      <c r="AL358" s="59"/>
      <c r="AM358" s="60"/>
      <c r="AO358" s="137" t="e">
        <f t="shared" si="42"/>
        <v>#N/A</v>
      </c>
      <c r="AP358" s="138" t="e">
        <f t="shared" si="43"/>
        <v>#N/A</v>
      </c>
      <c r="AQ358" s="138" t="e">
        <f t="shared" si="44"/>
        <v>#N/A</v>
      </c>
      <c r="AR358" s="138" t="e">
        <f t="shared" si="45"/>
        <v>#N/A</v>
      </c>
      <c r="AS358" s="138" t="e">
        <f t="shared" si="46"/>
        <v>#N/A</v>
      </c>
      <c r="AT358" s="139" t="e">
        <f t="shared" si="47"/>
        <v>#N/A</v>
      </c>
      <c r="BB358" s="16" t="s">
        <v>596</v>
      </c>
    </row>
    <row r="359" spans="1:54" ht="102.75" customHeight="1">
      <c r="A359" s="428">
        <f t="shared" si="48"/>
        <v>351</v>
      </c>
      <c r="B359" s="294"/>
      <c r="C359" s="201"/>
      <c r="D359" s="290"/>
      <c r="E359" s="301"/>
      <c r="F359" s="301"/>
      <c r="G359" s="290"/>
      <c r="H359" s="291"/>
      <c r="I359" s="292"/>
      <c r="J359" s="61"/>
      <c r="K359" s="57"/>
      <c r="L359" s="303"/>
      <c r="M359" s="201"/>
      <c r="N359" s="84" t="str">
        <f>IF($AI359&lt;&gt;"",Master!$N$37,IF($AC359&lt;&gt;"",Master!$N$38,IF($S359&lt;&gt;"",Master!$N$39,IF($C359&lt;&gt;"",Master!$N$40,Master!$N$41))))</f>
        <v>起票</v>
      </c>
      <c r="O359" s="202" t="str">
        <f>IF($N359=Master!$N$37,MAX($S359,$AC359,$AI359),"")</f>
        <v/>
      </c>
      <c r="P359" s="65"/>
      <c r="Q359" s="203"/>
      <c r="R359" s="57"/>
      <c r="S359" s="203"/>
      <c r="T359" s="310"/>
      <c r="U359" s="289"/>
      <c r="V359" s="57"/>
      <c r="W359" s="288"/>
      <c r="X359" s="288"/>
      <c r="Y359" s="296"/>
      <c r="Z359" s="57"/>
      <c r="AA359" s="203"/>
      <c r="AB359" s="288"/>
      <c r="AC359" s="201"/>
      <c r="AD359" s="298"/>
      <c r="AE359" s="297"/>
      <c r="AF359" s="58"/>
      <c r="AG359" s="204"/>
      <c r="AH359" s="57"/>
      <c r="AI359" s="201"/>
      <c r="AJ359" s="287"/>
      <c r="AK359" s="452"/>
      <c r="AL359" s="59"/>
      <c r="AM359" s="60"/>
      <c r="AO359" s="137" t="e">
        <f t="shared" si="42"/>
        <v>#N/A</v>
      </c>
      <c r="AP359" s="138" t="e">
        <f t="shared" si="43"/>
        <v>#N/A</v>
      </c>
      <c r="AQ359" s="138" t="e">
        <f t="shared" si="44"/>
        <v>#N/A</v>
      </c>
      <c r="AR359" s="138" t="e">
        <f t="shared" si="45"/>
        <v>#N/A</v>
      </c>
      <c r="AS359" s="138" t="e">
        <f t="shared" si="46"/>
        <v>#N/A</v>
      </c>
      <c r="AT359" s="139" t="e">
        <f t="shared" si="47"/>
        <v>#N/A</v>
      </c>
      <c r="BB359" s="16" t="s">
        <v>596</v>
      </c>
    </row>
    <row r="360" spans="1:54" ht="102.75" customHeight="1">
      <c r="A360" s="428">
        <f t="shared" si="48"/>
        <v>352</v>
      </c>
      <c r="B360" s="403"/>
      <c r="C360" s="404"/>
      <c r="D360" s="405"/>
      <c r="E360" s="405"/>
      <c r="F360" s="405"/>
      <c r="G360" s="405"/>
      <c r="H360" s="406"/>
      <c r="I360" s="407"/>
      <c r="J360" s="408"/>
      <c r="K360" s="409"/>
      <c r="L360" s="410"/>
      <c r="M360" s="404"/>
      <c r="N360" s="411" t="str">
        <f>IF($AI360&lt;&gt;"",Master!$N$37,IF($AC360&lt;&gt;"",Master!$N$38,IF($S360&lt;&gt;"",Master!$N$39,IF($C360&lt;&gt;"",Master!$N$40,Master!$N$41))))</f>
        <v>起票</v>
      </c>
      <c r="O360" s="412" t="str">
        <f>IF($N360=Master!$N$37,MAX($S360,$AC360,$AI360),"")</f>
        <v/>
      </c>
      <c r="P360" s="413"/>
      <c r="Q360" s="414"/>
      <c r="R360" s="409"/>
      <c r="S360" s="404"/>
      <c r="T360" s="418"/>
      <c r="U360" s="415"/>
      <c r="V360" s="409"/>
      <c r="W360" s="419"/>
      <c r="X360" s="419"/>
      <c r="Y360" s="416"/>
      <c r="Z360" s="417"/>
      <c r="AA360" s="418"/>
      <c r="AB360" s="419"/>
      <c r="AC360" s="404"/>
      <c r="AD360" s="404"/>
      <c r="AE360" s="420"/>
      <c r="AF360" s="421"/>
      <c r="AG360" s="418"/>
      <c r="AH360" s="409"/>
      <c r="AI360" s="404"/>
      <c r="AJ360" s="416"/>
      <c r="AK360" s="453"/>
      <c r="AL360" s="422"/>
      <c r="AM360" s="423"/>
      <c r="AO360" s="137" t="e">
        <f t="shared" si="42"/>
        <v>#N/A</v>
      </c>
      <c r="AP360" s="138" t="e">
        <f t="shared" si="43"/>
        <v>#N/A</v>
      </c>
      <c r="AQ360" s="138" t="e">
        <f t="shared" si="44"/>
        <v>#N/A</v>
      </c>
      <c r="AR360" s="138" t="e">
        <f t="shared" si="45"/>
        <v>#N/A</v>
      </c>
      <c r="AS360" s="138" t="e">
        <f t="shared" si="46"/>
        <v>#N/A</v>
      </c>
      <c r="AT360" s="139" t="e">
        <f t="shared" si="47"/>
        <v>#N/A</v>
      </c>
      <c r="BB360" s="16" t="s">
        <v>596</v>
      </c>
    </row>
    <row r="361" spans="1:54" ht="102.75" customHeight="1">
      <c r="A361" s="428">
        <f t="shared" si="48"/>
        <v>353</v>
      </c>
      <c r="B361" s="403"/>
      <c r="C361" s="404"/>
      <c r="D361" s="405"/>
      <c r="E361" s="405"/>
      <c r="F361" s="405"/>
      <c r="G361" s="405"/>
      <c r="H361" s="406"/>
      <c r="I361" s="407"/>
      <c r="J361" s="408"/>
      <c r="K361" s="409"/>
      <c r="L361" s="410"/>
      <c r="M361" s="404"/>
      <c r="N361" s="411" t="str">
        <f>IF($AI361&lt;&gt;"",Master!$N$37,IF($AC361&lt;&gt;"",Master!$N$38,IF($S361&lt;&gt;"",Master!$N$39,IF($C361&lt;&gt;"",Master!$N$40,Master!$N$41))))</f>
        <v>起票</v>
      </c>
      <c r="O361" s="412" t="str">
        <f>IF($N361=Master!$N$37,MAX($S361,$AC361,$AI361),"")</f>
        <v/>
      </c>
      <c r="P361" s="413"/>
      <c r="Q361" s="414"/>
      <c r="R361" s="409"/>
      <c r="S361" s="404"/>
      <c r="T361" s="418"/>
      <c r="U361" s="415"/>
      <c r="V361" s="409"/>
      <c r="W361" s="419"/>
      <c r="X361" s="419"/>
      <c r="Y361" s="416"/>
      <c r="Z361" s="417"/>
      <c r="AA361" s="418"/>
      <c r="AB361" s="419"/>
      <c r="AC361" s="404"/>
      <c r="AD361" s="404"/>
      <c r="AE361" s="420"/>
      <c r="AF361" s="421"/>
      <c r="AG361" s="418"/>
      <c r="AH361" s="409"/>
      <c r="AI361" s="404"/>
      <c r="AJ361" s="416"/>
      <c r="AK361" s="453"/>
      <c r="AL361" s="422"/>
      <c r="AM361" s="423"/>
      <c r="AO361" s="137" t="e">
        <f t="shared" si="42"/>
        <v>#N/A</v>
      </c>
      <c r="AP361" s="138" t="e">
        <f t="shared" si="43"/>
        <v>#N/A</v>
      </c>
      <c r="AQ361" s="138" t="e">
        <f t="shared" si="44"/>
        <v>#N/A</v>
      </c>
      <c r="AR361" s="138" t="e">
        <f t="shared" si="45"/>
        <v>#N/A</v>
      </c>
      <c r="AS361" s="138" t="e">
        <f t="shared" si="46"/>
        <v>#N/A</v>
      </c>
      <c r="AT361" s="139" t="e">
        <f t="shared" si="47"/>
        <v>#N/A</v>
      </c>
      <c r="BB361" s="16" t="s">
        <v>596</v>
      </c>
    </row>
    <row r="362" spans="1:54" ht="102.75" customHeight="1">
      <c r="A362" s="428">
        <f t="shared" si="48"/>
        <v>354</v>
      </c>
      <c r="B362" s="403"/>
      <c r="C362" s="404"/>
      <c r="D362" s="405"/>
      <c r="E362" s="405"/>
      <c r="F362" s="405"/>
      <c r="G362" s="405"/>
      <c r="H362" s="406"/>
      <c r="I362" s="407"/>
      <c r="J362" s="408"/>
      <c r="K362" s="409"/>
      <c r="L362" s="410"/>
      <c r="M362" s="404"/>
      <c r="N362" s="411" t="str">
        <f>IF($AI362&lt;&gt;"",Master!$N$37,IF($AC362&lt;&gt;"",Master!$N$38,IF($S362&lt;&gt;"",Master!$N$39,IF($C362&lt;&gt;"",Master!$N$40,Master!$N$41))))</f>
        <v>起票</v>
      </c>
      <c r="O362" s="412" t="str">
        <f>IF($N362=Master!$N$37,MAX($S362,$AC362,$AI362),"")</f>
        <v/>
      </c>
      <c r="P362" s="413"/>
      <c r="Q362" s="414"/>
      <c r="R362" s="409"/>
      <c r="S362" s="404"/>
      <c r="T362" s="418"/>
      <c r="U362" s="415"/>
      <c r="V362" s="409"/>
      <c r="W362" s="419"/>
      <c r="X362" s="419"/>
      <c r="Y362" s="416"/>
      <c r="Z362" s="417"/>
      <c r="AA362" s="418"/>
      <c r="AB362" s="419"/>
      <c r="AC362" s="404"/>
      <c r="AD362" s="404"/>
      <c r="AE362" s="420"/>
      <c r="AF362" s="421"/>
      <c r="AG362" s="418"/>
      <c r="AH362" s="409"/>
      <c r="AI362" s="404"/>
      <c r="AJ362" s="416"/>
      <c r="AK362" s="453"/>
      <c r="AL362" s="422"/>
      <c r="AM362" s="423"/>
      <c r="AO362" s="137" t="e">
        <f t="shared" si="42"/>
        <v>#N/A</v>
      </c>
      <c r="AP362" s="138" t="e">
        <f t="shared" si="43"/>
        <v>#N/A</v>
      </c>
      <c r="AQ362" s="138" t="e">
        <f t="shared" si="44"/>
        <v>#N/A</v>
      </c>
      <c r="AR362" s="138" t="e">
        <f t="shared" si="45"/>
        <v>#N/A</v>
      </c>
      <c r="AS362" s="138" t="e">
        <f t="shared" si="46"/>
        <v>#N/A</v>
      </c>
      <c r="AT362" s="139" t="e">
        <f t="shared" si="47"/>
        <v>#N/A</v>
      </c>
      <c r="BB362" s="16" t="s">
        <v>596</v>
      </c>
    </row>
    <row r="363" spans="1:54" ht="102.75" customHeight="1">
      <c r="A363" s="428">
        <f t="shared" si="48"/>
        <v>355</v>
      </c>
      <c r="B363" s="294"/>
      <c r="C363" s="201"/>
      <c r="D363" s="290"/>
      <c r="E363" s="301"/>
      <c r="F363" s="301"/>
      <c r="G363" s="290"/>
      <c r="H363" s="291"/>
      <c r="I363" s="292"/>
      <c r="J363" s="61"/>
      <c r="K363" s="57"/>
      <c r="L363" s="303"/>
      <c r="M363" s="201"/>
      <c r="N363" s="84" t="str">
        <f>IF($AI363&lt;&gt;"",Master!$N$37,IF($AC363&lt;&gt;"",Master!$N$38,IF($S363&lt;&gt;"",Master!$N$39,IF($C363&lt;&gt;"",Master!$N$40,Master!$N$41))))</f>
        <v>起票</v>
      </c>
      <c r="O363" s="202" t="str">
        <f>IF($N363=Master!$N$37,MAX($S363,$AC363,$AI363),"")</f>
        <v/>
      </c>
      <c r="P363" s="65"/>
      <c r="Q363" s="203"/>
      <c r="R363" s="57"/>
      <c r="S363" s="203"/>
      <c r="T363" s="310"/>
      <c r="U363" s="289"/>
      <c r="V363" s="57"/>
      <c r="W363" s="288"/>
      <c r="X363" s="288"/>
      <c r="Y363" s="296"/>
      <c r="Z363" s="57"/>
      <c r="AA363" s="203"/>
      <c r="AB363" s="288"/>
      <c r="AC363" s="201"/>
      <c r="AD363" s="298"/>
      <c r="AE363" s="297"/>
      <c r="AF363" s="58"/>
      <c r="AG363" s="204"/>
      <c r="AH363" s="57"/>
      <c r="AI363" s="201"/>
      <c r="AJ363" s="287"/>
      <c r="AK363" s="452"/>
      <c r="AL363" s="59"/>
      <c r="AM363" s="60"/>
      <c r="AO363" s="137" t="e">
        <f t="shared" si="42"/>
        <v>#N/A</v>
      </c>
      <c r="AP363" s="138" t="e">
        <f t="shared" si="43"/>
        <v>#N/A</v>
      </c>
      <c r="AQ363" s="138" t="e">
        <f t="shared" si="44"/>
        <v>#N/A</v>
      </c>
      <c r="AR363" s="138" t="e">
        <f t="shared" si="45"/>
        <v>#N/A</v>
      </c>
      <c r="AS363" s="138" t="e">
        <f t="shared" si="46"/>
        <v>#N/A</v>
      </c>
      <c r="AT363" s="139" t="e">
        <f t="shared" si="47"/>
        <v>#N/A</v>
      </c>
      <c r="BB363" s="16" t="s">
        <v>596</v>
      </c>
    </row>
    <row r="364" spans="1:54" ht="102.75" customHeight="1">
      <c r="A364" s="428">
        <f t="shared" si="48"/>
        <v>356</v>
      </c>
      <c r="B364" s="294"/>
      <c r="C364" s="201"/>
      <c r="D364" s="290"/>
      <c r="E364" s="301"/>
      <c r="F364" s="301"/>
      <c r="G364" s="290"/>
      <c r="H364" s="291"/>
      <c r="I364" s="292"/>
      <c r="J364" s="61"/>
      <c r="K364" s="57"/>
      <c r="L364" s="303"/>
      <c r="M364" s="201"/>
      <c r="N364" s="84" t="str">
        <f>IF($AI364&lt;&gt;"",Master!$N$37,IF($AC364&lt;&gt;"",Master!$N$38,IF($S364&lt;&gt;"",Master!$N$39,IF($C364&lt;&gt;"",Master!$N$40,Master!$N$41))))</f>
        <v>起票</v>
      </c>
      <c r="O364" s="202" t="str">
        <f>IF($N364=Master!$N$37,MAX($S364,$AC364,$AI364),"")</f>
        <v/>
      </c>
      <c r="P364" s="65"/>
      <c r="Q364" s="203"/>
      <c r="R364" s="57"/>
      <c r="S364" s="203"/>
      <c r="T364" s="310"/>
      <c r="U364" s="289"/>
      <c r="V364" s="57"/>
      <c r="W364" s="288"/>
      <c r="X364" s="288"/>
      <c r="Y364" s="296"/>
      <c r="Z364" s="57"/>
      <c r="AA364" s="203"/>
      <c r="AB364" s="288"/>
      <c r="AC364" s="201"/>
      <c r="AD364" s="298"/>
      <c r="AE364" s="297"/>
      <c r="AF364" s="58"/>
      <c r="AG364" s="204"/>
      <c r="AH364" s="57"/>
      <c r="AI364" s="201"/>
      <c r="AJ364" s="287"/>
      <c r="AK364" s="452"/>
      <c r="AL364" s="59"/>
      <c r="AM364" s="60"/>
      <c r="AO364" s="137" t="e">
        <f t="shared" si="42"/>
        <v>#N/A</v>
      </c>
      <c r="AP364" s="138" t="e">
        <f t="shared" si="43"/>
        <v>#N/A</v>
      </c>
      <c r="AQ364" s="138" t="e">
        <f t="shared" si="44"/>
        <v>#N/A</v>
      </c>
      <c r="AR364" s="138" t="e">
        <f t="shared" si="45"/>
        <v>#N/A</v>
      </c>
      <c r="AS364" s="138" t="e">
        <f t="shared" si="46"/>
        <v>#N/A</v>
      </c>
      <c r="AT364" s="139" t="e">
        <f t="shared" si="47"/>
        <v>#N/A</v>
      </c>
      <c r="BB364" s="16" t="s">
        <v>596</v>
      </c>
    </row>
    <row r="365" spans="1:54" ht="102.75" customHeight="1">
      <c r="A365" s="428">
        <f t="shared" si="48"/>
        <v>357</v>
      </c>
      <c r="B365" s="403"/>
      <c r="C365" s="404"/>
      <c r="D365" s="405"/>
      <c r="E365" s="405"/>
      <c r="F365" s="405"/>
      <c r="G365" s="405"/>
      <c r="H365" s="406"/>
      <c r="I365" s="407"/>
      <c r="J365" s="408"/>
      <c r="K365" s="409"/>
      <c r="L365" s="410"/>
      <c r="M365" s="404"/>
      <c r="N365" s="411" t="str">
        <f>IF($AI365&lt;&gt;"",Master!$N$37,IF($AC365&lt;&gt;"",Master!$N$38,IF($S365&lt;&gt;"",Master!$N$39,IF($C365&lt;&gt;"",Master!$N$40,Master!$N$41))))</f>
        <v>起票</v>
      </c>
      <c r="O365" s="412" t="str">
        <f>IF($N365=Master!$N$37,MAX($S365,$AC365,$AI365),"")</f>
        <v/>
      </c>
      <c r="P365" s="413"/>
      <c r="Q365" s="414"/>
      <c r="R365" s="409"/>
      <c r="S365" s="404"/>
      <c r="T365" s="418"/>
      <c r="U365" s="415"/>
      <c r="V365" s="409"/>
      <c r="W365" s="419"/>
      <c r="X365" s="419"/>
      <c r="Y365" s="416"/>
      <c r="Z365" s="417"/>
      <c r="AA365" s="418"/>
      <c r="AB365" s="419"/>
      <c r="AC365" s="404"/>
      <c r="AD365" s="404"/>
      <c r="AE365" s="420"/>
      <c r="AF365" s="421"/>
      <c r="AG365" s="418"/>
      <c r="AH365" s="409"/>
      <c r="AI365" s="404"/>
      <c r="AJ365" s="416"/>
      <c r="AK365" s="453"/>
      <c r="AL365" s="422"/>
      <c r="AM365" s="423"/>
      <c r="AO365" s="137" t="e">
        <f t="shared" si="42"/>
        <v>#N/A</v>
      </c>
      <c r="AP365" s="138" t="e">
        <f t="shared" si="43"/>
        <v>#N/A</v>
      </c>
      <c r="AQ365" s="138" t="e">
        <f t="shared" si="44"/>
        <v>#N/A</v>
      </c>
      <c r="AR365" s="138" t="e">
        <f t="shared" si="45"/>
        <v>#N/A</v>
      </c>
      <c r="AS365" s="138" t="e">
        <f t="shared" si="46"/>
        <v>#N/A</v>
      </c>
      <c r="AT365" s="139" t="e">
        <f t="shared" si="47"/>
        <v>#N/A</v>
      </c>
      <c r="BB365" s="16" t="s">
        <v>596</v>
      </c>
    </row>
    <row r="366" spans="1:54" ht="102.75" customHeight="1">
      <c r="A366" s="428">
        <f t="shared" si="48"/>
        <v>358</v>
      </c>
      <c r="B366" s="403"/>
      <c r="C366" s="404"/>
      <c r="D366" s="405"/>
      <c r="E366" s="405"/>
      <c r="F366" s="405"/>
      <c r="G366" s="405"/>
      <c r="H366" s="406"/>
      <c r="I366" s="407"/>
      <c r="J366" s="408"/>
      <c r="K366" s="409"/>
      <c r="L366" s="410"/>
      <c r="M366" s="404"/>
      <c r="N366" s="411" t="str">
        <f>IF($AI366&lt;&gt;"",Master!$N$37,IF($AC366&lt;&gt;"",Master!$N$38,IF($S366&lt;&gt;"",Master!$N$39,IF($C366&lt;&gt;"",Master!$N$40,Master!$N$41))))</f>
        <v>起票</v>
      </c>
      <c r="O366" s="412" t="str">
        <f>IF($N366=Master!$N$37,MAX($S366,$AC366,$AI366),"")</f>
        <v/>
      </c>
      <c r="P366" s="413"/>
      <c r="Q366" s="414"/>
      <c r="R366" s="409"/>
      <c r="S366" s="404"/>
      <c r="T366" s="418"/>
      <c r="U366" s="415"/>
      <c r="V366" s="409"/>
      <c r="W366" s="419"/>
      <c r="X366" s="419"/>
      <c r="Y366" s="416"/>
      <c r="Z366" s="417"/>
      <c r="AA366" s="418"/>
      <c r="AB366" s="419"/>
      <c r="AC366" s="404"/>
      <c r="AD366" s="404"/>
      <c r="AE366" s="420"/>
      <c r="AF366" s="421"/>
      <c r="AG366" s="418"/>
      <c r="AH366" s="409"/>
      <c r="AI366" s="404"/>
      <c r="AJ366" s="416"/>
      <c r="AK366" s="453"/>
      <c r="AL366" s="422"/>
      <c r="AM366" s="423"/>
      <c r="AO366" s="137" t="e">
        <f t="shared" si="42"/>
        <v>#N/A</v>
      </c>
      <c r="AP366" s="138" t="e">
        <f t="shared" si="43"/>
        <v>#N/A</v>
      </c>
      <c r="AQ366" s="138" t="e">
        <f t="shared" si="44"/>
        <v>#N/A</v>
      </c>
      <c r="AR366" s="138" t="e">
        <f t="shared" si="45"/>
        <v>#N/A</v>
      </c>
      <c r="AS366" s="138" t="e">
        <f t="shared" si="46"/>
        <v>#N/A</v>
      </c>
      <c r="AT366" s="139" t="e">
        <f t="shared" si="47"/>
        <v>#N/A</v>
      </c>
      <c r="BB366" s="16" t="s">
        <v>596</v>
      </c>
    </row>
    <row r="367" spans="1:54" ht="102.75" customHeight="1">
      <c r="A367" s="428">
        <f t="shared" si="48"/>
        <v>359</v>
      </c>
      <c r="B367" s="403"/>
      <c r="C367" s="404"/>
      <c r="D367" s="405"/>
      <c r="E367" s="405"/>
      <c r="F367" s="405"/>
      <c r="G367" s="405"/>
      <c r="H367" s="406"/>
      <c r="I367" s="407"/>
      <c r="J367" s="408"/>
      <c r="K367" s="409"/>
      <c r="L367" s="410"/>
      <c r="M367" s="404"/>
      <c r="N367" s="411" t="str">
        <f>IF($AI367&lt;&gt;"",Master!$N$37,IF($AC367&lt;&gt;"",Master!$N$38,IF($S367&lt;&gt;"",Master!$N$39,IF($C367&lt;&gt;"",Master!$N$40,Master!$N$41))))</f>
        <v>起票</v>
      </c>
      <c r="O367" s="412" t="str">
        <f>IF($N367=Master!$N$37,MAX($S367,$AC367,$AI367),"")</f>
        <v/>
      </c>
      <c r="P367" s="413"/>
      <c r="Q367" s="414"/>
      <c r="R367" s="409"/>
      <c r="S367" s="404"/>
      <c r="T367" s="418"/>
      <c r="U367" s="415"/>
      <c r="V367" s="409"/>
      <c r="W367" s="419"/>
      <c r="X367" s="419"/>
      <c r="Y367" s="416"/>
      <c r="Z367" s="417"/>
      <c r="AA367" s="418"/>
      <c r="AB367" s="419"/>
      <c r="AC367" s="404"/>
      <c r="AD367" s="404"/>
      <c r="AE367" s="420"/>
      <c r="AF367" s="421"/>
      <c r="AG367" s="418"/>
      <c r="AH367" s="409"/>
      <c r="AI367" s="404"/>
      <c r="AJ367" s="416"/>
      <c r="AK367" s="453"/>
      <c r="AL367" s="422"/>
      <c r="AM367" s="423"/>
      <c r="AO367" s="137" t="e">
        <f t="shared" si="42"/>
        <v>#N/A</v>
      </c>
      <c r="AP367" s="138" t="e">
        <f t="shared" si="43"/>
        <v>#N/A</v>
      </c>
      <c r="AQ367" s="138" t="e">
        <f t="shared" si="44"/>
        <v>#N/A</v>
      </c>
      <c r="AR367" s="138" t="e">
        <f t="shared" si="45"/>
        <v>#N/A</v>
      </c>
      <c r="AS367" s="138" t="e">
        <f t="shared" si="46"/>
        <v>#N/A</v>
      </c>
      <c r="AT367" s="139" t="e">
        <f t="shared" si="47"/>
        <v>#N/A</v>
      </c>
      <c r="BB367" s="16" t="s">
        <v>596</v>
      </c>
    </row>
    <row r="368" spans="1:54" ht="102.75" customHeight="1">
      <c r="A368" s="428">
        <f t="shared" si="48"/>
        <v>360</v>
      </c>
      <c r="B368" s="294"/>
      <c r="C368" s="201"/>
      <c r="D368" s="290"/>
      <c r="E368" s="301"/>
      <c r="F368" s="301"/>
      <c r="G368" s="290"/>
      <c r="H368" s="291"/>
      <c r="I368" s="292"/>
      <c r="J368" s="61"/>
      <c r="K368" s="57"/>
      <c r="L368" s="303"/>
      <c r="M368" s="201"/>
      <c r="N368" s="84" t="str">
        <f>IF($AI368&lt;&gt;"",Master!$N$37,IF($AC368&lt;&gt;"",Master!$N$38,IF($S368&lt;&gt;"",Master!$N$39,IF($C368&lt;&gt;"",Master!$N$40,Master!$N$41))))</f>
        <v>起票</v>
      </c>
      <c r="O368" s="202" t="str">
        <f>IF($N368=Master!$N$37,MAX($S368,$AC368,$AI368),"")</f>
        <v/>
      </c>
      <c r="P368" s="65"/>
      <c r="Q368" s="203"/>
      <c r="R368" s="57"/>
      <c r="S368" s="203"/>
      <c r="T368" s="310"/>
      <c r="U368" s="289"/>
      <c r="V368" s="57"/>
      <c r="W368" s="288"/>
      <c r="X368" s="288"/>
      <c r="Y368" s="296"/>
      <c r="Z368" s="57"/>
      <c r="AA368" s="203"/>
      <c r="AB368" s="288"/>
      <c r="AC368" s="201"/>
      <c r="AD368" s="298"/>
      <c r="AE368" s="297"/>
      <c r="AF368" s="58"/>
      <c r="AG368" s="204"/>
      <c r="AH368" s="57"/>
      <c r="AI368" s="201"/>
      <c r="AJ368" s="287"/>
      <c r="AK368" s="452"/>
      <c r="AL368" s="59"/>
      <c r="AM368" s="60"/>
      <c r="AO368" s="137" t="e">
        <f t="shared" si="42"/>
        <v>#N/A</v>
      </c>
      <c r="AP368" s="138" t="e">
        <f t="shared" si="43"/>
        <v>#N/A</v>
      </c>
      <c r="AQ368" s="138" t="e">
        <f t="shared" si="44"/>
        <v>#N/A</v>
      </c>
      <c r="AR368" s="138" t="e">
        <f t="shared" si="45"/>
        <v>#N/A</v>
      </c>
      <c r="AS368" s="138" t="e">
        <f t="shared" si="46"/>
        <v>#N/A</v>
      </c>
      <c r="AT368" s="139" t="e">
        <f t="shared" si="47"/>
        <v>#N/A</v>
      </c>
      <c r="BB368" s="16" t="s">
        <v>596</v>
      </c>
    </row>
    <row r="369" spans="1:54" ht="102.75" customHeight="1">
      <c r="A369" s="428">
        <f t="shared" si="48"/>
        <v>361</v>
      </c>
      <c r="B369" s="294"/>
      <c r="C369" s="201"/>
      <c r="D369" s="290"/>
      <c r="E369" s="301"/>
      <c r="F369" s="301"/>
      <c r="G369" s="290"/>
      <c r="H369" s="291"/>
      <c r="I369" s="292"/>
      <c r="J369" s="61"/>
      <c r="K369" s="57"/>
      <c r="L369" s="303"/>
      <c r="M369" s="201"/>
      <c r="N369" s="84" t="str">
        <f>IF($AI369&lt;&gt;"",Master!$N$37,IF($AC369&lt;&gt;"",Master!$N$38,IF($S369&lt;&gt;"",Master!$N$39,IF($C369&lt;&gt;"",Master!$N$40,Master!$N$41))))</f>
        <v>起票</v>
      </c>
      <c r="O369" s="202" t="str">
        <f>IF($N369=Master!$N$37,MAX($S369,$AC369,$AI369),"")</f>
        <v/>
      </c>
      <c r="P369" s="65"/>
      <c r="Q369" s="203"/>
      <c r="R369" s="57"/>
      <c r="S369" s="203"/>
      <c r="T369" s="310"/>
      <c r="U369" s="289"/>
      <c r="V369" s="57"/>
      <c r="W369" s="288"/>
      <c r="X369" s="288"/>
      <c r="Y369" s="296"/>
      <c r="Z369" s="57"/>
      <c r="AA369" s="203"/>
      <c r="AB369" s="288"/>
      <c r="AC369" s="201"/>
      <c r="AD369" s="298"/>
      <c r="AE369" s="297"/>
      <c r="AF369" s="58"/>
      <c r="AG369" s="204"/>
      <c r="AH369" s="57"/>
      <c r="AI369" s="201"/>
      <c r="AJ369" s="287"/>
      <c r="AK369" s="452"/>
      <c r="AL369" s="59"/>
      <c r="AM369" s="60"/>
      <c r="AO369" s="137" t="e">
        <f t="shared" si="42"/>
        <v>#N/A</v>
      </c>
      <c r="AP369" s="138" t="e">
        <f t="shared" si="43"/>
        <v>#N/A</v>
      </c>
      <c r="AQ369" s="138" t="e">
        <f t="shared" si="44"/>
        <v>#N/A</v>
      </c>
      <c r="AR369" s="138" t="e">
        <f t="shared" si="45"/>
        <v>#N/A</v>
      </c>
      <c r="AS369" s="138" t="e">
        <f t="shared" si="46"/>
        <v>#N/A</v>
      </c>
      <c r="AT369" s="139" t="e">
        <f t="shared" si="47"/>
        <v>#N/A</v>
      </c>
      <c r="BB369" s="16" t="s">
        <v>596</v>
      </c>
    </row>
    <row r="370" spans="1:54" ht="102.75" customHeight="1">
      <c r="A370" s="428">
        <f t="shared" si="48"/>
        <v>362</v>
      </c>
      <c r="B370" s="294"/>
      <c r="C370" s="201"/>
      <c r="D370" s="290"/>
      <c r="E370" s="301"/>
      <c r="F370" s="301"/>
      <c r="G370" s="290"/>
      <c r="H370" s="291"/>
      <c r="I370" s="292"/>
      <c r="J370" s="61"/>
      <c r="K370" s="57"/>
      <c r="L370" s="303"/>
      <c r="M370" s="201"/>
      <c r="N370" s="84" t="str">
        <f>IF($AI370&lt;&gt;"",Master!$N$37,IF($AC370&lt;&gt;"",Master!$N$38,IF($S370&lt;&gt;"",Master!$N$39,IF($C370&lt;&gt;"",Master!$N$40,Master!$N$41))))</f>
        <v>起票</v>
      </c>
      <c r="O370" s="202" t="str">
        <f>IF($N370=Master!$N$37,MAX($S370,$AC370,$AI370),"")</f>
        <v/>
      </c>
      <c r="P370" s="65"/>
      <c r="Q370" s="203"/>
      <c r="R370" s="57"/>
      <c r="S370" s="203"/>
      <c r="T370" s="310"/>
      <c r="U370" s="289"/>
      <c r="V370" s="57"/>
      <c r="W370" s="288"/>
      <c r="X370" s="288"/>
      <c r="Y370" s="296"/>
      <c r="Z370" s="57"/>
      <c r="AA370" s="203"/>
      <c r="AB370" s="288"/>
      <c r="AC370" s="201"/>
      <c r="AD370" s="298"/>
      <c r="AE370" s="297"/>
      <c r="AF370" s="58"/>
      <c r="AG370" s="204"/>
      <c r="AH370" s="57"/>
      <c r="AI370" s="201"/>
      <c r="AJ370" s="287"/>
      <c r="AK370" s="452"/>
      <c r="AL370" s="59"/>
      <c r="AM370" s="60"/>
      <c r="AO370" s="137" t="e">
        <f t="shared" si="42"/>
        <v>#N/A</v>
      </c>
      <c r="AP370" s="138" t="e">
        <f t="shared" si="43"/>
        <v>#N/A</v>
      </c>
      <c r="AQ370" s="138" t="e">
        <f t="shared" si="44"/>
        <v>#N/A</v>
      </c>
      <c r="AR370" s="138" t="e">
        <f t="shared" si="45"/>
        <v>#N/A</v>
      </c>
      <c r="AS370" s="138" t="e">
        <f t="shared" si="46"/>
        <v>#N/A</v>
      </c>
      <c r="AT370" s="139" t="e">
        <f t="shared" si="47"/>
        <v>#N/A</v>
      </c>
      <c r="BB370" s="16" t="s">
        <v>596</v>
      </c>
    </row>
    <row r="371" spans="1:54" ht="102.75" customHeight="1">
      <c r="A371" s="428">
        <f t="shared" si="48"/>
        <v>363</v>
      </c>
      <c r="B371" s="294"/>
      <c r="C371" s="201"/>
      <c r="D371" s="290"/>
      <c r="E371" s="301"/>
      <c r="F371" s="301"/>
      <c r="G371" s="290"/>
      <c r="H371" s="291"/>
      <c r="I371" s="292"/>
      <c r="J371" s="61"/>
      <c r="K371" s="57"/>
      <c r="L371" s="303"/>
      <c r="M371" s="201"/>
      <c r="N371" s="84" t="str">
        <f>IF($AI371&lt;&gt;"",Master!$N$37,IF($AC371&lt;&gt;"",Master!$N$38,IF($S371&lt;&gt;"",Master!$N$39,IF($C371&lt;&gt;"",Master!$N$40,Master!$N$41))))</f>
        <v>起票</v>
      </c>
      <c r="O371" s="202" t="str">
        <f>IF($N371=Master!$N$37,MAX($S371,$AC371,$AI371),"")</f>
        <v/>
      </c>
      <c r="P371" s="65"/>
      <c r="Q371" s="203"/>
      <c r="R371" s="57"/>
      <c r="S371" s="203"/>
      <c r="T371" s="310"/>
      <c r="U371" s="289"/>
      <c r="V371" s="57"/>
      <c r="W371" s="288"/>
      <c r="X371" s="288"/>
      <c r="Y371" s="296"/>
      <c r="Z371" s="57"/>
      <c r="AA371" s="203"/>
      <c r="AB371" s="288"/>
      <c r="AC371" s="201"/>
      <c r="AD371" s="298"/>
      <c r="AE371" s="297"/>
      <c r="AF371" s="58"/>
      <c r="AG371" s="204"/>
      <c r="AH371" s="57"/>
      <c r="AI371" s="201"/>
      <c r="AJ371" s="287"/>
      <c r="AK371" s="452"/>
      <c r="AL371" s="59"/>
      <c r="AM371" s="60"/>
      <c r="AO371" s="137" t="e">
        <f t="shared" si="42"/>
        <v>#N/A</v>
      </c>
      <c r="AP371" s="138" t="e">
        <f t="shared" si="43"/>
        <v>#N/A</v>
      </c>
      <c r="AQ371" s="138" t="e">
        <f t="shared" si="44"/>
        <v>#N/A</v>
      </c>
      <c r="AR371" s="138" t="e">
        <f t="shared" si="45"/>
        <v>#N/A</v>
      </c>
      <c r="AS371" s="138" t="e">
        <f t="shared" si="46"/>
        <v>#N/A</v>
      </c>
      <c r="AT371" s="139" t="e">
        <f t="shared" si="47"/>
        <v>#N/A</v>
      </c>
      <c r="BB371" s="16" t="s">
        <v>596</v>
      </c>
    </row>
    <row r="372" spans="1:54" ht="102.75" customHeight="1">
      <c r="A372" s="428">
        <f t="shared" si="48"/>
        <v>364</v>
      </c>
      <c r="B372" s="294"/>
      <c r="C372" s="201"/>
      <c r="D372" s="290"/>
      <c r="E372" s="301"/>
      <c r="F372" s="301"/>
      <c r="G372" s="290"/>
      <c r="H372" s="291"/>
      <c r="I372" s="292"/>
      <c r="J372" s="61"/>
      <c r="K372" s="57"/>
      <c r="L372" s="303"/>
      <c r="M372" s="201"/>
      <c r="N372" s="84" t="str">
        <f>IF($AI372&lt;&gt;"",Master!$N$37,IF($AC372&lt;&gt;"",Master!$N$38,IF($S372&lt;&gt;"",Master!$N$39,IF($C372&lt;&gt;"",Master!$N$40,Master!$N$41))))</f>
        <v>起票</v>
      </c>
      <c r="O372" s="202" t="str">
        <f>IF($N372=Master!$N$37,MAX($S372,$AC372,$AI372),"")</f>
        <v/>
      </c>
      <c r="P372" s="65"/>
      <c r="Q372" s="203"/>
      <c r="R372" s="57"/>
      <c r="S372" s="203"/>
      <c r="T372" s="310"/>
      <c r="U372" s="289"/>
      <c r="V372" s="57"/>
      <c r="W372" s="288"/>
      <c r="X372" s="288"/>
      <c r="Y372" s="296"/>
      <c r="Z372" s="57"/>
      <c r="AA372" s="203"/>
      <c r="AB372" s="288"/>
      <c r="AC372" s="201"/>
      <c r="AD372" s="298"/>
      <c r="AE372" s="297"/>
      <c r="AF372" s="58"/>
      <c r="AG372" s="204"/>
      <c r="AH372" s="57"/>
      <c r="AI372" s="201"/>
      <c r="AJ372" s="287"/>
      <c r="AK372" s="452"/>
      <c r="AL372" s="59"/>
      <c r="AM372" s="60"/>
      <c r="AO372" s="137" t="e">
        <f t="shared" si="42"/>
        <v>#N/A</v>
      </c>
      <c r="AP372" s="138" t="e">
        <f t="shared" si="43"/>
        <v>#N/A</v>
      </c>
      <c r="AQ372" s="138" t="e">
        <f t="shared" si="44"/>
        <v>#N/A</v>
      </c>
      <c r="AR372" s="138" t="e">
        <f t="shared" si="45"/>
        <v>#N/A</v>
      </c>
      <c r="AS372" s="138" t="e">
        <f t="shared" si="46"/>
        <v>#N/A</v>
      </c>
      <c r="AT372" s="139" t="e">
        <f t="shared" si="47"/>
        <v>#N/A</v>
      </c>
      <c r="BB372" s="16" t="s">
        <v>596</v>
      </c>
    </row>
    <row r="373" spans="1:54" ht="102.75" customHeight="1">
      <c r="A373" s="428">
        <f t="shared" si="48"/>
        <v>365</v>
      </c>
      <c r="B373" s="403"/>
      <c r="C373" s="404"/>
      <c r="D373" s="405"/>
      <c r="E373" s="405"/>
      <c r="F373" s="405"/>
      <c r="G373" s="405"/>
      <c r="H373" s="406"/>
      <c r="I373" s="407"/>
      <c r="J373" s="408"/>
      <c r="K373" s="409"/>
      <c r="L373" s="410"/>
      <c r="M373" s="404"/>
      <c r="N373" s="411" t="str">
        <f>IF($AI373&lt;&gt;"",Master!$N$37,IF($AC373&lt;&gt;"",Master!$N$38,IF($S373&lt;&gt;"",Master!$N$39,IF($C373&lt;&gt;"",Master!$N$40,Master!$N$41))))</f>
        <v>起票</v>
      </c>
      <c r="O373" s="412" t="str">
        <f>IF($N373=Master!$N$37,MAX($S373,$AC373,$AI373),"")</f>
        <v/>
      </c>
      <c r="P373" s="413"/>
      <c r="Q373" s="414"/>
      <c r="R373" s="409"/>
      <c r="S373" s="404"/>
      <c r="T373" s="418"/>
      <c r="U373" s="415"/>
      <c r="V373" s="409"/>
      <c r="W373" s="419"/>
      <c r="X373" s="419"/>
      <c r="Y373" s="416"/>
      <c r="Z373" s="417"/>
      <c r="AA373" s="418"/>
      <c r="AB373" s="419"/>
      <c r="AC373" s="404"/>
      <c r="AD373" s="404"/>
      <c r="AE373" s="420"/>
      <c r="AF373" s="421"/>
      <c r="AG373" s="418"/>
      <c r="AH373" s="409"/>
      <c r="AI373" s="404"/>
      <c r="AJ373" s="416"/>
      <c r="AK373" s="453"/>
      <c r="AL373" s="422"/>
      <c r="AM373" s="423"/>
      <c r="AO373" s="137" t="e">
        <f t="shared" si="42"/>
        <v>#N/A</v>
      </c>
      <c r="AP373" s="138" t="e">
        <f t="shared" si="43"/>
        <v>#N/A</v>
      </c>
      <c r="AQ373" s="138" t="e">
        <f t="shared" si="44"/>
        <v>#N/A</v>
      </c>
      <c r="AR373" s="138" t="e">
        <f t="shared" si="45"/>
        <v>#N/A</v>
      </c>
      <c r="AS373" s="138" t="e">
        <f t="shared" si="46"/>
        <v>#N/A</v>
      </c>
      <c r="AT373" s="139" t="e">
        <f t="shared" si="47"/>
        <v>#N/A</v>
      </c>
      <c r="BB373" s="16" t="s">
        <v>596</v>
      </c>
    </row>
    <row r="374" spans="1:54" ht="102.75" customHeight="1">
      <c r="A374" s="428">
        <f t="shared" si="48"/>
        <v>366</v>
      </c>
      <c r="B374" s="403"/>
      <c r="C374" s="404"/>
      <c r="D374" s="405"/>
      <c r="E374" s="405"/>
      <c r="F374" s="405"/>
      <c r="G374" s="405"/>
      <c r="H374" s="406"/>
      <c r="I374" s="407"/>
      <c r="J374" s="408"/>
      <c r="K374" s="409"/>
      <c r="L374" s="410"/>
      <c r="M374" s="404"/>
      <c r="N374" s="411" t="str">
        <f>IF($AI374&lt;&gt;"",Master!$N$37,IF($AC374&lt;&gt;"",Master!$N$38,IF($S374&lt;&gt;"",Master!$N$39,IF($C374&lt;&gt;"",Master!$N$40,Master!$N$41))))</f>
        <v>起票</v>
      </c>
      <c r="O374" s="412" t="str">
        <f>IF($N374=Master!$N$37,MAX($S374,$AC374,$AI374),"")</f>
        <v/>
      </c>
      <c r="P374" s="413"/>
      <c r="Q374" s="414"/>
      <c r="R374" s="409"/>
      <c r="S374" s="404"/>
      <c r="T374" s="418"/>
      <c r="U374" s="415"/>
      <c r="V374" s="409"/>
      <c r="W374" s="419"/>
      <c r="X374" s="419"/>
      <c r="Y374" s="416"/>
      <c r="Z374" s="417"/>
      <c r="AA374" s="418"/>
      <c r="AB374" s="419"/>
      <c r="AC374" s="404"/>
      <c r="AD374" s="404"/>
      <c r="AE374" s="420"/>
      <c r="AF374" s="421"/>
      <c r="AG374" s="418"/>
      <c r="AH374" s="409"/>
      <c r="AI374" s="404"/>
      <c r="AJ374" s="416"/>
      <c r="AK374" s="453"/>
      <c r="AL374" s="422"/>
      <c r="AM374" s="423"/>
      <c r="AO374" s="137" t="e">
        <f t="shared" si="42"/>
        <v>#N/A</v>
      </c>
      <c r="AP374" s="138" t="e">
        <f t="shared" si="43"/>
        <v>#N/A</v>
      </c>
      <c r="AQ374" s="138" t="e">
        <f t="shared" si="44"/>
        <v>#N/A</v>
      </c>
      <c r="AR374" s="138" t="e">
        <f t="shared" si="45"/>
        <v>#N/A</v>
      </c>
      <c r="AS374" s="138" t="e">
        <f t="shared" si="46"/>
        <v>#N/A</v>
      </c>
      <c r="AT374" s="139" t="e">
        <f t="shared" si="47"/>
        <v>#N/A</v>
      </c>
      <c r="BB374" s="16" t="s">
        <v>596</v>
      </c>
    </row>
    <row r="375" spans="1:54" ht="102.75" customHeight="1">
      <c r="A375" s="428">
        <f t="shared" si="48"/>
        <v>367</v>
      </c>
      <c r="B375" s="403"/>
      <c r="C375" s="404"/>
      <c r="D375" s="405"/>
      <c r="E375" s="405"/>
      <c r="F375" s="405"/>
      <c r="G375" s="405"/>
      <c r="H375" s="406"/>
      <c r="I375" s="407"/>
      <c r="J375" s="408"/>
      <c r="K375" s="409"/>
      <c r="L375" s="410"/>
      <c r="M375" s="404"/>
      <c r="N375" s="411" t="str">
        <f>IF($AI375&lt;&gt;"",Master!$N$37,IF($AC375&lt;&gt;"",Master!$N$38,IF($S375&lt;&gt;"",Master!$N$39,IF($C375&lt;&gt;"",Master!$N$40,Master!$N$41))))</f>
        <v>起票</v>
      </c>
      <c r="O375" s="412" t="str">
        <f>IF($N375=Master!$N$37,MAX($S375,$AC375,$AI375),"")</f>
        <v/>
      </c>
      <c r="P375" s="413"/>
      <c r="Q375" s="414"/>
      <c r="R375" s="409"/>
      <c r="S375" s="404"/>
      <c r="T375" s="418"/>
      <c r="U375" s="415"/>
      <c r="V375" s="409"/>
      <c r="W375" s="419"/>
      <c r="X375" s="419"/>
      <c r="Y375" s="416"/>
      <c r="Z375" s="417"/>
      <c r="AA375" s="418"/>
      <c r="AB375" s="419"/>
      <c r="AC375" s="404"/>
      <c r="AD375" s="404"/>
      <c r="AE375" s="420"/>
      <c r="AF375" s="421"/>
      <c r="AG375" s="418"/>
      <c r="AH375" s="409"/>
      <c r="AI375" s="404"/>
      <c r="AJ375" s="416"/>
      <c r="AK375" s="453"/>
      <c r="AL375" s="422"/>
      <c r="AM375" s="423"/>
      <c r="AO375" s="137" t="e">
        <f t="shared" si="42"/>
        <v>#N/A</v>
      </c>
      <c r="AP375" s="138" t="e">
        <f t="shared" si="43"/>
        <v>#N/A</v>
      </c>
      <c r="AQ375" s="138" t="e">
        <f t="shared" si="44"/>
        <v>#N/A</v>
      </c>
      <c r="AR375" s="138" t="e">
        <f t="shared" si="45"/>
        <v>#N/A</v>
      </c>
      <c r="AS375" s="138" t="e">
        <f t="shared" si="46"/>
        <v>#N/A</v>
      </c>
      <c r="AT375" s="139" t="e">
        <f t="shared" si="47"/>
        <v>#N/A</v>
      </c>
      <c r="BB375" s="16" t="s">
        <v>596</v>
      </c>
    </row>
    <row r="376" spans="1:54" ht="102.75" customHeight="1">
      <c r="A376" s="428">
        <f t="shared" si="48"/>
        <v>368</v>
      </c>
      <c r="B376" s="294"/>
      <c r="C376" s="201"/>
      <c r="D376" s="290"/>
      <c r="E376" s="301"/>
      <c r="F376" s="301"/>
      <c r="G376" s="290"/>
      <c r="H376" s="291"/>
      <c r="I376" s="292"/>
      <c r="J376" s="61"/>
      <c r="K376" s="57"/>
      <c r="L376" s="303"/>
      <c r="M376" s="201"/>
      <c r="N376" s="84" t="str">
        <f>IF($AI376&lt;&gt;"",Master!$N$37,IF($AC376&lt;&gt;"",Master!$N$38,IF($S376&lt;&gt;"",Master!$N$39,IF($C376&lt;&gt;"",Master!$N$40,Master!$N$41))))</f>
        <v>起票</v>
      </c>
      <c r="O376" s="202" t="str">
        <f>IF($N376=Master!$N$37,MAX($S376,$AC376,$AI376),"")</f>
        <v/>
      </c>
      <c r="P376" s="65"/>
      <c r="Q376" s="203"/>
      <c r="R376" s="57"/>
      <c r="S376" s="203"/>
      <c r="T376" s="310"/>
      <c r="U376" s="289"/>
      <c r="V376" s="57"/>
      <c r="W376" s="288"/>
      <c r="X376" s="288"/>
      <c r="Y376" s="296"/>
      <c r="Z376" s="57"/>
      <c r="AA376" s="203"/>
      <c r="AB376" s="288"/>
      <c r="AC376" s="201"/>
      <c r="AD376" s="298"/>
      <c r="AE376" s="297"/>
      <c r="AF376" s="58"/>
      <c r="AG376" s="204"/>
      <c r="AH376" s="57"/>
      <c r="AI376" s="201"/>
      <c r="AJ376" s="287"/>
      <c r="AK376" s="452"/>
      <c r="AL376" s="59"/>
      <c r="AM376" s="60"/>
      <c r="AO376" s="137" t="e">
        <f t="shared" si="42"/>
        <v>#N/A</v>
      </c>
      <c r="AP376" s="138" t="e">
        <f t="shared" si="43"/>
        <v>#N/A</v>
      </c>
      <c r="AQ376" s="138" t="e">
        <f t="shared" si="44"/>
        <v>#N/A</v>
      </c>
      <c r="AR376" s="138" t="e">
        <f t="shared" si="45"/>
        <v>#N/A</v>
      </c>
      <c r="AS376" s="138" t="e">
        <f t="shared" si="46"/>
        <v>#N/A</v>
      </c>
      <c r="AT376" s="139" t="e">
        <f t="shared" si="47"/>
        <v>#N/A</v>
      </c>
      <c r="BB376" s="16" t="s">
        <v>596</v>
      </c>
    </row>
    <row r="377" spans="1:54" ht="102.75" customHeight="1">
      <c r="A377" s="428">
        <f t="shared" si="48"/>
        <v>369</v>
      </c>
      <c r="B377" s="294"/>
      <c r="C377" s="201"/>
      <c r="D377" s="290"/>
      <c r="E377" s="301"/>
      <c r="F377" s="301"/>
      <c r="G377" s="290"/>
      <c r="H377" s="291"/>
      <c r="I377" s="292"/>
      <c r="J377" s="61"/>
      <c r="K377" s="57"/>
      <c r="L377" s="303"/>
      <c r="M377" s="201"/>
      <c r="N377" s="84" t="str">
        <f>IF($AI377&lt;&gt;"",Master!$N$37,IF($AC377&lt;&gt;"",Master!$N$38,IF($S377&lt;&gt;"",Master!$N$39,IF($C377&lt;&gt;"",Master!$N$40,Master!$N$41))))</f>
        <v>起票</v>
      </c>
      <c r="O377" s="202" t="str">
        <f>IF($N377=Master!$N$37,MAX($S377,$AC377,$AI377),"")</f>
        <v/>
      </c>
      <c r="P377" s="65"/>
      <c r="Q377" s="203"/>
      <c r="R377" s="57"/>
      <c r="S377" s="203"/>
      <c r="T377" s="310"/>
      <c r="U377" s="289"/>
      <c r="V377" s="57"/>
      <c r="W377" s="288"/>
      <c r="X377" s="288"/>
      <c r="Y377" s="296"/>
      <c r="Z377" s="57"/>
      <c r="AA377" s="203"/>
      <c r="AB377" s="288"/>
      <c r="AC377" s="201"/>
      <c r="AD377" s="298"/>
      <c r="AE377" s="297"/>
      <c r="AF377" s="58"/>
      <c r="AG377" s="204"/>
      <c r="AH377" s="57"/>
      <c r="AI377" s="201"/>
      <c r="AJ377" s="287"/>
      <c r="AK377" s="452"/>
      <c r="AL377" s="59"/>
      <c r="AM377" s="60"/>
      <c r="AO377" s="137" t="e">
        <f t="shared" si="42"/>
        <v>#N/A</v>
      </c>
      <c r="AP377" s="138" t="e">
        <f t="shared" si="43"/>
        <v>#N/A</v>
      </c>
      <c r="AQ377" s="138" t="e">
        <f t="shared" si="44"/>
        <v>#N/A</v>
      </c>
      <c r="AR377" s="138" t="e">
        <f t="shared" si="45"/>
        <v>#N/A</v>
      </c>
      <c r="AS377" s="138" t="e">
        <f t="shared" si="46"/>
        <v>#N/A</v>
      </c>
      <c r="AT377" s="139" t="e">
        <f t="shared" si="47"/>
        <v>#N/A</v>
      </c>
      <c r="BB377" s="16" t="s">
        <v>596</v>
      </c>
    </row>
    <row r="378" spans="1:54" ht="102.75" customHeight="1">
      <c r="A378" s="428">
        <f t="shared" si="48"/>
        <v>370</v>
      </c>
      <c r="B378" s="403"/>
      <c r="C378" s="404"/>
      <c r="D378" s="405"/>
      <c r="E378" s="405"/>
      <c r="F378" s="405"/>
      <c r="G378" s="405"/>
      <c r="H378" s="406"/>
      <c r="I378" s="407"/>
      <c r="J378" s="408"/>
      <c r="K378" s="409"/>
      <c r="L378" s="410"/>
      <c r="M378" s="404"/>
      <c r="N378" s="411" t="str">
        <f>IF($AI378&lt;&gt;"",Master!$N$37,IF($AC378&lt;&gt;"",Master!$N$38,IF($S378&lt;&gt;"",Master!$N$39,IF($C378&lt;&gt;"",Master!$N$40,Master!$N$41))))</f>
        <v>起票</v>
      </c>
      <c r="O378" s="412" t="str">
        <f>IF($N378=Master!$N$37,MAX($S378,$AC378,$AI378),"")</f>
        <v/>
      </c>
      <c r="P378" s="413"/>
      <c r="Q378" s="414"/>
      <c r="R378" s="409"/>
      <c r="S378" s="404"/>
      <c r="T378" s="418"/>
      <c r="U378" s="415"/>
      <c r="V378" s="409"/>
      <c r="W378" s="419"/>
      <c r="X378" s="419"/>
      <c r="Y378" s="416"/>
      <c r="Z378" s="417"/>
      <c r="AA378" s="418"/>
      <c r="AB378" s="419"/>
      <c r="AC378" s="404"/>
      <c r="AD378" s="404"/>
      <c r="AE378" s="420"/>
      <c r="AF378" s="421"/>
      <c r="AG378" s="418"/>
      <c r="AH378" s="409"/>
      <c r="AI378" s="404"/>
      <c r="AJ378" s="416"/>
      <c r="AK378" s="453"/>
      <c r="AL378" s="422"/>
      <c r="AM378" s="423"/>
      <c r="AO378" s="137" t="e">
        <f t="shared" si="42"/>
        <v>#N/A</v>
      </c>
      <c r="AP378" s="138" t="e">
        <f t="shared" si="43"/>
        <v>#N/A</v>
      </c>
      <c r="AQ378" s="138" t="e">
        <f t="shared" si="44"/>
        <v>#N/A</v>
      </c>
      <c r="AR378" s="138" t="e">
        <f t="shared" si="45"/>
        <v>#N/A</v>
      </c>
      <c r="AS378" s="138" t="e">
        <f t="shared" si="46"/>
        <v>#N/A</v>
      </c>
      <c r="AT378" s="139" t="e">
        <f t="shared" si="47"/>
        <v>#N/A</v>
      </c>
      <c r="BB378" s="16" t="s">
        <v>596</v>
      </c>
    </row>
    <row r="379" spans="1:54" ht="102.75" customHeight="1">
      <c r="A379" s="428">
        <f t="shared" si="48"/>
        <v>371</v>
      </c>
      <c r="B379" s="403"/>
      <c r="C379" s="404"/>
      <c r="D379" s="405"/>
      <c r="E379" s="405"/>
      <c r="F379" s="405"/>
      <c r="G379" s="405"/>
      <c r="H379" s="406"/>
      <c r="I379" s="407"/>
      <c r="J379" s="408"/>
      <c r="K379" s="409"/>
      <c r="L379" s="410"/>
      <c r="M379" s="404"/>
      <c r="N379" s="411" t="str">
        <f>IF($AI379&lt;&gt;"",Master!$N$37,IF($AC379&lt;&gt;"",Master!$N$38,IF($S379&lt;&gt;"",Master!$N$39,IF($C379&lt;&gt;"",Master!$N$40,Master!$N$41))))</f>
        <v>起票</v>
      </c>
      <c r="O379" s="412" t="str">
        <f>IF($N379=Master!$N$37,MAX($S379,$AC379,$AI379),"")</f>
        <v/>
      </c>
      <c r="P379" s="413"/>
      <c r="Q379" s="414"/>
      <c r="R379" s="409"/>
      <c r="S379" s="404"/>
      <c r="T379" s="418"/>
      <c r="U379" s="415"/>
      <c r="V379" s="409"/>
      <c r="W379" s="419"/>
      <c r="X379" s="419"/>
      <c r="Y379" s="416"/>
      <c r="Z379" s="417"/>
      <c r="AA379" s="418"/>
      <c r="AB379" s="419"/>
      <c r="AC379" s="404"/>
      <c r="AD379" s="404"/>
      <c r="AE379" s="420"/>
      <c r="AF379" s="421"/>
      <c r="AG379" s="418"/>
      <c r="AH379" s="409"/>
      <c r="AI379" s="404"/>
      <c r="AJ379" s="416"/>
      <c r="AK379" s="453"/>
      <c r="AL379" s="422"/>
      <c r="AM379" s="423"/>
      <c r="AO379" s="137" t="e">
        <f t="shared" si="42"/>
        <v>#N/A</v>
      </c>
      <c r="AP379" s="138" t="e">
        <f t="shared" si="43"/>
        <v>#N/A</v>
      </c>
      <c r="AQ379" s="138" t="e">
        <f t="shared" si="44"/>
        <v>#N/A</v>
      </c>
      <c r="AR379" s="138" t="e">
        <f t="shared" si="45"/>
        <v>#N/A</v>
      </c>
      <c r="AS379" s="138" t="e">
        <f t="shared" si="46"/>
        <v>#N/A</v>
      </c>
      <c r="AT379" s="139" t="e">
        <f t="shared" si="47"/>
        <v>#N/A</v>
      </c>
      <c r="BB379" s="16" t="s">
        <v>596</v>
      </c>
    </row>
    <row r="380" spans="1:54" ht="102.75" customHeight="1">
      <c r="A380" s="428">
        <f t="shared" si="48"/>
        <v>372</v>
      </c>
      <c r="B380" s="403"/>
      <c r="C380" s="404"/>
      <c r="D380" s="405"/>
      <c r="E380" s="405"/>
      <c r="F380" s="405"/>
      <c r="G380" s="405"/>
      <c r="H380" s="406"/>
      <c r="I380" s="407"/>
      <c r="J380" s="408"/>
      <c r="K380" s="409"/>
      <c r="L380" s="410"/>
      <c r="M380" s="404"/>
      <c r="N380" s="411" t="str">
        <f>IF($AI380&lt;&gt;"",Master!$N$37,IF($AC380&lt;&gt;"",Master!$N$38,IF($S380&lt;&gt;"",Master!$N$39,IF($C380&lt;&gt;"",Master!$N$40,Master!$N$41))))</f>
        <v>起票</v>
      </c>
      <c r="O380" s="412" t="str">
        <f>IF($N380=Master!$N$37,MAX($S380,$AC380,$AI380),"")</f>
        <v/>
      </c>
      <c r="P380" s="413"/>
      <c r="Q380" s="414"/>
      <c r="R380" s="409"/>
      <c r="S380" s="404"/>
      <c r="T380" s="418"/>
      <c r="U380" s="415"/>
      <c r="V380" s="409"/>
      <c r="W380" s="419"/>
      <c r="X380" s="419"/>
      <c r="Y380" s="416"/>
      <c r="Z380" s="417"/>
      <c r="AA380" s="418"/>
      <c r="AB380" s="419"/>
      <c r="AC380" s="404"/>
      <c r="AD380" s="404"/>
      <c r="AE380" s="420"/>
      <c r="AF380" s="421"/>
      <c r="AG380" s="418"/>
      <c r="AH380" s="409"/>
      <c r="AI380" s="404"/>
      <c r="AJ380" s="416"/>
      <c r="AK380" s="453"/>
      <c r="AL380" s="422"/>
      <c r="AM380" s="423"/>
      <c r="AO380" s="137" t="e">
        <f t="shared" si="42"/>
        <v>#N/A</v>
      </c>
      <c r="AP380" s="138" t="e">
        <f t="shared" si="43"/>
        <v>#N/A</v>
      </c>
      <c r="AQ380" s="138" t="e">
        <f t="shared" si="44"/>
        <v>#N/A</v>
      </c>
      <c r="AR380" s="138" t="e">
        <f t="shared" si="45"/>
        <v>#N/A</v>
      </c>
      <c r="AS380" s="138" t="e">
        <f t="shared" si="46"/>
        <v>#N/A</v>
      </c>
      <c r="AT380" s="139" t="e">
        <f t="shared" si="47"/>
        <v>#N/A</v>
      </c>
      <c r="BB380" s="16" t="s">
        <v>596</v>
      </c>
    </row>
    <row r="381" spans="1:54" ht="102.75" customHeight="1">
      <c r="A381" s="428">
        <f t="shared" si="48"/>
        <v>373</v>
      </c>
      <c r="B381" s="294"/>
      <c r="C381" s="201"/>
      <c r="D381" s="290"/>
      <c r="E381" s="301"/>
      <c r="F381" s="301"/>
      <c r="G381" s="290"/>
      <c r="H381" s="291"/>
      <c r="I381" s="292"/>
      <c r="J381" s="61"/>
      <c r="K381" s="57"/>
      <c r="L381" s="303"/>
      <c r="M381" s="201"/>
      <c r="N381" s="84" t="str">
        <f>IF($AI381&lt;&gt;"",Master!$N$37,IF($AC381&lt;&gt;"",Master!$N$38,IF($S381&lt;&gt;"",Master!$N$39,IF($C381&lt;&gt;"",Master!$N$40,Master!$N$41))))</f>
        <v>起票</v>
      </c>
      <c r="O381" s="202" t="str">
        <f>IF($N381=Master!$N$37,MAX($S381,$AC381,$AI381),"")</f>
        <v/>
      </c>
      <c r="P381" s="65"/>
      <c r="Q381" s="203"/>
      <c r="R381" s="57"/>
      <c r="S381" s="203"/>
      <c r="T381" s="310"/>
      <c r="U381" s="289"/>
      <c r="V381" s="57"/>
      <c r="W381" s="288"/>
      <c r="X381" s="288"/>
      <c r="Y381" s="296"/>
      <c r="Z381" s="57"/>
      <c r="AA381" s="203"/>
      <c r="AB381" s="288"/>
      <c r="AC381" s="201"/>
      <c r="AD381" s="298"/>
      <c r="AE381" s="297"/>
      <c r="AF381" s="58"/>
      <c r="AG381" s="204"/>
      <c r="AH381" s="57"/>
      <c r="AI381" s="201"/>
      <c r="AJ381" s="287"/>
      <c r="AK381" s="452"/>
      <c r="AL381" s="59"/>
      <c r="AM381" s="60"/>
      <c r="AO381" s="137" t="e">
        <f t="shared" si="42"/>
        <v>#N/A</v>
      </c>
      <c r="AP381" s="138" t="e">
        <f t="shared" si="43"/>
        <v>#N/A</v>
      </c>
      <c r="AQ381" s="138" t="e">
        <f t="shared" si="44"/>
        <v>#N/A</v>
      </c>
      <c r="AR381" s="138" t="e">
        <f t="shared" si="45"/>
        <v>#N/A</v>
      </c>
      <c r="AS381" s="138" t="e">
        <f t="shared" si="46"/>
        <v>#N/A</v>
      </c>
      <c r="AT381" s="139" t="e">
        <f t="shared" si="47"/>
        <v>#N/A</v>
      </c>
      <c r="BB381" s="16" t="s">
        <v>596</v>
      </c>
    </row>
    <row r="382" spans="1:54" ht="102.75" customHeight="1">
      <c r="A382" s="428">
        <f t="shared" si="48"/>
        <v>374</v>
      </c>
      <c r="B382" s="294"/>
      <c r="C382" s="201"/>
      <c r="D382" s="290"/>
      <c r="E382" s="301"/>
      <c r="F382" s="301"/>
      <c r="G382" s="290"/>
      <c r="H382" s="291"/>
      <c r="I382" s="292"/>
      <c r="J382" s="61"/>
      <c r="K382" s="57"/>
      <c r="L382" s="303"/>
      <c r="M382" s="201"/>
      <c r="N382" s="84" t="str">
        <f>IF($AI382&lt;&gt;"",Master!$N$37,IF($AC382&lt;&gt;"",Master!$N$38,IF($S382&lt;&gt;"",Master!$N$39,IF($C382&lt;&gt;"",Master!$N$40,Master!$N$41))))</f>
        <v>起票</v>
      </c>
      <c r="O382" s="202" t="str">
        <f>IF($N382=Master!$N$37,MAX($S382,$AC382,$AI382),"")</f>
        <v/>
      </c>
      <c r="P382" s="65"/>
      <c r="Q382" s="203"/>
      <c r="R382" s="57"/>
      <c r="S382" s="203"/>
      <c r="T382" s="310"/>
      <c r="U382" s="289"/>
      <c r="V382" s="57"/>
      <c r="W382" s="288"/>
      <c r="X382" s="288"/>
      <c r="Y382" s="296"/>
      <c r="Z382" s="57"/>
      <c r="AA382" s="203"/>
      <c r="AB382" s="288"/>
      <c r="AC382" s="201"/>
      <c r="AD382" s="298"/>
      <c r="AE382" s="297"/>
      <c r="AF382" s="58"/>
      <c r="AG382" s="204"/>
      <c r="AH382" s="57"/>
      <c r="AI382" s="201"/>
      <c r="AJ382" s="287"/>
      <c r="AK382" s="452"/>
      <c r="AL382" s="59"/>
      <c r="AM382" s="60"/>
      <c r="AO382" s="137" t="e">
        <f t="shared" si="42"/>
        <v>#N/A</v>
      </c>
      <c r="AP382" s="138" t="e">
        <f t="shared" si="43"/>
        <v>#N/A</v>
      </c>
      <c r="AQ382" s="138" t="e">
        <f t="shared" si="44"/>
        <v>#N/A</v>
      </c>
      <c r="AR382" s="138" t="e">
        <f t="shared" si="45"/>
        <v>#N/A</v>
      </c>
      <c r="AS382" s="138" t="e">
        <f t="shared" si="46"/>
        <v>#N/A</v>
      </c>
      <c r="AT382" s="139" t="e">
        <f t="shared" si="47"/>
        <v>#N/A</v>
      </c>
      <c r="BB382" s="16" t="s">
        <v>596</v>
      </c>
    </row>
    <row r="383" spans="1:54" ht="102.75" customHeight="1">
      <c r="A383" s="428">
        <f t="shared" si="48"/>
        <v>375</v>
      </c>
      <c r="B383" s="294"/>
      <c r="C383" s="201"/>
      <c r="D383" s="290"/>
      <c r="E383" s="301"/>
      <c r="F383" s="301"/>
      <c r="G383" s="290"/>
      <c r="H383" s="291"/>
      <c r="I383" s="292"/>
      <c r="J383" s="61"/>
      <c r="K383" s="57"/>
      <c r="L383" s="303"/>
      <c r="M383" s="201"/>
      <c r="N383" s="84" t="str">
        <f>IF($AI383&lt;&gt;"",Master!$N$37,IF($AC383&lt;&gt;"",Master!$N$38,IF($S383&lt;&gt;"",Master!$N$39,IF($C383&lt;&gt;"",Master!$N$40,Master!$N$41))))</f>
        <v>起票</v>
      </c>
      <c r="O383" s="202" t="str">
        <f>IF($N383=Master!$N$37,MAX($S383,$AC383,$AI383),"")</f>
        <v/>
      </c>
      <c r="P383" s="65"/>
      <c r="Q383" s="203"/>
      <c r="R383" s="57"/>
      <c r="S383" s="203"/>
      <c r="T383" s="310"/>
      <c r="U383" s="289"/>
      <c r="V383" s="57"/>
      <c r="W383" s="288"/>
      <c r="X383" s="288"/>
      <c r="Y383" s="296"/>
      <c r="Z383" s="57"/>
      <c r="AA383" s="203"/>
      <c r="AB383" s="288"/>
      <c r="AC383" s="201"/>
      <c r="AD383" s="298"/>
      <c r="AE383" s="297"/>
      <c r="AF383" s="58"/>
      <c r="AG383" s="204"/>
      <c r="AH383" s="57"/>
      <c r="AI383" s="201"/>
      <c r="AJ383" s="287"/>
      <c r="AK383" s="452"/>
      <c r="AL383" s="59"/>
      <c r="AM383" s="60"/>
      <c r="AO383" s="137" t="e">
        <f t="shared" si="42"/>
        <v>#N/A</v>
      </c>
      <c r="AP383" s="138" t="e">
        <f t="shared" si="43"/>
        <v>#N/A</v>
      </c>
      <c r="AQ383" s="138" t="e">
        <f t="shared" si="44"/>
        <v>#N/A</v>
      </c>
      <c r="AR383" s="138" t="e">
        <f t="shared" si="45"/>
        <v>#N/A</v>
      </c>
      <c r="AS383" s="138" t="e">
        <f t="shared" si="46"/>
        <v>#N/A</v>
      </c>
      <c r="AT383" s="139" t="e">
        <f t="shared" si="47"/>
        <v>#N/A</v>
      </c>
      <c r="BB383" s="16" t="s">
        <v>596</v>
      </c>
    </row>
    <row r="384" spans="1:54" ht="102.75" customHeight="1">
      <c r="A384" s="428">
        <f t="shared" si="48"/>
        <v>376</v>
      </c>
      <c r="B384" s="294"/>
      <c r="C384" s="201"/>
      <c r="D384" s="290"/>
      <c r="E384" s="301"/>
      <c r="F384" s="301"/>
      <c r="G384" s="290"/>
      <c r="H384" s="291"/>
      <c r="I384" s="292"/>
      <c r="J384" s="61"/>
      <c r="K384" s="57"/>
      <c r="L384" s="303"/>
      <c r="M384" s="201"/>
      <c r="N384" s="84" t="str">
        <f>IF($AI384&lt;&gt;"",Master!$N$37,IF($AC384&lt;&gt;"",Master!$N$38,IF($S384&lt;&gt;"",Master!$N$39,IF($C384&lt;&gt;"",Master!$N$40,Master!$N$41))))</f>
        <v>起票</v>
      </c>
      <c r="O384" s="202" t="str">
        <f>IF($N384=Master!$N$37,MAX($S384,$AC384,$AI384),"")</f>
        <v/>
      </c>
      <c r="P384" s="65"/>
      <c r="Q384" s="203"/>
      <c r="R384" s="57"/>
      <c r="S384" s="203"/>
      <c r="T384" s="310"/>
      <c r="U384" s="289"/>
      <c r="V384" s="57"/>
      <c r="W384" s="288"/>
      <c r="X384" s="288"/>
      <c r="Y384" s="296"/>
      <c r="Z384" s="57"/>
      <c r="AA384" s="203"/>
      <c r="AB384" s="288"/>
      <c r="AC384" s="201"/>
      <c r="AD384" s="298"/>
      <c r="AE384" s="297"/>
      <c r="AF384" s="58"/>
      <c r="AG384" s="204"/>
      <c r="AH384" s="57"/>
      <c r="AI384" s="201"/>
      <c r="AJ384" s="287"/>
      <c r="AK384" s="452"/>
      <c r="AL384" s="59"/>
      <c r="AM384" s="60"/>
      <c r="AO384" s="137" t="e">
        <f t="shared" si="42"/>
        <v>#N/A</v>
      </c>
      <c r="AP384" s="138" t="e">
        <f t="shared" si="43"/>
        <v>#N/A</v>
      </c>
      <c r="AQ384" s="138" t="e">
        <f t="shared" si="44"/>
        <v>#N/A</v>
      </c>
      <c r="AR384" s="138" t="e">
        <f t="shared" si="45"/>
        <v>#N/A</v>
      </c>
      <c r="AS384" s="138" t="e">
        <f t="shared" si="46"/>
        <v>#N/A</v>
      </c>
      <c r="AT384" s="139" t="e">
        <f t="shared" si="47"/>
        <v>#N/A</v>
      </c>
      <c r="BB384" s="16" t="s">
        <v>596</v>
      </c>
    </row>
    <row r="385" spans="1:54" ht="102.75" customHeight="1">
      <c r="A385" s="428">
        <f t="shared" si="48"/>
        <v>377</v>
      </c>
      <c r="B385" s="294"/>
      <c r="C385" s="201"/>
      <c r="D385" s="290"/>
      <c r="E385" s="301"/>
      <c r="F385" s="301"/>
      <c r="G385" s="290"/>
      <c r="H385" s="291"/>
      <c r="I385" s="292"/>
      <c r="J385" s="61"/>
      <c r="K385" s="57"/>
      <c r="L385" s="303"/>
      <c r="M385" s="201"/>
      <c r="N385" s="84" t="str">
        <f>IF($AI385&lt;&gt;"",Master!$N$37,IF($AC385&lt;&gt;"",Master!$N$38,IF($S385&lt;&gt;"",Master!$N$39,IF($C385&lt;&gt;"",Master!$N$40,Master!$N$41))))</f>
        <v>起票</v>
      </c>
      <c r="O385" s="202" t="str">
        <f>IF($N385=Master!$N$37,MAX($S385,$AC385,$AI385),"")</f>
        <v/>
      </c>
      <c r="P385" s="65"/>
      <c r="Q385" s="203"/>
      <c r="R385" s="57"/>
      <c r="S385" s="203"/>
      <c r="T385" s="310"/>
      <c r="U385" s="289"/>
      <c r="V385" s="57"/>
      <c r="W385" s="288"/>
      <c r="X385" s="288"/>
      <c r="Y385" s="296"/>
      <c r="Z385" s="57"/>
      <c r="AA385" s="203"/>
      <c r="AB385" s="288"/>
      <c r="AC385" s="201"/>
      <c r="AD385" s="298"/>
      <c r="AE385" s="297"/>
      <c r="AF385" s="58"/>
      <c r="AG385" s="204"/>
      <c r="AH385" s="57"/>
      <c r="AI385" s="201"/>
      <c r="AJ385" s="287"/>
      <c r="AK385" s="452"/>
      <c r="AL385" s="59"/>
      <c r="AM385" s="60"/>
      <c r="AO385" s="137" t="e">
        <f t="shared" si="42"/>
        <v>#N/A</v>
      </c>
      <c r="AP385" s="138" t="e">
        <f t="shared" si="43"/>
        <v>#N/A</v>
      </c>
      <c r="AQ385" s="138" t="e">
        <f t="shared" si="44"/>
        <v>#N/A</v>
      </c>
      <c r="AR385" s="138" t="e">
        <f t="shared" si="45"/>
        <v>#N/A</v>
      </c>
      <c r="AS385" s="138" t="e">
        <f t="shared" si="46"/>
        <v>#N/A</v>
      </c>
      <c r="AT385" s="139" t="e">
        <f t="shared" si="47"/>
        <v>#N/A</v>
      </c>
      <c r="BB385" s="16" t="s">
        <v>596</v>
      </c>
    </row>
    <row r="386" spans="1:54" ht="102.75" customHeight="1">
      <c r="A386" s="428">
        <f t="shared" si="48"/>
        <v>378</v>
      </c>
      <c r="B386" s="403"/>
      <c r="C386" s="404"/>
      <c r="D386" s="405"/>
      <c r="E386" s="405"/>
      <c r="F386" s="405"/>
      <c r="G386" s="405"/>
      <c r="H386" s="406"/>
      <c r="I386" s="407"/>
      <c r="J386" s="408"/>
      <c r="K386" s="409"/>
      <c r="L386" s="410"/>
      <c r="M386" s="404"/>
      <c r="N386" s="411" t="str">
        <f>IF($AI386&lt;&gt;"",Master!$N$37,IF($AC386&lt;&gt;"",Master!$N$38,IF($S386&lt;&gt;"",Master!$N$39,IF($C386&lt;&gt;"",Master!$N$40,Master!$N$41))))</f>
        <v>起票</v>
      </c>
      <c r="O386" s="412" t="str">
        <f>IF($N386=Master!$N$37,MAX($S386,$AC386,$AI386),"")</f>
        <v/>
      </c>
      <c r="P386" s="413"/>
      <c r="Q386" s="414"/>
      <c r="R386" s="409"/>
      <c r="S386" s="404"/>
      <c r="T386" s="418"/>
      <c r="U386" s="415"/>
      <c r="V386" s="409"/>
      <c r="W386" s="419"/>
      <c r="X386" s="419"/>
      <c r="Y386" s="416"/>
      <c r="Z386" s="417"/>
      <c r="AA386" s="418"/>
      <c r="AB386" s="419"/>
      <c r="AC386" s="404"/>
      <c r="AD386" s="404"/>
      <c r="AE386" s="420"/>
      <c r="AF386" s="421"/>
      <c r="AG386" s="418"/>
      <c r="AH386" s="409"/>
      <c r="AI386" s="404"/>
      <c r="AJ386" s="416"/>
      <c r="AK386" s="453"/>
      <c r="AL386" s="422"/>
      <c r="AM386" s="423"/>
      <c r="AO386" s="137" t="e">
        <f t="shared" si="42"/>
        <v>#N/A</v>
      </c>
      <c r="AP386" s="138" t="e">
        <f t="shared" si="43"/>
        <v>#N/A</v>
      </c>
      <c r="AQ386" s="138" t="e">
        <f t="shared" si="44"/>
        <v>#N/A</v>
      </c>
      <c r="AR386" s="138" t="e">
        <f t="shared" si="45"/>
        <v>#N/A</v>
      </c>
      <c r="AS386" s="138" t="e">
        <f t="shared" si="46"/>
        <v>#N/A</v>
      </c>
      <c r="AT386" s="139" t="e">
        <f t="shared" si="47"/>
        <v>#N/A</v>
      </c>
      <c r="BB386" s="16" t="s">
        <v>596</v>
      </c>
    </row>
    <row r="387" spans="1:54" ht="102.75" customHeight="1">
      <c r="A387" s="428">
        <f t="shared" si="48"/>
        <v>379</v>
      </c>
      <c r="B387" s="403"/>
      <c r="C387" s="404"/>
      <c r="D387" s="405"/>
      <c r="E387" s="405"/>
      <c r="F387" s="405"/>
      <c r="G387" s="405"/>
      <c r="H387" s="406"/>
      <c r="I387" s="407"/>
      <c r="J387" s="408"/>
      <c r="K387" s="409"/>
      <c r="L387" s="410"/>
      <c r="M387" s="404"/>
      <c r="N387" s="411" t="str">
        <f>IF($AI387&lt;&gt;"",Master!$N$37,IF($AC387&lt;&gt;"",Master!$N$38,IF($S387&lt;&gt;"",Master!$N$39,IF($C387&lt;&gt;"",Master!$N$40,Master!$N$41))))</f>
        <v>起票</v>
      </c>
      <c r="O387" s="412" t="str">
        <f>IF($N387=Master!$N$37,MAX($S387,$AC387,$AI387),"")</f>
        <v/>
      </c>
      <c r="P387" s="413"/>
      <c r="Q387" s="414"/>
      <c r="R387" s="409"/>
      <c r="S387" s="404"/>
      <c r="T387" s="418"/>
      <c r="U387" s="415"/>
      <c r="V387" s="409"/>
      <c r="W387" s="419"/>
      <c r="X387" s="419"/>
      <c r="Y387" s="416"/>
      <c r="Z387" s="417"/>
      <c r="AA387" s="418"/>
      <c r="AB387" s="419"/>
      <c r="AC387" s="404"/>
      <c r="AD387" s="404"/>
      <c r="AE387" s="420"/>
      <c r="AF387" s="421"/>
      <c r="AG387" s="418"/>
      <c r="AH387" s="409"/>
      <c r="AI387" s="404"/>
      <c r="AJ387" s="416"/>
      <c r="AK387" s="453"/>
      <c r="AL387" s="422"/>
      <c r="AM387" s="423"/>
      <c r="AO387" s="137" t="e">
        <f t="shared" si="42"/>
        <v>#N/A</v>
      </c>
      <c r="AP387" s="138" t="e">
        <f t="shared" si="43"/>
        <v>#N/A</v>
      </c>
      <c r="AQ387" s="138" t="e">
        <f>IF(AND(C387&lt;&gt;"",C387&lt;=$AI$3),IF(H387="","",H387),NA())</f>
        <v>#N/A</v>
      </c>
      <c r="AR387" s="138" t="e">
        <f t="shared" si="45"/>
        <v>#N/A</v>
      </c>
      <c r="AS387" s="138" t="e">
        <f t="shared" si="46"/>
        <v>#N/A</v>
      </c>
      <c r="AT387" s="139" t="e">
        <f t="shared" si="47"/>
        <v>#N/A</v>
      </c>
      <c r="BB387" s="16" t="s">
        <v>596</v>
      </c>
    </row>
    <row r="388" spans="1:54" ht="102.75" customHeight="1">
      <c r="A388" s="428">
        <f t="shared" si="48"/>
        <v>380</v>
      </c>
      <c r="B388" s="403"/>
      <c r="C388" s="404"/>
      <c r="D388" s="405"/>
      <c r="E388" s="405"/>
      <c r="F388" s="405"/>
      <c r="G388" s="405"/>
      <c r="H388" s="406"/>
      <c r="I388" s="407"/>
      <c r="J388" s="408"/>
      <c r="K388" s="409"/>
      <c r="L388" s="410"/>
      <c r="M388" s="404"/>
      <c r="N388" s="411" t="str">
        <f>IF($AI388&lt;&gt;"",Master!$N$37,IF($AC388&lt;&gt;"",Master!$N$38,IF($S388&lt;&gt;"",Master!$N$39,IF($C388&lt;&gt;"",Master!$N$40,Master!$N$41))))</f>
        <v>起票</v>
      </c>
      <c r="O388" s="412" t="str">
        <f>IF($N388=Master!$N$37,MAX($S388,$AC388,$AI388),"")</f>
        <v/>
      </c>
      <c r="P388" s="413"/>
      <c r="Q388" s="414"/>
      <c r="R388" s="409"/>
      <c r="S388" s="404"/>
      <c r="T388" s="418"/>
      <c r="U388" s="415"/>
      <c r="V388" s="409"/>
      <c r="W388" s="419"/>
      <c r="X388" s="419"/>
      <c r="Y388" s="416"/>
      <c r="Z388" s="417"/>
      <c r="AA388" s="418"/>
      <c r="AB388" s="419"/>
      <c r="AC388" s="404"/>
      <c r="AD388" s="404"/>
      <c r="AE388" s="420"/>
      <c r="AF388" s="421"/>
      <c r="AG388" s="418"/>
      <c r="AH388" s="409"/>
      <c r="AI388" s="404"/>
      <c r="AJ388" s="416"/>
      <c r="AK388" s="453"/>
      <c r="AL388" s="422"/>
      <c r="AM388" s="423"/>
      <c r="AO388" s="137" t="e">
        <f t="shared" si="42"/>
        <v>#N/A</v>
      </c>
      <c r="AP388" s="138" t="e">
        <f t="shared" si="43"/>
        <v>#N/A</v>
      </c>
      <c r="AQ388" s="138" t="e">
        <f t="shared" si="44"/>
        <v>#N/A</v>
      </c>
      <c r="AR388" s="138" t="e">
        <f t="shared" si="45"/>
        <v>#N/A</v>
      </c>
      <c r="AS388" s="138" t="e">
        <f t="shared" si="46"/>
        <v>#N/A</v>
      </c>
      <c r="AT388" s="139" t="e">
        <f t="shared" si="47"/>
        <v>#N/A</v>
      </c>
      <c r="BB388" s="16" t="s">
        <v>596</v>
      </c>
    </row>
    <row r="389" spans="1:54" ht="102.75" customHeight="1">
      <c r="A389" s="428">
        <f t="shared" si="48"/>
        <v>381</v>
      </c>
      <c r="B389" s="294"/>
      <c r="C389" s="201"/>
      <c r="D389" s="290"/>
      <c r="E389" s="301"/>
      <c r="F389" s="301"/>
      <c r="G389" s="290"/>
      <c r="H389" s="291"/>
      <c r="I389" s="292"/>
      <c r="J389" s="61"/>
      <c r="K389" s="57"/>
      <c r="L389" s="303"/>
      <c r="M389" s="201"/>
      <c r="N389" s="84" t="str">
        <f>IF($AI389&lt;&gt;"",Master!$N$37,IF($AC389&lt;&gt;"",Master!$N$38,IF($S389&lt;&gt;"",Master!$N$39,IF($C389&lt;&gt;"",Master!$N$40,Master!$N$41))))</f>
        <v>起票</v>
      </c>
      <c r="O389" s="202" t="str">
        <f>IF($N389=Master!$N$37,MAX($S389,$AC389,$AI389),"")</f>
        <v/>
      </c>
      <c r="P389" s="65"/>
      <c r="Q389" s="203"/>
      <c r="R389" s="57"/>
      <c r="S389" s="203"/>
      <c r="T389" s="310"/>
      <c r="U389" s="289"/>
      <c r="V389" s="57"/>
      <c r="W389" s="288"/>
      <c r="X389" s="288"/>
      <c r="Y389" s="296"/>
      <c r="Z389" s="57"/>
      <c r="AA389" s="203"/>
      <c r="AB389" s="288"/>
      <c r="AC389" s="201"/>
      <c r="AD389" s="298"/>
      <c r="AE389" s="297"/>
      <c r="AF389" s="58"/>
      <c r="AG389" s="204"/>
      <c r="AH389" s="57"/>
      <c r="AI389" s="201"/>
      <c r="AJ389" s="287"/>
      <c r="AK389" s="452"/>
      <c r="AL389" s="59"/>
      <c r="AM389" s="60"/>
      <c r="AO389" s="137" t="e">
        <f>IF(AND(C389&lt;&gt;"",C389&lt;=$AI$3),IF(E389="","",E389),NA())</f>
        <v>#N/A</v>
      </c>
      <c r="AP389" s="138" t="e">
        <f t="shared" si="43"/>
        <v>#N/A</v>
      </c>
      <c r="AQ389" s="138" t="e">
        <f t="shared" si="44"/>
        <v>#N/A</v>
      </c>
      <c r="AR389" s="138" t="e">
        <f t="shared" si="45"/>
        <v>#N/A</v>
      </c>
      <c r="AS389" s="138" t="e">
        <f t="shared" si="46"/>
        <v>#N/A</v>
      </c>
      <c r="AT389" s="139" t="e">
        <f t="shared" si="47"/>
        <v>#N/A</v>
      </c>
      <c r="BB389" s="16" t="s">
        <v>596</v>
      </c>
    </row>
    <row r="390" spans="1:54" ht="102.75" customHeight="1">
      <c r="A390" s="428">
        <f t="shared" si="48"/>
        <v>382</v>
      </c>
      <c r="B390" s="294"/>
      <c r="C390" s="201"/>
      <c r="D390" s="290"/>
      <c r="E390" s="301"/>
      <c r="F390" s="301"/>
      <c r="G390" s="290"/>
      <c r="H390" s="291"/>
      <c r="I390" s="292"/>
      <c r="J390" s="61"/>
      <c r="K390" s="57"/>
      <c r="L390" s="303"/>
      <c r="M390" s="201"/>
      <c r="N390" s="84" t="str">
        <f>IF($AI390&lt;&gt;"",Master!$N$37,IF($AC390&lt;&gt;"",Master!$N$38,IF($S390&lt;&gt;"",Master!$N$39,IF($C390&lt;&gt;"",Master!$N$40,Master!$N$41))))</f>
        <v>起票</v>
      </c>
      <c r="O390" s="202" t="str">
        <f>IF($N390=Master!$N$37,MAX($S390,$AC390,$AI390),"")</f>
        <v/>
      </c>
      <c r="P390" s="65"/>
      <c r="Q390" s="203"/>
      <c r="R390" s="57"/>
      <c r="S390" s="203"/>
      <c r="T390" s="310"/>
      <c r="U390" s="289"/>
      <c r="V390" s="57"/>
      <c r="W390" s="288"/>
      <c r="X390" s="288"/>
      <c r="Y390" s="296"/>
      <c r="Z390" s="57"/>
      <c r="AA390" s="203"/>
      <c r="AB390" s="288"/>
      <c r="AC390" s="201"/>
      <c r="AD390" s="298"/>
      <c r="AE390" s="297"/>
      <c r="AF390" s="58"/>
      <c r="AG390" s="204"/>
      <c r="AH390" s="57"/>
      <c r="AI390" s="201"/>
      <c r="AJ390" s="287"/>
      <c r="AK390" s="452"/>
      <c r="AL390" s="59"/>
      <c r="AM390" s="60"/>
      <c r="AO390" s="137" t="e">
        <f t="shared" si="42"/>
        <v>#N/A</v>
      </c>
      <c r="AP390" s="138" t="e">
        <f t="shared" si="43"/>
        <v>#N/A</v>
      </c>
      <c r="AQ390" s="138" t="e">
        <f t="shared" si="44"/>
        <v>#N/A</v>
      </c>
      <c r="AR390" s="138" t="e">
        <f t="shared" si="45"/>
        <v>#N/A</v>
      </c>
      <c r="AS390" s="138" t="e">
        <f t="shared" si="46"/>
        <v>#N/A</v>
      </c>
      <c r="AT390" s="139" t="e">
        <f t="shared" si="47"/>
        <v>#N/A</v>
      </c>
      <c r="BB390" s="16" t="s">
        <v>596</v>
      </c>
    </row>
    <row r="391" spans="1:54" ht="102.75" customHeight="1">
      <c r="A391" s="428">
        <f t="shared" si="48"/>
        <v>383</v>
      </c>
      <c r="B391" s="403"/>
      <c r="C391" s="404"/>
      <c r="D391" s="405"/>
      <c r="E391" s="405"/>
      <c r="F391" s="430"/>
      <c r="G391" s="405"/>
      <c r="H391" s="406"/>
      <c r="I391" s="407"/>
      <c r="J391" s="408"/>
      <c r="K391" s="409"/>
      <c r="L391" s="410"/>
      <c r="M391" s="404"/>
      <c r="N391" s="411" t="str">
        <f>IF($AI391&lt;&gt;"",Master!$N$37,IF($AC391&lt;&gt;"",Master!$N$38,IF($S391&lt;&gt;"",Master!$N$39,IF($C391&lt;&gt;"",Master!$N$40,Master!$N$41))))</f>
        <v>起票</v>
      </c>
      <c r="O391" s="412" t="str">
        <f>IF($N391=Master!$N$37,MAX($S391,$AC391,$AI391),"")</f>
        <v/>
      </c>
      <c r="P391" s="413"/>
      <c r="Q391" s="414"/>
      <c r="R391" s="409"/>
      <c r="S391" s="404"/>
      <c r="T391" s="418"/>
      <c r="U391" s="415"/>
      <c r="V391" s="409"/>
      <c r="W391" s="419"/>
      <c r="X391" s="419"/>
      <c r="Y391" s="416"/>
      <c r="Z391" s="417"/>
      <c r="AA391" s="418"/>
      <c r="AB391" s="419"/>
      <c r="AC391" s="404"/>
      <c r="AD391" s="404"/>
      <c r="AE391" s="420"/>
      <c r="AF391" s="421"/>
      <c r="AG391" s="418"/>
      <c r="AH391" s="409"/>
      <c r="AI391" s="404"/>
      <c r="AJ391" s="416"/>
      <c r="AK391" s="453"/>
      <c r="AL391" s="422"/>
      <c r="AM391" s="423"/>
      <c r="AO391" s="137" t="e">
        <f t="shared" si="42"/>
        <v>#N/A</v>
      </c>
      <c r="AP391" s="138" t="e">
        <f t="shared" si="43"/>
        <v>#N/A</v>
      </c>
      <c r="AQ391" s="138" t="e">
        <f t="shared" si="44"/>
        <v>#N/A</v>
      </c>
      <c r="AR391" s="138" t="e">
        <f t="shared" si="45"/>
        <v>#N/A</v>
      </c>
      <c r="AS391" s="138" t="e">
        <f t="shared" si="46"/>
        <v>#N/A</v>
      </c>
      <c r="AT391" s="139" t="e">
        <f t="shared" si="47"/>
        <v>#N/A</v>
      </c>
      <c r="BB391" s="16" t="s">
        <v>596</v>
      </c>
    </row>
    <row r="392" spans="1:54" ht="102.75" customHeight="1">
      <c r="A392" s="428">
        <f t="shared" si="48"/>
        <v>384</v>
      </c>
      <c r="B392" s="403"/>
      <c r="C392" s="404"/>
      <c r="D392" s="405"/>
      <c r="E392" s="405"/>
      <c r="F392" s="405"/>
      <c r="G392" s="405"/>
      <c r="H392" s="406"/>
      <c r="I392" s="407"/>
      <c r="J392" s="408"/>
      <c r="K392" s="409"/>
      <c r="L392" s="410"/>
      <c r="M392" s="404"/>
      <c r="N392" s="411" t="str">
        <f>IF($AI392&lt;&gt;"",Master!$N$37,IF($AC392&lt;&gt;"",Master!$N$38,IF($S392&lt;&gt;"",Master!$N$39,IF($C392&lt;&gt;"",Master!$N$40,Master!$N$41))))</f>
        <v>起票</v>
      </c>
      <c r="O392" s="412" t="str">
        <f>IF($N392=Master!$N$37,MAX($S392,$AC392,$AI392),"")</f>
        <v/>
      </c>
      <c r="P392" s="413"/>
      <c r="Q392" s="414"/>
      <c r="R392" s="409"/>
      <c r="S392" s="404"/>
      <c r="T392" s="418"/>
      <c r="U392" s="415"/>
      <c r="V392" s="409"/>
      <c r="W392" s="419"/>
      <c r="X392" s="419"/>
      <c r="Y392" s="416"/>
      <c r="Z392" s="417"/>
      <c r="AA392" s="418"/>
      <c r="AB392" s="419"/>
      <c r="AC392" s="404"/>
      <c r="AD392" s="404"/>
      <c r="AE392" s="420"/>
      <c r="AF392" s="421"/>
      <c r="AG392" s="418"/>
      <c r="AH392" s="409"/>
      <c r="AI392" s="404"/>
      <c r="AJ392" s="416"/>
      <c r="AK392" s="453"/>
      <c r="AL392" s="422"/>
      <c r="AM392" s="423"/>
      <c r="AO392" s="137" t="e">
        <f t="shared" si="42"/>
        <v>#N/A</v>
      </c>
      <c r="AP392" s="138" t="e">
        <f t="shared" si="43"/>
        <v>#N/A</v>
      </c>
      <c r="AQ392" s="138" t="e">
        <f t="shared" si="44"/>
        <v>#N/A</v>
      </c>
      <c r="AR392" s="138" t="e">
        <f t="shared" si="45"/>
        <v>#N/A</v>
      </c>
      <c r="AS392" s="138" t="e">
        <f t="shared" si="46"/>
        <v>#N/A</v>
      </c>
      <c r="AT392" s="139" t="e">
        <f t="shared" si="47"/>
        <v>#N/A</v>
      </c>
      <c r="BB392" s="16" t="s">
        <v>596</v>
      </c>
    </row>
    <row r="393" spans="1:54" ht="102.75" customHeight="1">
      <c r="A393" s="428">
        <f t="shared" si="48"/>
        <v>385</v>
      </c>
      <c r="B393" s="403"/>
      <c r="C393" s="404"/>
      <c r="D393" s="405"/>
      <c r="E393" s="405"/>
      <c r="F393" s="405"/>
      <c r="G393" s="405"/>
      <c r="H393" s="406"/>
      <c r="I393" s="407"/>
      <c r="J393" s="408"/>
      <c r="K393" s="409"/>
      <c r="L393" s="410"/>
      <c r="M393" s="404"/>
      <c r="N393" s="411" t="str">
        <f>IF($AI393&lt;&gt;"",Master!$N$37,IF($AC393&lt;&gt;"",Master!$N$38,IF($S393&lt;&gt;"",Master!$N$39,IF($C393&lt;&gt;"",Master!$N$40,Master!$N$41))))</f>
        <v>起票</v>
      </c>
      <c r="O393" s="412" t="str">
        <f>IF($N393=Master!$N$37,MAX($S393,$AC393,$AI393),"")</f>
        <v/>
      </c>
      <c r="P393" s="413"/>
      <c r="Q393" s="414"/>
      <c r="R393" s="409"/>
      <c r="S393" s="404"/>
      <c r="T393" s="418"/>
      <c r="U393" s="415"/>
      <c r="V393" s="409"/>
      <c r="W393" s="419"/>
      <c r="X393" s="419"/>
      <c r="Y393" s="416"/>
      <c r="Z393" s="417"/>
      <c r="AA393" s="418"/>
      <c r="AB393" s="419"/>
      <c r="AC393" s="404"/>
      <c r="AD393" s="404"/>
      <c r="AE393" s="420"/>
      <c r="AF393" s="421"/>
      <c r="AG393" s="418"/>
      <c r="AH393" s="409"/>
      <c r="AI393" s="404"/>
      <c r="AJ393" s="416"/>
      <c r="AK393" s="453"/>
      <c r="AL393" s="422"/>
      <c r="AM393" s="423"/>
      <c r="AO393" s="137" t="e">
        <f t="shared" si="42"/>
        <v>#N/A</v>
      </c>
      <c r="AP393" s="138" t="e">
        <f t="shared" si="43"/>
        <v>#N/A</v>
      </c>
      <c r="AQ393" s="138" t="e">
        <f t="shared" si="44"/>
        <v>#N/A</v>
      </c>
      <c r="AR393" s="138" t="e">
        <f t="shared" si="45"/>
        <v>#N/A</v>
      </c>
      <c r="AS393" s="138" t="e">
        <f t="shared" si="46"/>
        <v>#N/A</v>
      </c>
      <c r="AT393" s="139" t="e">
        <f t="shared" si="47"/>
        <v>#N/A</v>
      </c>
      <c r="BB393" s="16" t="s">
        <v>596</v>
      </c>
    </row>
    <row r="394" spans="1:54" ht="102.75" customHeight="1">
      <c r="A394" s="428">
        <f t="shared" si="48"/>
        <v>386</v>
      </c>
      <c r="B394" s="294"/>
      <c r="C394" s="201"/>
      <c r="D394" s="290"/>
      <c r="E394" s="301"/>
      <c r="F394" s="301"/>
      <c r="G394" s="290"/>
      <c r="H394" s="291"/>
      <c r="I394" s="292"/>
      <c r="J394" s="61"/>
      <c r="K394" s="57"/>
      <c r="L394" s="303"/>
      <c r="M394" s="201"/>
      <c r="N394" s="84" t="str">
        <f>IF($AI394&lt;&gt;"",Master!$N$37,IF($AC394&lt;&gt;"",Master!$N$38,IF($S394&lt;&gt;"",Master!$N$39,IF($C394&lt;&gt;"",Master!$N$40,Master!$N$41))))</f>
        <v>起票</v>
      </c>
      <c r="O394" s="202" t="str">
        <f>IF($N394=Master!$N$37,MAX($S394,$AC394,$AI394),"")</f>
        <v/>
      </c>
      <c r="P394" s="65"/>
      <c r="Q394" s="203"/>
      <c r="R394" s="57"/>
      <c r="S394" s="203"/>
      <c r="T394" s="310"/>
      <c r="U394" s="289"/>
      <c r="V394" s="57"/>
      <c r="W394" s="288"/>
      <c r="X394" s="288"/>
      <c r="Y394" s="296"/>
      <c r="Z394" s="57"/>
      <c r="AA394" s="203"/>
      <c r="AB394" s="288"/>
      <c r="AC394" s="201"/>
      <c r="AD394" s="298"/>
      <c r="AE394" s="297"/>
      <c r="AF394" s="58"/>
      <c r="AG394" s="204"/>
      <c r="AH394" s="57"/>
      <c r="AI394" s="201"/>
      <c r="AJ394" s="287"/>
      <c r="AK394" s="452"/>
      <c r="AL394" s="59"/>
      <c r="AM394" s="60"/>
      <c r="AO394" s="137" t="e">
        <f t="shared" si="42"/>
        <v>#N/A</v>
      </c>
      <c r="AP394" s="138" t="e">
        <f t="shared" si="43"/>
        <v>#N/A</v>
      </c>
      <c r="AQ394" s="138" t="e">
        <f t="shared" si="44"/>
        <v>#N/A</v>
      </c>
      <c r="AR394" s="138" t="e">
        <f t="shared" si="45"/>
        <v>#N/A</v>
      </c>
      <c r="AS394" s="138" t="e">
        <f t="shared" si="46"/>
        <v>#N/A</v>
      </c>
      <c r="AT394" s="139" t="e">
        <f t="shared" si="47"/>
        <v>#N/A</v>
      </c>
      <c r="BB394" s="16" t="s">
        <v>596</v>
      </c>
    </row>
    <row r="395" spans="1:54" ht="102.75" customHeight="1">
      <c r="A395" s="428">
        <f t="shared" si="48"/>
        <v>387</v>
      </c>
      <c r="B395" s="294"/>
      <c r="C395" s="201"/>
      <c r="D395" s="290"/>
      <c r="E395" s="301"/>
      <c r="F395" s="301"/>
      <c r="G395" s="290"/>
      <c r="H395" s="291"/>
      <c r="I395" s="292"/>
      <c r="J395" s="61"/>
      <c r="K395" s="57"/>
      <c r="L395" s="303"/>
      <c r="M395" s="201"/>
      <c r="N395" s="84" t="str">
        <f>IF($AI395&lt;&gt;"",Master!$N$37,IF($AC395&lt;&gt;"",Master!$N$38,IF($S395&lt;&gt;"",Master!$N$39,IF($C395&lt;&gt;"",Master!$N$40,Master!$N$41))))</f>
        <v>起票</v>
      </c>
      <c r="O395" s="202" t="str">
        <f>IF($N395=Master!$N$37,MAX($S395,$AC395,$AI395),"")</f>
        <v/>
      </c>
      <c r="P395" s="65"/>
      <c r="Q395" s="203"/>
      <c r="R395" s="57"/>
      <c r="S395" s="203"/>
      <c r="T395" s="310"/>
      <c r="U395" s="289"/>
      <c r="V395" s="57"/>
      <c r="W395" s="288"/>
      <c r="X395" s="288"/>
      <c r="Y395" s="296"/>
      <c r="Z395" s="57"/>
      <c r="AA395" s="203"/>
      <c r="AB395" s="288"/>
      <c r="AC395" s="201"/>
      <c r="AD395" s="298"/>
      <c r="AE395" s="297"/>
      <c r="AF395" s="58"/>
      <c r="AG395" s="204"/>
      <c r="AH395" s="57"/>
      <c r="AI395" s="201"/>
      <c r="AJ395" s="287"/>
      <c r="AK395" s="452"/>
      <c r="AL395" s="59"/>
      <c r="AM395" s="60"/>
      <c r="AO395" s="137" t="e">
        <f t="shared" si="42"/>
        <v>#N/A</v>
      </c>
      <c r="AP395" s="138" t="e">
        <f t="shared" si="43"/>
        <v>#N/A</v>
      </c>
      <c r="AQ395" s="138" t="e">
        <f t="shared" si="44"/>
        <v>#N/A</v>
      </c>
      <c r="AR395" s="138" t="e">
        <f t="shared" si="45"/>
        <v>#N/A</v>
      </c>
      <c r="AS395" s="138" t="e">
        <f t="shared" si="46"/>
        <v>#N/A</v>
      </c>
      <c r="AT395" s="139" t="e">
        <f t="shared" si="47"/>
        <v>#N/A</v>
      </c>
      <c r="BB395" s="16" t="s">
        <v>596</v>
      </c>
    </row>
    <row r="396" spans="1:54" ht="102.75" customHeight="1">
      <c r="A396" s="428">
        <f t="shared" ref="A396:A459" si="49">A395+1</f>
        <v>388</v>
      </c>
      <c r="B396" s="294"/>
      <c r="C396" s="201"/>
      <c r="D396" s="290"/>
      <c r="E396" s="301"/>
      <c r="F396" s="301"/>
      <c r="G396" s="290"/>
      <c r="H396" s="291"/>
      <c r="I396" s="292"/>
      <c r="J396" s="61"/>
      <c r="K396" s="57"/>
      <c r="L396" s="303"/>
      <c r="M396" s="201"/>
      <c r="N396" s="84" t="str">
        <f>IF($AI396&lt;&gt;"",Master!$N$37,IF($AC396&lt;&gt;"",Master!$N$38,IF($S396&lt;&gt;"",Master!$N$39,IF($C396&lt;&gt;"",Master!$N$40,Master!$N$41))))</f>
        <v>起票</v>
      </c>
      <c r="O396" s="202" t="str">
        <f>IF($N396=Master!$N$37,MAX($S396,$AC396,$AI396),"")</f>
        <v/>
      </c>
      <c r="P396" s="65"/>
      <c r="Q396" s="203"/>
      <c r="R396" s="57"/>
      <c r="S396" s="203"/>
      <c r="T396" s="310"/>
      <c r="U396" s="289"/>
      <c r="V396" s="57"/>
      <c r="W396" s="288"/>
      <c r="X396" s="288"/>
      <c r="Y396" s="296"/>
      <c r="Z396" s="57"/>
      <c r="AA396" s="203"/>
      <c r="AB396" s="288"/>
      <c r="AC396" s="201"/>
      <c r="AD396" s="298"/>
      <c r="AE396" s="297"/>
      <c r="AF396" s="58"/>
      <c r="AG396" s="204"/>
      <c r="AH396" s="57"/>
      <c r="AI396" s="201"/>
      <c r="AJ396" s="287"/>
      <c r="AK396" s="452"/>
      <c r="AL396" s="59"/>
      <c r="AM396" s="60"/>
      <c r="AO396" s="137" t="e">
        <f t="shared" si="42"/>
        <v>#N/A</v>
      </c>
      <c r="AP396" s="138" t="e">
        <f t="shared" si="43"/>
        <v>#N/A</v>
      </c>
      <c r="AQ396" s="138" t="e">
        <f t="shared" si="44"/>
        <v>#N/A</v>
      </c>
      <c r="AR396" s="138" t="e">
        <f t="shared" si="45"/>
        <v>#N/A</v>
      </c>
      <c r="AS396" s="138" t="e">
        <f t="shared" si="46"/>
        <v>#N/A</v>
      </c>
      <c r="AT396" s="139" t="e">
        <f t="shared" si="47"/>
        <v>#N/A</v>
      </c>
      <c r="BB396" s="16" t="s">
        <v>596</v>
      </c>
    </row>
    <row r="397" spans="1:54" ht="102.75" customHeight="1">
      <c r="A397" s="428">
        <f t="shared" si="49"/>
        <v>389</v>
      </c>
      <c r="B397" s="294"/>
      <c r="C397" s="201"/>
      <c r="D397" s="290"/>
      <c r="E397" s="301"/>
      <c r="F397" s="301"/>
      <c r="G397" s="290"/>
      <c r="H397" s="291"/>
      <c r="I397" s="292"/>
      <c r="J397" s="61"/>
      <c r="K397" s="57"/>
      <c r="L397" s="303"/>
      <c r="M397" s="201"/>
      <c r="N397" s="84" t="str">
        <f>IF($AI397&lt;&gt;"",Master!$N$37,IF($AC397&lt;&gt;"",Master!$N$38,IF($S397&lt;&gt;"",Master!$N$39,IF($C397&lt;&gt;"",Master!$N$40,Master!$N$41))))</f>
        <v>起票</v>
      </c>
      <c r="O397" s="202" t="str">
        <f>IF($N397=Master!$N$37,MAX($S397,$AC397,$AI397),"")</f>
        <v/>
      </c>
      <c r="P397" s="65"/>
      <c r="Q397" s="203"/>
      <c r="R397" s="57"/>
      <c r="S397" s="203"/>
      <c r="T397" s="310"/>
      <c r="U397" s="289"/>
      <c r="V397" s="57"/>
      <c r="W397" s="288"/>
      <c r="X397" s="288"/>
      <c r="Y397" s="296"/>
      <c r="Z397" s="57"/>
      <c r="AA397" s="203"/>
      <c r="AB397" s="288"/>
      <c r="AC397" s="201"/>
      <c r="AD397" s="298"/>
      <c r="AE397" s="297"/>
      <c r="AF397" s="58"/>
      <c r="AG397" s="204"/>
      <c r="AH397" s="57"/>
      <c r="AI397" s="201"/>
      <c r="AJ397" s="287"/>
      <c r="AK397" s="452"/>
      <c r="AL397" s="59"/>
      <c r="AM397" s="60"/>
      <c r="AO397" s="137" t="e">
        <f t="shared" si="42"/>
        <v>#N/A</v>
      </c>
      <c r="AP397" s="138" t="e">
        <f t="shared" si="43"/>
        <v>#N/A</v>
      </c>
      <c r="AQ397" s="138" t="e">
        <f t="shared" si="44"/>
        <v>#N/A</v>
      </c>
      <c r="AR397" s="138" t="e">
        <f t="shared" si="45"/>
        <v>#N/A</v>
      </c>
      <c r="AS397" s="138" t="e">
        <f t="shared" si="46"/>
        <v>#N/A</v>
      </c>
      <c r="AT397" s="139" t="e">
        <f t="shared" si="47"/>
        <v>#N/A</v>
      </c>
      <c r="BB397" s="16" t="s">
        <v>596</v>
      </c>
    </row>
    <row r="398" spans="1:54" ht="102.75" customHeight="1">
      <c r="A398" s="428">
        <f t="shared" si="49"/>
        <v>390</v>
      </c>
      <c r="B398" s="294"/>
      <c r="C398" s="201"/>
      <c r="D398" s="290"/>
      <c r="E398" s="301"/>
      <c r="F398" s="301"/>
      <c r="G398" s="290"/>
      <c r="H398" s="291"/>
      <c r="I398" s="292"/>
      <c r="J398" s="61"/>
      <c r="K398" s="57"/>
      <c r="L398" s="303"/>
      <c r="M398" s="201"/>
      <c r="N398" s="84" t="str">
        <f>IF($AI398&lt;&gt;"",Master!$N$37,IF($AC398&lt;&gt;"",Master!$N$38,IF($S398&lt;&gt;"",Master!$N$39,IF($C398&lt;&gt;"",Master!$N$40,Master!$N$41))))</f>
        <v>起票</v>
      </c>
      <c r="O398" s="202" t="str">
        <f>IF($N398=Master!$N$37,MAX($S398,$AC398,$AI398),"")</f>
        <v/>
      </c>
      <c r="P398" s="65"/>
      <c r="Q398" s="203"/>
      <c r="R398" s="57"/>
      <c r="S398" s="203"/>
      <c r="T398" s="310"/>
      <c r="U398" s="289"/>
      <c r="V398" s="57"/>
      <c r="W398" s="288"/>
      <c r="X398" s="288"/>
      <c r="Y398" s="296"/>
      <c r="Z398" s="57"/>
      <c r="AA398" s="203"/>
      <c r="AB398" s="288"/>
      <c r="AC398" s="201"/>
      <c r="AD398" s="298"/>
      <c r="AE398" s="297"/>
      <c r="AF398" s="58"/>
      <c r="AG398" s="204"/>
      <c r="AH398" s="57"/>
      <c r="AI398" s="201"/>
      <c r="AJ398" s="287"/>
      <c r="AK398" s="452"/>
      <c r="AL398" s="59"/>
      <c r="AM398" s="60"/>
      <c r="AO398" s="137" t="e">
        <f t="shared" si="42"/>
        <v>#N/A</v>
      </c>
      <c r="AP398" s="138" t="e">
        <f t="shared" si="43"/>
        <v>#N/A</v>
      </c>
      <c r="AQ398" s="138" t="e">
        <f t="shared" si="44"/>
        <v>#N/A</v>
      </c>
      <c r="AR398" s="138" t="e">
        <f t="shared" si="45"/>
        <v>#N/A</v>
      </c>
      <c r="AS398" s="138" t="e">
        <f t="shared" si="46"/>
        <v>#N/A</v>
      </c>
      <c r="AT398" s="139" t="e">
        <f t="shared" si="47"/>
        <v>#N/A</v>
      </c>
      <c r="BB398" s="16" t="s">
        <v>596</v>
      </c>
    </row>
    <row r="399" spans="1:54" ht="102.75" customHeight="1">
      <c r="A399" s="428">
        <f t="shared" si="49"/>
        <v>391</v>
      </c>
      <c r="B399" s="403"/>
      <c r="C399" s="404"/>
      <c r="D399" s="405"/>
      <c r="E399" s="405"/>
      <c r="F399" s="405"/>
      <c r="G399" s="405"/>
      <c r="H399" s="406"/>
      <c r="I399" s="407"/>
      <c r="J399" s="408"/>
      <c r="K399" s="409"/>
      <c r="L399" s="410"/>
      <c r="M399" s="404"/>
      <c r="N399" s="411" t="str">
        <f>IF($AI399&lt;&gt;"",Master!$N$37,IF($AC399&lt;&gt;"",Master!$N$38,IF($S399&lt;&gt;"",Master!$N$39,IF($C399&lt;&gt;"",Master!$N$40,Master!$N$41))))</f>
        <v>起票</v>
      </c>
      <c r="O399" s="412" t="str">
        <f>IF($N399=Master!$N$37,MAX($S399,$AC399,$AI399),"")</f>
        <v/>
      </c>
      <c r="P399" s="413"/>
      <c r="Q399" s="414"/>
      <c r="R399" s="409"/>
      <c r="S399" s="404"/>
      <c r="T399" s="418"/>
      <c r="U399" s="415"/>
      <c r="V399" s="409"/>
      <c r="W399" s="419"/>
      <c r="X399" s="419"/>
      <c r="Y399" s="416"/>
      <c r="Z399" s="417"/>
      <c r="AA399" s="418"/>
      <c r="AB399" s="419"/>
      <c r="AC399" s="404"/>
      <c r="AD399" s="404"/>
      <c r="AE399" s="420"/>
      <c r="AF399" s="421"/>
      <c r="AG399" s="418"/>
      <c r="AH399" s="409"/>
      <c r="AI399" s="404"/>
      <c r="AJ399" s="416"/>
      <c r="AK399" s="453"/>
      <c r="AL399" s="422"/>
      <c r="AM399" s="423"/>
      <c r="AO399" s="137" t="e">
        <f t="shared" si="42"/>
        <v>#N/A</v>
      </c>
      <c r="AP399" s="138" t="e">
        <f t="shared" si="43"/>
        <v>#N/A</v>
      </c>
      <c r="AQ399" s="138" t="e">
        <f t="shared" si="44"/>
        <v>#N/A</v>
      </c>
      <c r="AR399" s="138" t="e">
        <f t="shared" si="45"/>
        <v>#N/A</v>
      </c>
      <c r="AS399" s="138" t="e">
        <f t="shared" si="46"/>
        <v>#N/A</v>
      </c>
      <c r="AT399" s="139" t="e">
        <f t="shared" si="47"/>
        <v>#N/A</v>
      </c>
      <c r="BB399" s="16" t="s">
        <v>596</v>
      </c>
    </row>
    <row r="400" spans="1:54" ht="102.75" customHeight="1">
      <c r="A400" s="428">
        <f t="shared" si="49"/>
        <v>392</v>
      </c>
      <c r="B400" s="403"/>
      <c r="C400" s="404"/>
      <c r="D400" s="405"/>
      <c r="E400" s="405"/>
      <c r="F400" s="405"/>
      <c r="G400" s="405"/>
      <c r="H400" s="406"/>
      <c r="I400" s="407"/>
      <c r="J400" s="408"/>
      <c r="K400" s="409"/>
      <c r="L400" s="410"/>
      <c r="M400" s="404"/>
      <c r="N400" s="411" t="str">
        <f>IF($AI400&lt;&gt;"",Master!$N$37,IF($AC400&lt;&gt;"",Master!$N$38,IF($S400&lt;&gt;"",Master!$N$39,IF($C400&lt;&gt;"",Master!$N$40,Master!$N$41))))</f>
        <v>起票</v>
      </c>
      <c r="O400" s="412" t="str">
        <f>IF($N400=Master!$N$37,MAX($S400,$AC400,$AI400),"")</f>
        <v/>
      </c>
      <c r="P400" s="413"/>
      <c r="Q400" s="414"/>
      <c r="R400" s="409"/>
      <c r="S400" s="404"/>
      <c r="T400" s="418"/>
      <c r="U400" s="415"/>
      <c r="V400" s="409"/>
      <c r="W400" s="419"/>
      <c r="X400" s="419"/>
      <c r="Y400" s="416"/>
      <c r="Z400" s="417"/>
      <c r="AA400" s="418"/>
      <c r="AB400" s="419"/>
      <c r="AC400" s="404"/>
      <c r="AD400" s="404"/>
      <c r="AE400" s="420"/>
      <c r="AF400" s="421"/>
      <c r="AG400" s="418"/>
      <c r="AH400" s="409"/>
      <c r="AI400" s="404"/>
      <c r="AJ400" s="416"/>
      <c r="AK400" s="453"/>
      <c r="AL400" s="422"/>
      <c r="AM400" s="423"/>
      <c r="AO400" s="137" t="e">
        <f t="shared" si="42"/>
        <v>#N/A</v>
      </c>
      <c r="AP400" s="138" t="e">
        <f t="shared" si="43"/>
        <v>#N/A</v>
      </c>
      <c r="AQ400" s="138" t="e">
        <f t="shared" si="44"/>
        <v>#N/A</v>
      </c>
      <c r="AR400" s="138" t="e">
        <f t="shared" si="45"/>
        <v>#N/A</v>
      </c>
      <c r="AS400" s="138" t="e">
        <f t="shared" si="46"/>
        <v>#N/A</v>
      </c>
      <c r="AT400" s="139" t="e">
        <f t="shared" si="47"/>
        <v>#N/A</v>
      </c>
      <c r="BB400" s="16" t="s">
        <v>596</v>
      </c>
    </row>
    <row r="401" spans="1:54" ht="102.75" customHeight="1">
      <c r="A401" s="428">
        <f t="shared" si="49"/>
        <v>393</v>
      </c>
      <c r="B401" s="403"/>
      <c r="C401" s="404"/>
      <c r="D401" s="405"/>
      <c r="E401" s="405"/>
      <c r="F401" s="405"/>
      <c r="G401" s="405"/>
      <c r="H401" s="406"/>
      <c r="I401" s="407"/>
      <c r="J401" s="408"/>
      <c r="K401" s="409"/>
      <c r="L401" s="410"/>
      <c r="M401" s="404"/>
      <c r="N401" s="411" t="str">
        <f>IF($AI401&lt;&gt;"",Master!$N$37,IF($AC401&lt;&gt;"",Master!$N$38,IF($S401&lt;&gt;"",Master!$N$39,IF($C401&lt;&gt;"",Master!$N$40,Master!$N$41))))</f>
        <v>起票</v>
      </c>
      <c r="O401" s="412" t="str">
        <f>IF($N401=Master!$N$37,MAX($S401,$AC401,$AI401),"")</f>
        <v/>
      </c>
      <c r="P401" s="413"/>
      <c r="Q401" s="414"/>
      <c r="R401" s="409"/>
      <c r="S401" s="404"/>
      <c r="T401" s="418"/>
      <c r="U401" s="415"/>
      <c r="V401" s="409"/>
      <c r="W401" s="419"/>
      <c r="X401" s="419"/>
      <c r="Y401" s="416"/>
      <c r="Z401" s="417"/>
      <c r="AA401" s="418"/>
      <c r="AB401" s="419"/>
      <c r="AC401" s="404"/>
      <c r="AD401" s="404"/>
      <c r="AE401" s="420"/>
      <c r="AF401" s="421"/>
      <c r="AG401" s="418"/>
      <c r="AH401" s="409"/>
      <c r="AI401" s="404"/>
      <c r="AJ401" s="416"/>
      <c r="AK401" s="453"/>
      <c r="AL401" s="422"/>
      <c r="AM401" s="423"/>
      <c r="AO401" s="137" t="e">
        <f t="shared" si="42"/>
        <v>#N/A</v>
      </c>
      <c r="AP401" s="138" t="e">
        <f t="shared" si="43"/>
        <v>#N/A</v>
      </c>
      <c r="AQ401" s="138" t="e">
        <f t="shared" si="44"/>
        <v>#N/A</v>
      </c>
      <c r="AR401" s="138" t="e">
        <f t="shared" si="45"/>
        <v>#N/A</v>
      </c>
      <c r="AS401" s="138" t="e">
        <f t="shared" si="46"/>
        <v>#N/A</v>
      </c>
      <c r="AT401" s="139" t="e">
        <f t="shared" si="47"/>
        <v>#N/A</v>
      </c>
      <c r="BB401" s="16" t="s">
        <v>596</v>
      </c>
    </row>
    <row r="402" spans="1:54" ht="102.75" customHeight="1">
      <c r="A402" s="428">
        <f t="shared" si="49"/>
        <v>394</v>
      </c>
      <c r="B402" s="294"/>
      <c r="C402" s="201"/>
      <c r="D402" s="290"/>
      <c r="E402" s="301"/>
      <c r="F402" s="301"/>
      <c r="G402" s="290"/>
      <c r="H402" s="291"/>
      <c r="I402" s="292"/>
      <c r="J402" s="61"/>
      <c r="K402" s="57"/>
      <c r="L402" s="303"/>
      <c r="M402" s="201"/>
      <c r="N402" s="84" t="str">
        <f>IF($AI402&lt;&gt;"",Master!$N$37,IF($AC402&lt;&gt;"",Master!$N$38,IF($S402&lt;&gt;"",Master!$N$39,IF($C402&lt;&gt;"",Master!$N$40,Master!$N$41))))</f>
        <v>起票</v>
      </c>
      <c r="O402" s="202" t="str">
        <f>IF($N402=Master!$N$37,MAX($S402,$AC402,$AI402),"")</f>
        <v/>
      </c>
      <c r="P402" s="65"/>
      <c r="Q402" s="203"/>
      <c r="R402" s="57"/>
      <c r="S402" s="203"/>
      <c r="T402" s="310"/>
      <c r="U402" s="289"/>
      <c r="V402" s="57"/>
      <c r="W402" s="288"/>
      <c r="X402" s="288"/>
      <c r="Y402" s="296"/>
      <c r="Z402" s="57"/>
      <c r="AA402" s="203"/>
      <c r="AB402" s="288"/>
      <c r="AC402" s="201"/>
      <c r="AD402" s="298"/>
      <c r="AE402" s="297"/>
      <c r="AF402" s="58"/>
      <c r="AG402" s="204"/>
      <c r="AH402" s="57"/>
      <c r="AI402" s="201"/>
      <c r="AJ402" s="287"/>
      <c r="AK402" s="452"/>
      <c r="AL402" s="59"/>
      <c r="AM402" s="60"/>
      <c r="AO402" s="137" t="e">
        <f t="shared" si="42"/>
        <v>#N/A</v>
      </c>
      <c r="AP402" s="138" t="e">
        <f t="shared" si="43"/>
        <v>#N/A</v>
      </c>
      <c r="AQ402" s="138" t="e">
        <f t="shared" si="44"/>
        <v>#N/A</v>
      </c>
      <c r="AR402" s="138" t="e">
        <f t="shared" si="45"/>
        <v>#N/A</v>
      </c>
      <c r="AS402" s="138" t="e">
        <f t="shared" si="46"/>
        <v>#N/A</v>
      </c>
      <c r="AT402" s="139" t="e">
        <f t="shared" si="47"/>
        <v>#N/A</v>
      </c>
      <c r="BB402" s="16" t="s">
        <v>596</v>
      </c>
    </row>
    <row r="403" spans="1:54" ht="102.75" customHeight="1">
      <c r="A403" s="428">
        <f t="shared" si="49"/>
        <v>395</v>
      </c>
      <c r="B403" s="294"/>
      <c r="C403" s="201"/>
      <c r="D403" s="290"/>
      <c r="E403" s="301"/>
      <c r="F403" s="301"/>
      <c r="G403" s="290"/>
      <c r="H403" s="291"/>
      <c r="I403" s="292"/>
      <c r="J403" s="61"/>
      <c r="K403" s="57"/>
      <c r="L403" s="303"/>
      <c r="M403" s="201"/>
      <c r="N403" s="84" t="str">
        <f>IF($AI403&lt;&gt;"",Master!$N$37,IF($AC403&lt;&gt;"",Master!$N$38,IF($S403&lt;&gt;"",Master!$N$39,IF($C403&lt;&gt;"",Master!$N$40,Master!$N$41))))</f>
        <v>起票</v>
      </c>
      <c r="O403" s="202" t="str">
        <f>IF($N403=Master!$N$37,MAX($S403,$AC403,$AI403),"")</f>
        <v/>
      </c>
      <c r="P403" s="65"/>
      <c r="Q403" s="203"/>
      <c r="R403" s="57"/>
      <c r="S403" s="203"/>
      <c r="T403" s="310"/>
      <c r="U403" s="289"/>
      <c r="V403" s="57"/>
      <c r="W403" s="288"/>
      <c r="X403" s="288"/>
      <c r="Y403" s="296"/>
      <c r="Z403" s="57"/>
      <c r="AA403" s="203"/>
      <c r="AB403" s="288"/>
      <c r="AC403" s="201"/>
      <c r="AD403" s="298"/>
      <c r="AE403" s="297"/>
      <c r="AF403" s="58"/>
      <c r="AG403" s="204"/>
      <c r="AH403" s="57"/>
      <c r="AI403" s="201"/>
      <c r="AJ403" s="287"/>
      <c r="AK403" s="452"/>
      <c r="AL403" s="59"/>
      <c r="AM403" s="60"/>
      <c r="AO403" s="137" t="e">
        <f t="shared" si="42"/>
        <v>#N/A</v>
      </c>
      <c r="AP403" s="138" t="e">
        <f t="shared" si="43"/>
        <v>#N/A</v>
      </c>
      <c r="AQ403" s="138" t="e">
        <f t="shared" si="44"/>
        <v>#N/A</v>
      </c>
      <c r="AR403" s="138" t="e">
        <f t="shared" si="45"/>
        <v>#N/A</v>
      </c>
      <c r="AS403" s="138" t="e">
        <f t="shared" si="46"/>
        <v>#N/A</v>
      </c>
      <c r="AT403" s="139" t="e">
        <f t="shared" si="47"/>
        <v>#N/A</v>
      </c>
      <c r="BB403" s="16" t="s">
        <v>596</v>
      </c>
    </row>
    <row r="404" spans="1:54" ht="102.75" customHeight="1">
      <c r="A404" s="428">
        <f t="shared" si="49"/>
        <v>396</v>
      </c>
      <c r="B404" s="403"/>
      <c r="C404" s="404"/>
      <c r="D404" s="405"/>
      <c r="E404" s="405"/>
      <c r="F404" s="405"/>
      <c r="G404" s="405"/>
      <c r="H404" s="406"/>
      <c r="I404" s="407"/>
      <c r="J404" s="408"/>
      <c r="K404" s="409"/>
      <c r="L404" s="410"/>
      <c r="M404" s="404"/>
      <c r="N404" s="411" t="str">
        <f>IF($AI404&lt;&gt;"",Master!$N$37,IF($AC404&lt;&gt;"",Master!$N$38,IF($S404&lt;&gt;"",Master!$N$39,IF($C404&lt;&gt;"",Master!$N$40,Master!$N$41))))</f>
        <v>起票</v>
      </c>
      <c r="O404" s="412" t="str">
        <f>IF($N404=Master!$N$37,MAX($S404,$AC404,$AI404),"")</f>
        <v/>
      </c>
      <c r="P404" s="413"/>
      <c r="Q404" s="414"/>
      <c r="R404" s="409"/>
      <c r="S404" s="404"/>
      <c r="T404" s="418"/>
      <c r="U404" s="415"/>
      <c r="V404" s="409"/>
      <c r="W404" s="419"/>
      <c r="X404" s="419"/>
      <c r="Y404" s="416"/>
      <c r="Z404" s="417"/>
      <c r="AA404" s="418"/>
      <c r="AB404" s="419"/>
      <c r="AC404" s="404"/>
      <c r="AD404" s="404"/>
      <c r="AE404" s="420"/>
      <c r="AF404" s="421"/>
      <c r="AG404" s="418"/>
      <c r="AH404" s="409"/>
      <c r="AI404" s="404"/>
      <c r="AJ404" s="416"/>
      <c r="AK404" s="453"/>
      <c r="AL404" s="422"/>
      <c r="AM404" s="423"/>
      <c r="AO404" s="137" t="e">
        <f t="shared" si="42"/>
        <v>#N/A</v>
      </c>
      <c r="AP404" s="138" t="e">
        <f t="shared" si="43"/>
        <v>#N/A</v>
      </c>
      <c r="AQ404" s="138" t="e">
        <f t="shared" si="44"/>
        <v>#N/A</v>
      </c>
      <c r="AR404" s="138" t="e">
        <f t="shared" si="45"/>
        <v>#N/A</v>
      </c>
      <c r="AS404" s="138" t="e">
        <f t="shared" si="46"/>
        <v>#N/A</v>
      </c>
      <c r="AT404" s="139" t="e">
        <f t="shared" si="47"/>
        <v>#N/A</v>
      </c>
      <c r="BB404" s="16" t="s">
        <v>596</v>
      </c>
    </row>
    <row r="405" spans="1:54" ht="102.75" customHeight="1">
      <c r="A405" s="428">
        <f t="shared" si="49"/>
        <v>397</v>
      </c>
      <c r="B405" s="403"/>
      <c r="C405" s="404"/>
      <c r="D405" s="405"/>
      <c r="E405" s="405"/>
      <c r="F405" s="405"/>
      <c r="G405" s="405"/>
      <c r="H405" s="406"/>
      <c r="I405" s="407"/>
      <c r="J405" s="408"/>
      <c r="K405" s="409"/>
      <c r="L405" s="410"/>
      <c r="M405" s="404"/>
      <c r="N405" s="411" t="str">
        <f>IF($AI405&lt;&gt;"",Master!$N$37,IF($AC405&lt;&gt;"",Master!$N$38,IF($S405&lt;&gt;"",Master!$N$39,IF($C405&lt;&gt;"",Master!$N$40,Master!$N$41))))</f>
        <v>起票</v>
      </c>
      <c r="O405" s="412" t="str">
        <f>IF($N405=Master!$N$37,MAX($S405,$AC405,$AI405),"")</f>
        <v/>
      </c>
      <c r="P405" s="413"/>
      <c r="Q405" s="414"/>
      <c r="R405" s="409"/>
      <c r="S405" s="404"/>
      <c r="T405" s="418"/>
      <c r="U405" s="415"/>
      <c r="V405" s="409"/>
      <c r="W405" s="419"/>
      <c r="X405" s="419"/>
      <c r="Y405" s="416"/>
      <c r="Z405" s="417"/>
      <c r="AA405" s="418"/>
      <c r="AB405" s="419"/>
      <c r="AC405" s="404"/>
      <c r="AD405" s="404"/>
      <c r="AE405" s="420"/>
      <c r="AF405" s="421"/>
      <c r="AG405" s="418"/>
      <c r="AH405" s="409"/>
      <c r="AI405" s="404"/>
      <c r="AJ405" s="416"/>
      <c r="AK405" s="453"/>
      <c r="AL405" s="422"/>
      <c r="AM405" s="423"/>
      <c r="AO405" s="137" t="e">
        <f t="shared" si="42"/>
        <v>#N/A</v>
      </c>
      <c r="AP405" s="138" t="e">
        <f t="shared" si="43"/>
        <v>#N/A</v>
      </c>
      <c r="AQ405" s="138" t="e">
        <f t="shared" si="44"/>
        <v>#N/A</v>
      </c>
      <c r="AR405" s="138" t="e">
        <f t="shared" si="45"/>
        <v>#N/A</v>
      </c>
      <c r="AS405" s="138" t="e">
        <f t="shared" si="46"/>
        <v>#N/A</v>
      </c>
      <c r="AT405" s="139" t="e">
        <f t="shared" si="47"/>
        <v>#N/A</v>
      </c>
      <c r="BB405" s="16" t="s">
        <v>596</v>
      </c>
    </row>
    <row r="406" spans="1:54" ht="102.75" customHeight="1">
      <c r="A406" s="428">
        <f t="shared" si="49"/>
        <v>398</v>
      </c>
      <c r="B406" s="403"/>
      <c r="C406" s="404"/>
      <c r="D406" s="405"/>
      <c r="E406" s="405"/>
      <c r="F406" s="405"/>
      <c r="G406" s="405"/>
      <c r="H406" s="406"/>
      <c r="I406" s="407"/>
      <c r="J406" s="408"/>
      <c r="K406" s="409"/>
      <c r="L406" s="410"/>
      <c r="M406" s="404"/>
      <c r="N406" s="411" t="str">
        <f>IF($AI406&lt;&gt;"",Master!$N$37,IF($AC406&lt;&gt;"",Master!$N$38,IF($S406&lt;&gt;"",Master!$N$39,IF($C406&lt;&gt;"",Master!$N$40,Master!$N$41))))</f>
        <v>起票</v>
      </c>
      <c r="O406" s="412" t="str">
        <f>IF($N406=Master!$N$37,MAX($S406,$AC406,$AI406),"")</f>
        <v/>
      </c>
      <c r="P406" s="413"/>
      <c r="Q406" s="414"/>
      <c r="R406" s="409"/>
      <c r="S406" s="404"/>
      <c r="T406" s="418"/>
      <c r="U406" s="415"/>
      <c r="V406" s="409"/>
      <c r="W406" s="419"/>
      <c r="X406" s="419"/>
      <c r="Y406" s="416"/>
      <c r="Z406" s="417"/>
      <c r="AA406" s="418"/>
      <c r="AB406" s="419"/>
      <c r="AC406" s="404"/>
      <c r="AD406" s="404"/>
      <c r="AE406" s="420"/>
      <c r="AF406" s="421"/>
      <c r="AG406" s="418"/>
      <c r="AH406" s="409"/>
      <c r="AI406" s="404"/>
      <c r="AJ406" s="416"/>
      <c r="AK406" s="453"/>
      <c r="AL406" s="422"/>
      <c r="AM406" s="423"/>
      <c r="AO406" s="137" t="e">
        <f t="shared" si="42"/>
        <v>#N/A</v>
      </c>
      <c r="AP406" s="138" t="e">
        <f t="shared" si="43"/>
        <v>#N/A</v>
      </c>
      <c r="AQ406" s="138" t="e">
        <f t="shared" si="44"/>
        <v>#N/A</v>
      </c>
      <c r="AR406" s="138" t="e">
        <f t="shared" si="45"/>
        <v>#N/A</v>
      </c>
      <c r="AS406" s="138" t="e">
        <f t="shared" si="46"/>
        <v>#N/A</v>
      </c>
      <c r="AT406" s="139" t="e">
        <f t="shared" si="47"/>
        <v>#N/A</v>
      </c>
      <c r="BB406" s="16" t="s">
        <v>596</v>
      </c>
    </row>
    <row r="407" spans="1:54" ht="102.75" customHeight="1">
      <c r="A407" s="428">
        <f t="shared" si="49"/>
        <v>399</v>
      </c>
      <c r="B407" s="294"/>
      <c r="C407" s="201"/>
      <c r="D407" s="290"/>
      <c r="E407" s="301"/>
      <c r="F407" s="301"/>
      <c r="G407" s="290"/>
      <c r="H407" s="291"/>
      <c r="I407" s="292"/>
      <c r="J407" s="61"/>
      <c r="K407" s="57"/>
      <c r="L407" s="303"/>
      <c r="M407" s="201"/>
      <c r="N407" s="84" t="str">
        <f>IF($AI407&lt;&gt;"",Master!$N$37,IF($AC407&lt;&gt;"",Master!$N$38,IF($S407&lt;&gt;"",Master!$N$39,IF($C407&lt;&gt;"",Master!$N$40,Master!$N$41))))</f>
        <v>起票</v>
      </c>
      <c r="O407" s="202" t="str">
        <f>IF($N407=Master!$N$37,MAX($S407,$AC407,$AI407),"")</f>
        <v/>
      </c>
      <c r="P407" s="65"/>
      <c r="Q407" s="203"/>
      <c r="R407" s="57"/>
      <c r="S407" s="203"/>
      <c r="T407" s="310"/>
      <c r="U407" s="289"/>
      <c r="V407" s="57"/>
      <c r="W407" s="288"/>
      <c r="X407" s="288"/>
      <c r="Y407" s="296"/>
      <c r="Z407" s="57"/>
      <c r="AA407" s="203"/>
      <c r="AB407" s="288"/>
      <c r="AC407" s="201"/>
      <c r="AD407" s="298"/>
      <c r="AE407" s="297"/>
      <c r="AF407" s="58"/>
      <c r="AG407" s="204"/>
      <c r="AH407" s="57"/>
      <c r="AI407" s="201"/>
      <c r="AJ407" s="287"/>
      <c r="AK407" s="452"/>
      <c r="AL407" s="59"/>
      <c r="AM407" s="60"/>
      <c r="AO407" s="137" t="e">
        <f t="shared" si="42"/>
        <v>#N/A</v>
      </c>
      <c r="AP407" s="138" t="e">
        <f t="shared" si="43"/>
        <v>#N/A</v>
      </c>
      <c r="AQ407" s="138" t="e">
        <f t="shared" si="44"/>
        <v>#N/A</v>
      </c>
      <c r="AR407" s="138" t="e">
        <f t="shared" si="45"/>
        <v>#N/A</v>
      </c>
      <c r="AS407" s="138" t="e">
        <f t="shared" si="46"/>
        <v>#N/A</v>
      </c>
      <c r="AT407" s="139" t="e">
        <f t="shared" si="47"/>
        <v>#N/A</v>
      </c>
      <c r="BB407" s="16" t="s">
        <v>596</v>
      </c>
    </row>
    <row r="408" spans="1:54" ht="102.75" customHeight="1">
      <c r="A408" s="428">
        <f t="shared" si="49"/>
        <v>400</v>
      </c>
      <c r="B408" s="294"/>
      <c r="C408" s="201"/>
      <c r="D408" s="290"/>
      <c r="E408" s="301"/>
      <c r="F408" s="301"/>
      <c r="G408" s="290"/>
      <c r="H408" s="291"/>
      <c r="I408" s="292"/>
      <c r="J408" s="61"/>
      <c r="K408" s="57"/>
      <c r="L408" s="303"/>
      <c r="M408" s="201"/>
      <c r="N408" s="84" t="str">
        <f>IF($AI408&lt;&gt;"",Master!$N$37,IF($AC408&lt;&gt;"",Master!$N$38,IF($S408&lt;&gt;"",Master!$N$39,IF($C408&lt;&gt;"",Master!$N$40,Master!$N$41))))</f>
        <v>起票</v>
      </c>
      <c r="O408" s="202" t="str">
        <f>IF($N408=Master!$N$37,MAX($S408,$AC408,$AI408),"")</f>
        <v/>
      </c>
      <c r="P408" s="65"/>
      <c r="Q408" s="203"/>
      <c r="R408" s="57"/>
      <c r="S408" s="203"/>
      <c r="T408" s="310"/>
      <c r="U408" s="289"/>
      <c r="V408" s="57"/>
      <c r="W408" s="288"/>
      <c r="X408" s="288"/>
      <c r="Y408" s="296"/>
      <c r="Z408" s="57"/>
      <c r="AA408" s="203"/>
      <c r="AB408" s="288"/>
      <c r="AC408" s="201"/>
      <c r="AD408" s="298"/>
      <c r="AE408" s="297"/>
      <c r="AF408" s="58"/>
      <c r="AG408" s="204"/>
      <c r="AH408" s="57"/>
      <c r="AI408" s="201"/>
      <c r="AJ408" s="287"/>
      <c r="AK408" s="452"/>
      <c r="AL408" s="59"/>
      <c r="AM408" s="60"/>
      <c r="AO408" s="137" t="e">
        <f t="shared" si="42"/>
        <v>#N/A</v>
      </c>
      <c r="AP408" s="138" t="e">
        <f t="shared" si="43"/>
        <v>#N/A</v>
      </c>
      <c r="AQ408" s="138" t="e">
        <f t="shared" si="44"/>
        <v>#N/A</v>
      </c>
      <c r="AR408" s="138" t="e">
        <f t="shared" si="45"/>
        <v>#N/A</v>
      </c>
      <c r="AS408" s="138" t="e">
        <f t="shared" si="46"/>
        <v>#N/A</v>
      </c>
      <c r="AT408" s="139" t="e">
        <f t="shared" si="47"/>
        <v>#N/A</v>
      </c>
      <c r="BB408" s="16" t="s">
        <v>596</v>
      </c>
    </row>
    <row r="409" spans="1:54" ht="102.75" customHeight="1">
      <c r="A409" s="428">
        <f t="shared" si="49"/>
        <v>401</v>
      </c>
      <c r="B409" s="294"/>
      <c r="C409" s="201"/>
      <c r="D409" s="290"/>
      <c r="E409" s="301"/>
      <c r="F409" s="301"/>
      <c r="G409" s="290"/>
      <c r="H409" s="291"/>
      <c r="I409" s="292"/>
      <c r="J409" s="61"/>
      <c r="K409" s="57"/>
      <c r="L409" s="303"/>
      <c r="M409" s="201"/>
      <c r="N409" s="84" t="str">
        <f>IF($AI409&lt;&gt;"",Master!$N$37,IF($AC409&lt;&gt;"",Master!$N$38,IF($S409&lt;&gt;"",Master!$N$39,IF($C409&lt;&gt;"",Master!$N$40,Master!$N$41))))</f>
        <v>起票</v>
      </c>
      <c r="O409" s="202" t="str">
        <f>IF($N409=Master!$N$37,MAX($S409,$AC409,$AI409),"")</f>
        <v/>
      </c>
      <c r="P409" s="65"/>
      <c r="Q409" s="203"/>
      <c r="R409" s="57"/>
      <c r="S409" s="203"/>
      <c r="T409" s="310"/>
      <c r="U409" s="289"/>
      <c r="V409" s="57"/>
      <c r="W409" s="288"/>
      <c r="X409" s="288"/>
      <c r="Y409" s="296"/>
      <c r="Z409" s="57"/>
      <c r="AA409" s="203"/>
      <c r="AB409" s="288"/>
      <c r="AC409" s="201"/>
      <c r="AD409" s="298"/>
      <c r="AE409" s="297"/>
      <c r="AF409" s="58"/>
      <c r="AG409" s="204"/>
      <c r="AH409" s="57"/>
      <c r="AI409" s="201"/>
      <c r="AJ409" s="287"/>
      <c r="AK409" s="452"/>
      <c r="AL409" s="59"/>
      <c r="AM409" s="60"/>
      <c r="AO409" s="137" t="e">
        <f t="shared" si="42"/>
        <v>#N/A</v>
      </c>
      <c r="AP409" s="138" t="e">
        <f t="shared" si="43"/>
        <v>#N/A</v>
      </c>
      <c r="AQ409" s="138" t="e">
        <f t="shared" si="44"/>
        <v>#N/A</v>
      </c>
      <c r="AR409" s="138" t="e">
        <f t="shared" si="45"/>
        <v>#N/A</v>
      </c>
      <c r="AS409" s="138" t="e">
        <f t="shared" si="46"/>
        <v>#N/A</v>
      </c>
      <c r="AT409" s="139" t="e">
        <f t="shared" si="47"/>
        <v>#N/A</v>
      </c>
      <c r="BB409" s="16" t="s">
        <v>596</v>
      </c>
    </row>
    <row r="410" spans="1:54" ht="102.75" customHeight="1">
      <c r="A410" s="428">
        <f t="shared" si="49"/>
        <v>402</v>
      </c>
      <c r="B410" s="294"/>
      <c r="C410" s="201"/>
      <c r="D410" s="290"/>
      <c r="E410" s="301"/>
      <c r="F410" s="301"/>
      <c r="G410" s="290"/>
      <c r="H410" s="291"/>
      <c r="I410" s="292"/>
      <c r="J410" s="61"/>
      <c r="K410" s="57"/>
      <c r="L410" s="303"/>
      <c r="M410" s="201"/>
      <c r="N410" s="84" t="str">
        <f>IF($AI410&lt;&gt;"",Master!$N$37,IF($AC410&lt;&gt;"",Master!$N$38,IF($S410&lt;&gt;"",Master!$N$39,IF($C410&lt;&gt;"",Master!$N$40,Master!$N$41))))</f>
        <v>起票</v>
      </c>
      <c r="O410" s="202" t="str">
        <f>IF($N410=Master!$N$37,MAX($S410,$AC410,$AI410),"")</f>
        <v/>
      </c>
      <c r="P410" s="65"/>
      <c r="Q410" s="203"/>
      <c r="R410" s="57"/>
      <c r="S410" s="203"/>
      <c r="T410" s="310"/>
      <c r="U410" s="289"/>
      <c r="V410" s="57"/>
      <c r="W410" s="288"/>
      <c r="X410" s="288"/>
      <c r="Y410" s="296"/>
      <c r="Z410" s="57"/>
      <c r="AA410" s="203"/>
      <c r="AB410" s="288"/>
      <c r="AC410" s="201"/>
      <c r="AD410" s="298"/>
      <c r="AE410" s="297"/>
      <c r="AF410" s="58"/>
      <c r="AG410" s="204"/>
      <c r="AH410" s="57"/>
      <c r="AI410" s="201"/>
      <c r="AJ410" s="287"/>
      <c r="AK410" s="452"/>
      <c r="AL410" s="59"/>
      <c r="AM410" s="60"/>
      <c r="AO410" s="137" t="e">
        <f t="shared" si="42"/>
        <v>#N/A</v>
      </c>
      <c r="AP410" s="138" t="e">
        <f t="shared" si="43"/>
        <v>#N/A</v>
      </c>
      <c r="AQ410" s="138" t="e">
        <f t="shared" si="44"/>
        <v>#N/A</v>
      </c>
      <c r="AR410" s="138" t="e">
        <f t="shared" si="45"/>
        <v>#N/A</v>
      </c>
      <c r="AS410" s="138" t="e">
        <f t="shared" si="46"/>
        <v>#N/A</v>
      </c>
      <c r="AT410" s="139" t="e">
        <f t="shared" si="47"/>
        <v>#N/A</v>
      </c>
      <c r="BB410" s="16" t="s">
        <v>596</v>
      </c>
    </row>
    <row r="411" spans="1:54" ht="102.75" customHeight="1">
      <c r="A411" s="428">
        <f t="shared" si="49"/>
        <v>403</v>
      </c>
      <c r="B411" s="294"/>
      <c r="C411" s="201"/>
      <c r="D411" s="290"/>
      <c r="E411" s="301"/>
      <c r="F411" s="301"/>
      <c r="G411" s="290"/>
      <c r="H411" s="291"/>
      <c r="I411" s="292"/>
      <c r="J411" s="61"/>
      <c r="K411" s="57"/>
      <c r="L411" s="303"/>
      <c r="M411" s="201"/>
      <c r="N411" s="84" t="str">
        <f>IF($AI411&lt;&gt;"",Master!$N$37,IF($AC411&lt;&gt;"",Master!$N$38,IF($S411&lt;&gt;"",Master!$N$39,IF($C411&lt;&gt;"",Master!$N$40,Master!$N$41))))</f>
        <v>起票</v>
      </c>
      <c r="O411" s="202" t="str">
        <f>IF($N411=Master!$N$37,MAX($S411,$AC411,$AI411),"")</f>
        <v/>
      </c>
      <c r="P411" s="65"/>
      <c r="Q411" s="203"/>
      <c r="R411" s="57"/>
      <c r="S411" s="203"/>
      <c r="T411" s="310"/>
      <c r="U411" s="289"/>
      <c r="V411" s="57"/>
      <c r="W411" s="288"/>
      <c r="X411" s="288"/>
      <c r="Y411" s="296"/>
      <c r="Z411" s="57"/>
      <c r="AA411" s="203"/>
      <c r="AB411" s="288"/>
      <c r="AC411" s="201"/>
      <c r="AD411" s="298"/>
      <c r="AE411" s="297"/>
      <c r="AF411" s="58"/>
      <c r="AG411" s="204"/>
      <c r="AH411" s="57"/>
      <c r="AI411" s="201"/>
      <c r="AJ411" s="287"/>
      <c r="AK411" s="452"/>
      <c r="AL411" s="59"/>
      <c r="AM411" s="60"/>
      <c r="AO411" s="137" t="e">
        <f t="shared" si="42"/>
        <v>#N/A</v>
      </c>
      <c r="AP411" s="138" t="e">
        <f t="shared" si="43"/>
        <v>#N/A</v>
      </c>
      <c r="AQ411" s="138" t="e">
        <f t="shared" si="44"/>
        <v>#N/A</v>
      </c>
      <c r="AR411" s="138" t="e">
        <f t="shared" si="45"/>
        <v>#N/A</v>
      </c>
      <c r="AS411" s="138" t="e">
        <f t="shared" si="46"/>
        <v>#N/A</v>
      </c>
      <c r="AT411" s="139" t="e">
        <f t="shared" si="47"/>
        <v>#N/A</v>
      </c>
      <c r="BB411" s="16" t="s">
        <v>596</v>
      </c>
    </row>
    <row r="412" spans="1:54" ht="102.75" customHeight="1">
      <c r="A412" s="428">
        <f t="shared" si="49"/>
        <v>404</v>
      </c>
      <c r="B412" s="403"/>
      <c r="C412" s="404"/>
      <c r="D412" s="405"/>
      <c r="E412" s="405"/>
      <c r="F412" s="405"/>
      <c r="G412" s="405"/>
      <c r="H412" s="406"/>
      <c r="I412" s="407"/>
      <c r="J412" s="408"/>
      <c r="K412" s="409"/>
      <c r="L412" s="410"/>
      <c r="M412" s="404"/>
      <c r="N412" s="411" t="str">
        <f>IF($AI412&lt;&gt;"",Master!$N$37,IF($AC412&lt;&gt;"",Master!$N$38,IF($S412&lt;&gt;"",Master!$N$39,IF($C412&lt;&gt;"",Master!$N$40,Master!$N$41))))</f>
        <v>起票</v>
      </c>
      <c r="O412" s="412" t="str">
        <f>IF($N412=Master!$N$37,MAX($S412,$AC412,$AI412),"")</f>
        <v/>
      </c>
      <c r="P412" s="413"/>
      <c r="Q412" s="414"/>
      <c r="R412" s="409"/>
      <c r="S412" s="404"/>
      <c r="T412" s="418"/>
      <c r="U412" s="415"/>
      <c r="V412" s="409"/>
      <c r="W412" s="419"/>
      <c r="X412" s="419"/>
      <c r="Y412" s="416"/>
      <c r="Z412" s="417"/>
      <c r="AA412" s="418"/>
      <c r="AB412" s="419"/>
      <c r="AC412" s="404"/>
      <c r="AD412" s="404"/>
      <c r="AE412" s="420"/>
      <c r="AF412" s="421"/>
      <c r="AG412" s="418"/>
      <c r="AH412" s="409"/>
      <c r="AI412" s="404"/>
      <c r="AJ412" s="416"/>
      <c r="AK412" s="453"/>
      <c r="AL412" s="422"/>
      <c r="AM412" s="423"/>
      <c r="AO412" s="137" t="e">
        <f t="shared" si="42"/>
        <v>#N/A</v>
      </c>
      <c r="AP412" s="138" t="e">
        <f t="shared" si="43"/>
        <v>#N/A</v>
      </c>
      <c r="AQ412" s="138" t="e">
        <f t="shared" si="44"/>
        <v>#N/A</v>
      </c>
      <c r="AR412" s="138" t="e">
        <f t="shared" si="45"/>
        <v>#N/A</v>
      </c>
      <c r="AS412" s="138" t="e">
        <f t="shared" si="46"/>
        <v>#N/A</v>
      </c>
      <c r="AT412" s="139" t="e">
        <f t="shared" si="47"/>
        <v>#N/A</v>
      </c>
      <c r="BB412" s="16" t="s">
        <v>596</v>
      </c>
    </row>
    <row r="413" spans="1:54" ht="102.75" customHeight="1">
      <c r="A413" s="428">
        <f t="shared" si="49"/>
        <v>405</v>
      </c>
      <c r="B413" s="403"/>
      <c r="C413" s="404"/>
      <c r="D413" s="405"/>
      <c r="E413" s="405"/>
      <c r="F413" s="405"/>
      <c r="G413" s="405"/>
      <c r="H413" s="406"/>
      <c r="I413" s="407"/>
      <c r="J413" s="408"/>
      <c r="K413" s="409"/>
      <c r="L413" s="410"/>
      <c r="M413" s="404"/>
      <c r="N413" s="411" t="str">
        <f>IF($AI413&lt;&gt;"",Master!$N$37,IF($AC413&lt;&gt;"",Master!$N$38,IF($S413&lt;&gt;"",Master!$N$39,IF($C413&lt;&gt;"",Master!$N$40,Master!$N$41))))</f>
        <v>起票</v>
      </c>
      <c r="O413" s="412" t="str">
        <f>IF($N413=Master!$N$37,MAX($S413,$AC413,$AI413),"")</f>
        <v/>
      </c>
      <c r="P413" s="413"/>
      <c r="Q413" s="414"/>
      <c r="R413" s="409"/>
      <c r="S413" s="404"/>
      <c r="T413" s="418"/>
      <c r="U413" s="415"/>
      <c r="V413" s="409"/>
      <c r="W413" s="419"/>
      <c r="X413" s="419"/>
      <c r="Y413" s="416"/>
      <c r="Z413" s="417"/>
      <c r="AA413" s="418"/>
      <c r="AB413" s="419"/>
      <c r="AC413" s="404"/>
      <c r="AD413" s="404"/>
      <c r="AE413" s="420"/>
      <c r="AF413" s="421"/>
      <c r="AG413" s="418"/>
      <c r="AH413" s="409"/>
      <c r="AI413" s="404"/>
      <c r="AJ413" s="416"/>
      <c r="AK413" s="453"/>
      <c r="AL413" s="422"/>
      <c r="AM413" s="423"/>
      <c r="AO413" s="137" t="e">
        <f t="shared" si="42"/>
        <v>#N/A</v>
      </c>
      <c r="AP413" s="138" t="e">
        <f t="shared" si="43"/>
        <v>#N/A</v>
      </c>
      <c r="AQ413" s="138" t="e">
        <f t="shared" si="44"/>
        <v>#N/A</v>
      </c>
      <c r="AR413" s="138" t="e">
        <f t="shared" si="45"/>
        <v>#N/A</v>
      </c>
      <c r="AS413" s="138" t="e">
        <f t="shared" si="46"/>
        <v>#N/A</v>
      </c>
      <c r="AT413" s="139" t="e">
        <f t="shared" si="47"/>
        <v>#N/A</v>
      </c>
      <c r="BB413" s="16" t="s">
        <v>596</v>
      </c>
    </row>
    <row r="414" spans="1:54" ht="102.75" customHeight="1">
      <c r="A414" s="428">
        <f t="shared" si="49"/>
        <v>406</v>
      </c>
      <c r="B414" s="403"/>
      <c r="C414" s="404"/>
      <c r="D414" s="405"/>
      <c r="E414" s="405"/>
      <c r="F414" s="405"/>
      <c r="G414" s="405"/>
      <c r="H414" s="406"/>
      <c r="I414" s="407"/>
      <c r="J414" s="408"/>
      <c r="K414" s="409"/>
      <c r="L414" s="410"/>
      <c r="M414" s="404"/>
      <c r="N414" s="411" t="str">
        <f>IF($AI414&lt;&gt;"",Master!$N$37,IF($AC414&lt;&gt;"",Master!$N$38,IF($S414&lt;&gt;"",Master!$N$39,IF($C414&lt;&gt;"",Master!$N$40,Master!$N$41))))</f>
        <v>起票</v>
      </c>
      <c r="O414" s="412" t="str">
        <f>IF($N414=Master!$N$37,MAX($S414,$AC414,$AI414),"")</f>
        <v/>
      </c>
      <c r="P414" s="413"/>
      <c r="Q414" s="414"/>
      <c r="R414" s="409"/>
      <c r="S414" s="404"/>
      <c r="T414" s="418"/>
      <c r="U414" s="415"/>
      <c r="V414" s="409"/>
      <c r="W414" s="419"/>
      <c r="X414" s="419"/>
      <c r="Y414" s="416"/>
      <c r="Z414" s="417"/>
      <c r="AA414" s="418"/>
      <c r="AB414" s="419"/>
      <c r="AC414" s="404"/>
      <c r="AD414" s="404"/>
      <c r="AE414" s="420"/>
      <c r="AF414" s="421"/>
      <c r="AG414" s="418"/>
      <c r="AH414" s="409"/>
      <c r="AI414" s="404"/>
      <c r="AJ414" s="416"/>
      <c r="AK414" s="453"/>
      <c r="AL414" s="422"/>
      <c r="AM414" s="423"/>
      <c r="AO414" s="137" t="e">
        <f t="shared" si="42"/>
        <v>#N/A</v>
      </c>
      <c r="AP414" s="138" t="e">
        <f t="shared" si="43"/>
        <v>#N/A</v>
      </c>
      <c r="AQ414" s="138" t="e">
        <f t="shared" si="44"/>
        <v>#N/A</v>
      </c>
      <c r="AR414" s="138" t="e">
        <f t="shared" si="45"/>
        <v>#N/A</v>
      </c>
      <c r="AS414" s="138" t="e">
        <f t="shared" si="46"/>
        <v>#N/A</v>
      </c>
      <c r="AT414" s="139" t="e">
        <f t="shared" si="47"/>
        <v>#N/A</v>
      </c>
      <c r="BB414" s="16" t="s">
        <v>596</v>
      </c>
    </row>
    <row r="415" spans="1:54" ht="102.75" customHeight="1">
      <c r="A415" s="428">
        <f t="shared" si="49"/>
        <v>407</v>
      </c>
      <c r="B415" s="294"/>
      <c r="C415" s="201"/>
      <c r="D415" s="290"/>
      <c r="E415" s="301"/>
      <c r="F415" s="301"/>
      <c r="G415" s="290"/>
      <c r="H415" s="291"/>
      <c r="I415" s="292"/>
      <c r="J415" s="61"/>
      <c r="K415" s="57"/>
      <c r="L415" s="303"/>
      <c r="M415" s="201"/>
      <c r="N415" s="84" t="str">
        <f>IF($AI415&lt;&gt;"",Master!$N$37,IF($AC415&lt;&gt;"",Master!$N$38,IF($S415&lt;&gt;"",Master!$N$39,IF($C415&lt;&gt;"",Master!$N$40,Master!$N$41))))</f>
        <v>起票</v>
      </c>
      <c r="O415" s="202" t="str">
        <f>IF($N415=Master!$N$37,MAX($S415,$AC415,$AI415),"")</f>
        <v/>
      </c>
      <c r="P415" s="65"/>
      <c r="Q415" s="203"/>
      <c r="R415" s="57"/>
      <c r="S415" s="203"/>
      <c r="T415" s="310"/>
      <c r="U415" s="289"/>
      <c r="V415" s="57"/>
      <c r="W415" s="288"/>
      <c r="X415" s="288"/>
      <c r="Y415" s="296"/>
      <c r="Z415" s="57"/>
      <c r="AA415" s="203"/>
      <c r="AB415" s="288"/>
      <c r="AC415" s="201"/>
      <c r="AD415" s="298"/>
      <c r="AE415" s="297"/>
      <c r="AF415" s="58"/>
      <c r="AG415" s="204"/>
      <c r="AH415" s="57"/>
      <c r="AI415" s="201"/>
      <c r="AJ415" s="287"/>
      <c r="AK415" s="452"/>
      <c r="AL415" s="59"/>
      <c r="AM415" s="60"/>
      <c r="AO415" s="137" t="e">
        <f t="shared" si="42"/>
        <v>#N/A</v>
      </c>
      <c r="AP415" s="138" t="e">
        <f t="shared" si="43"/>
        <v>#N/A</v>
      </c>
      <c r="AQ415" s="138" t="e">
        <f t="shared" si="44"/>
        <v>#N/A</v>
      </c>
      <c r="AR415" s="138" t="e">
        <f t="shared" si="45"/>
        <v>#N/A</v>
      </c>
      <c r="AS415" s="138" t="e">
        <f t="shared" si="46"/>
        <v>#N/A</v>
      </c>
      <c r="AT415" s="139" t="e">
        <f t="shared" si="47"/>
        <v>#N/A</v>
      </c>
      <c r="BB415" s="16" t="s">
        <v>596</v>
      </c>
    </row>
    <row r="416" spans="1:54" ht="102.75" customHeight="1">
      <c r="A416" s="428">
        <f t="shared" si="49"/>
        <v>408</v>
      </c>
      <c r="B416" s="294"/>
      <c r="C416" s="201"/>
      <c r="D416" s="290"/>
      <c r="E416" s="301"/>
      <c r="F416" s="301"/>
      <c r="G416" s="290"/>
      <c r="H416" s="291"/>
      <c r="I416" s="292"/>
      <c r="J416" s="61"/>
      <c r="K416" s="57"/>
      <c r="L416" s="303"/>
      <c r="M416" s="201"/>
      <c r="N416" s="84" t="str">
        <f>IF($AI416&lt;&gt;"",Master!$N$37,IF($AC416&lt;&gt;"",Master!$N$38,IF($S416&lt;&gt;"",Master!$N$39,IF($C416&lt;&gt;"",Master!$N$40,Master!$N$41))))</f>
        <v>起票</v>
      </c>
      <c r="O416" s="202" t="str">
        <f>IF($N416=Master!$N$37,MAX($S416,$AC416,$AI416),"")</f>
        <v/>
      </c>
      <c r="P416" s="65"/>
      <c r="Q416" s="203"/>
      <c r="R416" s="57"/>
      <c r="S416" s="203"/>
      <c r="T416" s="310"/>
      <c r="U416" s="289"/>
      <c r="V416" s="57"/>
      <c r="W416" s="288"/>
      <c r="X416" s="288"/>
      <c r="Y416" s="296"/>
      <c r="Z416" s="57"/>
      <c r="AA416" s="203"/>
      <c r="AB416" s="288"/>
      <c r="AC416" s="201"/>
      <c r="AD416" s="298"/>
      <c r="AE416" s="297"/>
      <c r="AF416" s="58"/>
      <c r="AG416" s="204"/>
      <c r="AH416" s="57"/>
      <c r="AI416" s="201"/>
      <c r="AJ416" s="287"/>
      <c r="AK416" s="452"/>
      <c r="AL416" s="59"/>
      <c r="AM416" s="60"/>
      <c r="AO416" s="137" t="e">
        <f t="shared" si="42"/>
        <v>#N/A</v>
      </c>
      <c r="AP416" s="138" t="e">
        <f t="shared" si="43"/>
        <v>#N/A</v>
      </c>
      <c r="AQ416" s="138" t="e">
        <f t="shared" si="44"/>
        <v>#N/A</v>
      </c>
      <c r="AR416" s="138" t="e">
        <f t="shared" si="45"/>
        <v>#N/A</v>
      </c>
      <c r="AS416" s="138" t="e">
        <f t="shared" si="46"/>
        <v>#N/A</v>
      </c>
      <c r="AT416" s="139" t="e">
        <f t="shared" si="47"/>
        <v>#N/A</v>
      </c>
      <c r="BB416" s="16" t="s">
        <v>596</v>
      </c>
    </row>
    <row r="417" spans="1:54" ht="102.75" customHeight="1">
      <c r="A417" s="428">
        <f t="shared" si="49"/>
        <v>409</v>
      </c>
      <c r="B417" s="403"/>
      <c r="C417" s="404"/>
      <c r="D417" s="405"/>
      <c r="E417" s="405"/>
      <c r="F417" s="405"/>
      <c r="G417" s="405"/>
      <c r="H417" s="406"/>
      <c r="I417" s="407"/>
      <c r="J417" s="408"/>
      <c r="K417" s="409"/>
      <c r="L417" s="410"/>
      <c r="M417" s="404"/>
      <c r="N417" s="411" t="str">
        <f>IF($AI417&lt;&gt;"",Master!$N$37,IF($AC417&lt;&gt;"",Master!$N$38,IF($S417&lt;&gt;"",Master!$N$39,IF($C417&lt;&gt;"",Master!$N$40,Master!$N$41))))</f>
        <v>起票</v>
      </c>
      <c r="O417" s="412" t="str">
        <f>IF($N417=Master!$N$37,MAX($S417,$AC417,$AI417),"")</f>
        <v/>
      </c>
      <c r="P417" s="413"/>
      <c r="Q417" s="414"/>
      <c r="R417" s="409"/>
      <c r="S417" s="404"/>
      <c r="T417" s="418"/>
      <c r="U417" s="415"/>
      <c r="V417" s="409"/>
      <c r="W417" s="419"/>
      <c r="X417" s="419"/>
      <c r="Y417" s="416"/>
      <c r="Z417" s="417"/>
      <c r="AA417" s="418"/>
      <c r="AB417" s="419"/>
      <c r="AC417" s="404"/>
      <c r="AD417" s="404"/>
      <c r="AE417" s="420"/>
      <c r="AF417" s="421"/>
      <c r="AG417" s="418"/>
      <c r="AH417" s="409"/>
      <c r="AI417" s="404"/>
      <c r="AJ417" s="416"/>
      <c r="AK417" s="453"/>
      <c r="AL417" s="422"/>
      <c r="AM417" s="423"/>
      <c r="AO417" s="137" t="e">
        <f t="shared" si="42"/>
        <v>#N/A</v>
      </c>
      <c r="AP417" s="138" t="e">
        <f t="shared" si="43"/>
        <v>#N/A</v>
      </c>
      <c r="AQ417" s="138" t="e">
        <f t="shared" si="44"/>
        <v>#N/A</v>
      </c>
      <c r="AR417" s="138" t="e">
        <f t="shared" si="45"/>
        <v>#N/A</v>
      </c>
      <c r="AS417" s="138" t="e">
        <f t="shared" si="46"/>
        <v>#N/A</v>
      </c>
      <c r="AT417" s="139" t="e">
        <f t="shared" si="47"/>
        <v>#N/A</v>
      </c>
      <c r="BB417" s="16" t="s">
        <v>596</v>
      </c>
    </row>
    <row r="418" spans="1:54" ht="117.75" customHeight="1">
      <c r="A418" s="428">
        <f t="shared" si="49"/>
        <v>410</v>
      </c>
      <c r="B418" s="403"/>
      <c r="C418" s="404"/>
      <c r="D418" s="405"/>
      <c r="E418" s="405"/>
      <c r="F418" s="405"/>
      <c r="G418" s="405"/>
      <c r="H418" s="406"/>
      <c r="I418" s="407"/>
      <c r="J418" s="408"/>
      <c r="K418" s="409"/>
      <c r="L418" s="410"/>
      <c r="M418" s="404"/>
      <c r="N418" s="411" t="str">
        <f>IF($AI418&lt;&gt;"",Master!$N$37,IF($AC418&lt;&gt;"",Master!$N$38,IF($S418&lt;&gt;"",Master!$N$39,IF($C418&lt;&gt;"",Master!$N$40,Master!$N$41))))</f>
        <v>起票</v>
      </c>
      <c r="O418" s="412" t="str">
        <f>IF($N418=Master!$N$37,MAX($S418,$AC418,$AI418),"")</f>
        <v/>
      </c>
      <c r="P418" s="413"/>
      <c r="Q418" s="414"/>
      <c r="R418" s="409"/>
      <c r="S418" s="404"/>
      <c r="T418" s="418"/>
      <c r="U418" s="415"/>
      <c r="V418" s="409"/>
      <c r="W418" s="419"/>
      <c r="X418" s="419"/>
      <c r="Y418" s="416"/>
      <c r="Z418" s="417"/>
      <c r="AA418" s="418"/>
      <c r="AB418" s="419"/>
      <c r="AC418" s="404"/>
      <c r="AD418" s="404"/>
      <c r="AE418" s="420"/>
      <c r="AF418" s="421"/>
      <c r="AG418" s="418"/>
      <c r="AH418" s="409"/>
      <c r="AI418" s="404"/>
      <c r="AJ418" s="416"/>
      <c r="AK418" s="453"/>
      <c r="AL418" s="422"/>
      <c r="AM418" s="423"/>
      <c r="AO418" s="137" t="e">
        <f t="shared" si="42"/>
        <v>#N/A</v>
      </c>
      <c r="AP418" s="138" t="e">
        <f t="shared" si="43"/>
        <v>#N/A</v>
      </c>
      <c r="AQ418" s="138" t="e">
        <f t="shared" si="44"/>
        <v>#N/A</v>
      </c>
      <c r="AR418" s="138" t="e">
        <f t="shared" si="45"/>
        <v>#N/A</v>
      </c>
      <c r="AS418" s="138" t="e">
        <f t="shared" si="46"/>
        <v>#N/A</v>
      </c>
      <c r="AT418" s="139" t="e">
        <f t="shared" si="47"/>
        <v>#N/A</v>
      </c>
      <c r="BB418" s="16" t="s">
        <v>596</v>
      </c>
    </row>
    <row r="419" spans="1:54" ht="117.75" customHeight="1">
      <c r="A419" s="428">
        <f t="shared" si="49"/>
        <v>411</v>
      </c>
      <c r="B419" s="403"/>
      <c r="C419" s="404"/>
      <c r="D419" s="405"/>
      <c r="E419" s="405"/>
      <c r="F419" s="405"/>
      <c r="G419" s="405"/>
      <c r="H419" s="406"/>
      <c r="I419" s="407"/>
      <c r="J419" s="408"/>
      <c r="K419" s="409"/>
      <c r="L419" s="410"/>
      <c r="M419" s="404"/>
      <c r="N419" s="411" t="str">
        <f>IF($AI419&lt;&gt;"",Master!$N$37,IF($AC419&lt;&gt;"",Master!$N$38,IF($S419&lt;&gt;"",Master!$N$39,IF($C419&lt;&gt;"",Master!$N$40,Master!$N$41))))</f>
        <v>起票</v>
      </c>
      <c r="O419" s="412" t="str">
        <f>IF($N419=Master!$N$37,MAX($S419,$AC419,$AI419),"")</f>
        <v/>
      </c>
      <c r="P419" s="413"/>
      <c r="Q419" s="414"/>
      <c r="R419" s="409"/>
      <c r="S419" s="404"/>
      <c r="T419" s="418"/>
      <c r="U419" s="415"/>
      <c r="V419" s="409"/>
      <c r="W419" s="419"/>
      <c r="X419" s="419"/>
      <c r="Y419" s="416"/>
      <c r="Z419" s="417"/>
      <c r="AA419" s="418"/>
      <c r="AB419" s="419"/>
      <c r="AC419" s="404"/>
      <c r="AD419" s="404"/>
      <c r="AE419" s="420"/>
      <c r="AF419" s="421"/>
      <c r="AG419" s="418"/>
      <c r="AH419" s="409"/>
      <c r="AI419" s="404"/>
      <c r="AJ419" s="416"/>
      <c r="AK419" s="453"/>
      <c r="AL419" s="422"/>
      <c r="AM419" s="423"/>
      <c r="AO419" s="137" t="e">
        <f t="shared" si="42"/>
        <v>#N/A</v>
      </c>
      <c r="AP419" s="138" t="e">
        <f t="shared" si="43"/>
        <v>#N/A</v>
      </c>
      <c r="AQ419" s="138" t="e">
        <f t="shared" si="44"/>
        <v>#N/A</v>
      </c>
      <c r="AR419" s="138" t="e">
        <f t="shared" si="45"/>
        <v>#N/A</v>
      </c>
      <c r="AS419" s="138" t="e">
        <f t="shared" si="46"/>
        <v>#N/A</v>
      </c>
      <c r="AT419" s="139" t="e">
        <f t="shared" si="47"/>
        <v>#N/A</v>
      </c>
      <c r="BB419" s="16" t="s">
        <v>596</v>
      </c>
    </row>
    <row r="420" spans="1:54" ht="117.75" customHeight="1">
      <c r="A420" s="428">
        <f t="shared" si="49"/>
        <v>412</v>
      </c>
      <c r="B420" s="294"/>
      <c r="C420" s="201"/>
      <c r="D420" s="290"/>
      <c r="E420" s="301"/>
      <c r="F420" s="301"/>
      <c r="G420" s="290"/>
      <c r="H420" s="291"/>
      <c r="I420" s="292"/>
      <c r="J420" s="61"/>
      <c r="K420" s="57"/>
      <c r="L420" s="303"/>
      <c r="M420" s="201"/>
      <c r="N420" s="84" t="str">
        <f>IF($AI420&lt;&gt;"",Master!$N$37,IF($AC420&lt;&gt;"",Master!$N$38,IF($S420&lt;&gt;"",Master!$N$39,IF($C420&lt;&gt;"",Master!$N$40,Master!$N$41))))</f>
        <v>起票</v>
      </c>
      <c r="O420" s="202" t="str">
        <f>IF($N420=Master!$N$37,MAX($S420,$AC420,$AI420),"")</f>
        <v/>
      </c>
      <c r="P420" s="65"/>
      <c r="Q420" s="203"/>
      <c r="R420" s="57"/>
      <c r="S420" s="203"/>
      <c r="T420" s="310"/>
      <c r="U420" s="289"/>
      <c r="V420" s="57"/>
      <c r="W420" s="288"/>
      <c r="X420" s="288"/>
      <c r="Y420" s="296"/>
      <c r="Z420" s="57"/>
      <c r="AA420" s="203"/>
      <c r="AB420" s="288"/>
      <c r="AC420" s="201"/>
      <c r="AD420" s="298"/>
      <c r="AE420" s="297"/>
      <c r="AF420" s="58"/>
      <c r="AG420" s="204"/>
      <c r="AH420" s="57"/>
      <c r="AI420" s="201"/>
      <c r="AJ420" s="287"/>
      <c r="AK420" s="452"/>
      <c r="AL420" s="59"/>
      <c r="AM420" s="60"/>
      <c r="AO420" s="137" t="e">
        <f t="shared" si="42"/>
        <v>#N/A</v>
      </c>
      <c r="AP420" s="138" t="e">
        <f t="shared" si="43"/>
        <v>#N/A</v>
      </c>
      <c r="AQ420" s="138" t="e">
        <f t="shared" si="44"/>
        <v>#N/A</v>
      </c>
      <c r="AR420" s="138" t="e">
        <f t="shared" si="45"/>
        <v>#N/A</v>
      </c>
      <c r="AS420" s="138" t="e">
        <f t="shared" si="46"/>
        <v>#N/A</v>
      </c>
      <c r="AT420" s="139" t="e">
        <f t="shared" si="47"/>
        <v>#N/A</v>
      </c>
      <c r="BB420" s="16" t="s">
        <v>596</v>
      </c>
    </row>
    <row r="421" spans="1:54" ht="117.75" customHeight="1">
      <c r="A421" s="428">
        <f t="shared" si="49"/>
        <v>413</v>
      </c>
      <c r="B421" s="294"/>
      <c r="C421" s="201"/>
      <c r="D421" s="290"/>
      <c r="E421" s="301"/>
      <c r="F421" s="301"/>
      <c r="G421" s="290"/>
      <c r="H421" s="291"/>
      <c r="I421" s="292"/>
      <c r="J421" s="61"/>
      <c r="K421" s="57"/>
      <c r="L421" s="303"/>
      <c r="M421" s="201"/>
      <c r="N421" s="84" t="str">
        <f>IF($AI421&lt;&gt;"",Master!$N$37,IF($AC421&lt;&gt;"",Master!$N$38,IF($S421&lt;&gt;"",Master!$N$39,IF($C421&lt;&gt;"",Master!$N$40,Master!$N$41))))</f>
        <v>起票</v>
      </c>
      <c r="O421" s="202" t="str">
        <f>IF($N421=Master!$N$37,MAX($S421,$AC421,$AI421),"")</f>
        <v/>
      </c>
      <c r="P421" s="65"/>
      <c r="Q421" s="203"/>
      <c r="R421" s="57"/>
      <c r="S421" s="203"/>
      <c r="T421" s="310"/>
      <c r="U421" s="289"/>
      <c r="V421" s="57"/>
      <c r="W421" s="288"/>
      <c r="X421" s="288"/>
      <c r="Y421" s="296"/>
      <c r="Z421" s="57"/>
      <c r="AA421" s="203"/>
      <c r="AB421" s="288"/>
      <c r="AC421" s="201"/>
      <c r="AD421" s="298"/>
      <c r="AE421" s="297"/>
      <c r="AF421" s="58"/>
      <c r="AG421" s="204"/>
      <c r="AH421" s="57"/>
      <c r="AI421" s="201"/>
      <c r="AJ421" s="287"/>
      <c r="AK421" s="452"/>
      <c r="AL421" s="59"/>
      <c r="AM421" s="60"/>
      <c r="AO421" s="137" t="e">
        <f t="shared" si="42"/>
        <v>#N/A</v>
      </c>
      <c r="AP421" s="138" t="e">
        <f t="shared" si="43"/>
        <v>#N/A</v>
      </c>
      <c r="AQ421" s="138" t="e">
        <f t="shared" si="44"/>
        <v>#N/A</v>
      </c>
      <c r="AR421" s="138" t="e">
        <f t="shared" si="45"/>
        <v>#N/A</v>
      </c>
      <c r="AS421" s="138" t="e">
        <f t="shared" si="46"/>
        <v>#N/A</v>
      </c>
      <c r="AT421" s="139" t="e">
        <f t="shared" si="47"/>
        <v>#N/A</v>
      </c>
      <c r="BB421" s="16" t="s">
        <v>596</v>
      </c>
    </row>
    <row r="422" spans="1:54" ht="117.75" customHeight="1">
      <c r="A422" s="428">
        <f t="shared" si="49"/>
        <v>414</v>
      </c>
      <c r="B422" s="294"/>
      <c r="C422" s="201"/>
      <c r="D422" s="290"/>
      <c r="E422" s="301"/>
      <c r="F422" s="301"/>
      <c r="G422" s="290"/>
      <c r="H422" s="291"/>
      <c r="I422" s="292"/>
      <c r="J422" s="61"/>
      <c r="K422" s="57"/>
      <c r="L422" s="303"/>
      <c r="M422" s="201"/>
      <c r="N422" s="84" t="str">
        <f>IF($AI422&lt;&gt;"",Master!$N$37,IF($AC422&lt;&gt;"",Master!$N$38,IF($S422&lt;&gt;"",Master!$N$39,IF($C422&lt;&gt;"",Master!$N$40,Master!$N$41))))</f>
        <v>起票</v>
      </c>
      <c r="O422" s="202" t="str">
        <f>IF($N422=Master!$N$37,MAX($S422,$AC422,$AI422),"")</f>
        <v/>
      </c>
      <c r="P422" s="65"/>
      <c r="Q422" s="203"/>
      <c r="R422" s="57"/>
      <c r="S422" s="203"/>
      <c r="T422" s="310"/>
      <c r="U422" s="289"/>
      <c r="V422" s="57"/>
      <c r="W422" s="288"/>
      <c r="X422" s="288"/>
      <c r="Y422" s="296"/>
      <c r="Z422" s="57"/>
      <c r="AA422" s="203"/>
      <c r="AB422" s="288"/>
      <c r="AC422" s="201"/>
      <c r="AD422" s="298"/>
      <c r="AE422" s="297"/>
      <c r="AF422" s="58"/>
      <c r="AG422" s="204"/>
      <c r="AH422" s="57"/>
      <c r="AI422" s="201"/>
      <c r="AJ422" s="287"/>
      <c r="AK422" s="452"/>
      <c r="AL422" s="59"/>
      <c r="AM422" s="60"/>
      <c r="AO422" s="137" t="e">
        <f t="shared" si="42"/>
        <v>#N/A</v>
      </c>
      <c r="AP422" s="138" t="e">
        <f t="shared" si="43"/>
        <v>#N/A</v>
      </c>
      <c r="AQ422" s="138" t="e">
        <f t="shared" si="44"/>
        <v>#N/A</v>
      </c>
      <c r="AR422" s="138" t="e">
        <f t="shared" si="45"/>
        <v>#N/A</v>
      </c>
      <c r="AS422" s="138" t="e">
        <f t="shared" si="46"/>
        <v>#N/A</v>
      </c>
      <c r="AT422" s="139" t="e">
        <f t="shared" si="47"/>
        <v>#N/A</v>
      </c>
      <c r="BB422" s="16" t="s">
        <v>596</v>
      </c>
    </row>
    <row r="423" spans="1:54" ht="117.75" customHeight="1">
      <c r="A423" s="428">
        <f t="shared" si="49"/>
        <v>415</v>
      </c>
      <c r="B423" s="294"/>
      <c r="C423" s="201"/>
      <c r="D423" s="290"/>
      <c r="E423" s="301"/>
      <c r="F423" s="301"/>
      <c r="G423" s="290"/>
      <c r="H423" s="291"/>
      <c r="I423" s="292"/>
      <c r="J423" s="61"/>
      <c r="K423" s="57"/>
      <c r="L423" s="303"/>
      <c r="M423" s="201"/>
      <c r="N423" s="84" t="str">
        <f>IF($AI423&lt;&gt;"",Master!$N$37,IF($AC423&lt;&gt;"",Master!$N$38,IF($S423&lt;&gt;"",Master!$N$39,IF($C423&lt;&gt;"",Master!$N$40,Master!$N$41))))</f>
        <v>起票</v>
      </c>
      <c r="O423" s="202" t="str">
        <f>IF($N423=Master!$N$37,MAX($S423,$AC423,$AI423),"")</f>
        <v/>
      </c>
      <c r="P423" s="65"/>
      <c r="Q423" s="203"/>
      <c r="R423" s="57"/>
      <c r="S423" s="203"/>
      <c r="T423" s="310"/>
      <c r="U423" s="289"/>
      <c r="V423" s="57"/>
      <c r="W423" s="288"/>
      <c r="X423" s="288"/>
      <c r="Y423" s="296"/>
      <c r="Z423" s="57"/>
      <c r="AA423" s="203"/>
      <c r="AB423" s="288"/>
      <c r="AC423" s="201"/>
      <c r="AD423" s="298"/>
      <c r="AE423" s="297"/>
      <c r="AF423" s="58"/>
      <c r="AG423" s="204"/>
      <c r="AH423" s="57"/>
      <c r="AI423" s="201"/>
      <c r="AJ423" s="287"/>
      <c r="AK423" s="452"/>
      <c r="AL423" s="59"/>
      <c r="AM423" s="60"/>
      <c r="AO423" s="137" t="e">
        <f t="shared" si="42"/>
        <v>#N/A</v>
      </c>
      <c r="AP423" s="138" t="e">
        <f t="shared" si="43"/>
        <v>#N/A</v>
      </c>
      <c r="AQ423" s="138" t="e">
        <f t="shared" si="44"/>
        <v>#N/A</v>
      </c>
      <c r="AR423" s="138" t="e">
        <f t="shared" si="45"/>
        <v>#N/A</v>
      </c>
      <c r="AS423" s="138" t="e">
        <f t="shared" si="46"/>
        <v>#N/A</v>
      </c>
      <c r="AT423" s="139" t="e">
        <f t="shared" si="47"/>
        <v>#N/A</v>
      </c>
      <c r="BB423" s="16" t="s">
        <v>596</v>
      </c>
    </row>
    <row r="424" spans="1:54" ht="117.75" customHeight="1">
      <c r="A424" s="428">
        <f t="shared" si="49"/>
        <v>416</v>
      </c>
      <c r="B424" s="294"/>
      <c r="C424" s="201"/>
      <c r="D424" s="290"/>
      <c r="E424" s="301"/>
      <c r="F424" s="301"/>
      <c r="G424" s="290"/>
      <c r="H424" s="291"/>
      <c r="I424" s="292"/>
      <c r="J424" s="61"/>
      <c r="K424" s="57"/>
      <c r="L424" s="303"/>
      <c r="M424" s="201"/>
      <c r="N424" s="84" t="str">
        <f>IF($AI424&lt;&gt;"",Master!$N$37,IF($AC424&lt;&gt;"",Master!$N$38,IF($S424&lt;&gt;"",Master!$N$39,IF($C424&lt;&gt;"",Master!$N$40,Master!$N$41))))</f>
        <v>起票</v>
      </c>
      <c r="O424" s="202" t="str">
        <f>IF($N424=Master!$N$37,MAX($S424,$AC424,$AI424),"")</f>
        <v/>
      </c>
      <c r="P424" s="65"/>
      <c r="Q424" s="203"/>
      <c r="R424" s="57"/>
      <c r="S424" s="203"/>
      <c r="T424" s="310"/>
      <c r="U424" s="289"/>
      <c r="V424" s="57"/>
      <c r="W424" s="288"/>
      <c r="X424" s="288"/>
      <c r="Y424" s="296"/>
      <c r="Z424" s="57"/>
      <c r="AA424" s="203"/>
      <c r="AB424" s="288"/>
      <c r="AC424" s="201"/>
      <c r="AD424" s="298"/>
      <c r="AE424" s="297"/>
      <c r="AF424" s="58"/>
      <c r="AG424" s="204"/>
      <c r="AH424" s="57"/>
      <c r="AI424" s="201"/>
      <c r="AJ424" s="287"/>
      <c r="AK424" s="452"/>
      <c r="AL424" s="59"/>
      <c r="AM424" s="60"/>
      <c r="AO424" s="137" t="e">
        <f t="shared" si="42"/>
        <v>#N/A</v>
      </c>
      <c r="AP424" s="138" t="e">
        <f t="shared" si="43"/>
        <v>#N/A</v>
      </c>
      <c r="AQ424" s="138" t="e">
        <f t="shared" si="44"/>
        <v>#N/A</v>
      </c>
      <c r="AR424" s="138" t="e">
        <f t="shared" si="45"/>
        <v>#N/A</v>
      </c>
      <c r="AS424" s="138" t="e">
        <f t="shared" si="46"/>
        <v>#N/A</v>
      </c>
      <c r="AT424" s="139" t="e">
        <f t="shared" si="47"/>
        <v>#N/A</v>
      </c>
      <c r="BB424" s="16" t="s">
        <v>596</v>
      </c>
    </row>
    <row r="425" spans="1:54" ht="117.75" customHeight="1">
      <c r="A425" s="428">
        <f t="shared" si="49"/>
        <v>417</v>
      </c>
      <c r="B425" s="403"/>
      <c r="C425" s="404"/>
      <c r="D425" s="405"/>
      <c r="E425" s="405"/>
      <c r="F425" s="405"/>
      <c r="G425" s="405"/>
      <c r="H425" s="406"/>
      <c r="I425" s="407"/>
      <c r="J425" s="408"/>
      <c r="K425" s="409"/>
      <c r="L425" s="410"/>
      <c r="M425" s="404"/>
      <c r="N425" s="411" t="str">
        <f>IF($AI425&lt;&gt;"",Master!$N$37,IF($AC425&lt;&gt;"",Master!$N$38,IF($S425&lt;&gt;"",Master!$N$39,IF($C425&lt;&gt;"",Master!$N$40,Master!$N$41))))</f>
        <v>起票</v>
      </c>
      <c r="O425" s="412" t="str">
        <f>IF($N425=Master!$N$37,MAX($S425,$AC425,$AI425),"")</f>
        <v/>
      </c>
      <c r="P425" s="413"/>
      <c r="Q425" s="414"/>
      <c r="R425" s="409"/>
      <c r="S425" s="404"/>
      <c r="T425" s="418"/>
      <c r="U425" s="415"/>
      <c r="V425" s="409"/>
      <c r="W425" s="419"/>
      <c r="X425" s="419"/>
      <c r="Y425" s="416"/>
      <c r="Z425" s="417"/>
      <c r="AA425" s="418"/>
      <c r="AB425" s="419"/>
      <c r="AC425" s="404"/>
      <c r="AD425" s="404"/>
      <c r="AE425" s="420"/>
      <c r="AF425" s="421"/>
      <c r="AG425" s="418"/>
      <c r="AH425" s="409"/>
      <c r="AI425" s="404"/>
      <c r="AJ425" s="416"/>
      <c r="AK425" s="453"/>
      <c r="AL425" s="422"/>
      <c r="AM425" s="423"/>
      <c r="AO425" s="137" t="e">
        <f t="shared" si="42"/>
        <v>#N/A</v>
      </c>
      <c r="AP425" s="138" t="e">
        <f t="shared" si="43"/>
        <v>#N/A</v>
      </c>
      <c r="AQ425" s="138" t="e">
        <f t="shared" si="44"/>
        <v>#N/A</v>
      </c>
      <c r="AR425" s="138" t="e">
        <f t="shared" si="45"/>
        <v>#N/A</v>
      </c>
      <c r="AS425" s="138" t="e">
        <f t="shared" si="46"/>
        <v>#N/A</v>
      </c>
      <c r="AT425" s="139" t="e">
        <f t="shared" si="47"/>
        <v>#N/A</v>
      </c>
      <c r="BB425" s="16" t="s">
        <v>596</v>
      </c>
    </row>
    <row r="426" spans="1:54" ht="117.75" customHeight="1">
      <c r="A426" s="428">
        <f t="shared" si="49"/>
        <v>418</v>
      </c>
      <c r="B426" s="403"/>
      <c r="C426" s="404"/>
      <c r="D426" s="405"/>
      <c r="E426" s="405"/>
      <c r="F426" s="405"/>
      <c r="G426" s="405"/>
      <c r="H426" s="406"/>
      <c r="I426" s="407"/>
      <c r="J426" s="408"/>
      <c r="K426" s="409"/>
      <c r="L426" s="410"/>
      <c r="M426" s="404"/>
      <c r="N426" s="411" t="str">
        <f>IF($AI426&lt;&gt;"",Master!$N$37,IF($AC426&lt;&gt;"",Master!$N$38,IF($S426&lt;&gt;"",Master!$N$39,IF($C426&lt;&gt;"",Master!$N$40,Master!$N$41))))</f>
        <v>起票</v>
      </c>
      <c r="O426" s="412" t="str">
        <f>IF($N426=Master!$N$37,MAX($S426,$AC426,$AI426),"")</f>
        <v/>
      </c>
      <c r="P426" s="413"/>
      <c r="Q426" s="414"/>
      <c r="R426" s="409"/>
      <c r="S426" s="404"/>
      <c r="T426" s="418"/>
      <c r="U426" s="415"/>
      <c r="V426" s="409"/>
      <c r="W426" s="419"/>
      <c r="X426" s="419"/>
      <c r="Y426" s="416"/>
      <c r="Z426" s="417"/>
      <c r="AA426" s="418"/>
      <c r="AB426" s="419"/>
      <c r="AC426" s="404"/>
      <c r="AD426" s="404"/>
      <c r="AE426" s="420"/>
      <c r="AF426" s="421"/>
      <c r="AG426" s="418"/>
      <c r="AH426" s="409"/>
      <c r="AI426" s="404"/>
      <c r="AJ426" s="416"/>
      <c r="AK426" s="453"/>
      <c r="AL426" s="422"/>
      <c r="AM426" s="423"/>
      <c r="AO426" s="137" t="e">
        <f t="shared" si="42"/>
        <v>#N/A</v>
      </c>
      <c r="AP426" s="138" t="e">
        <f t="shared" si="43"/>
        <v>#N/A</v>
      </c>
      <c r="AQ426" s="138" t="e">
        <f t="shared" si="44"/>
        <v>#N/A</v>
      </c>
      <c r="AR426" s="138" t="e">
        <f t="shared" si="45"/>
        <v>#N/A</v>
      </c>
      <c r="AS426" s="138" t="e">
        <f t="shared" si="46"/>
        <v>#N/A</v>
      </c>
      <c r="AT426" s="139" t="e">
        <f t="shared" si="47"/>
        <v>#N/A</v>
      </c>
      <c r="BB426" s="16" t="s">
        <v>596</v>
      </c>
    </row>
    <row r="427" spans="1:54" ht="117.75" customHeight="1">
      <c r="A427" s="428">
        <f t="shared" si="49"/>
        <v>419</v>
      </c>
      <c r="B427" s="403"/>
      <c r="C427" s="404"/>
      <c r="D427" s="405"/>
      <c r="E427" s="405"/>
      <c r="F427" s="405"/>
      <c r="G427" s="405"/>
      <c r="H427" s="406"/>
      <c r="I427" s="407"/>
      <c r="J427" s="408"/>
      <c r="K427" s="409"/>
      <c r="L427" s="410"/>
      <c r="M427" s="404"/>
      <c r="N427" s="411" t="str">
        <f>IF($AI427&lt;&gt;"",Master!$N$37,IF($AC427&lt;&gt;"",Master!$N$38,IF($S427&lt;&gt;"",Master!$N$39,IF($C427&lt;&gt;"",Master!$N$40,Master!$N$41))))</f>
        <v>起票</v>
      </c>
      <c r="O427" s="412" t="str">
        <f>IF($N427=Master!$N$37,MAX($S427,$AC427,$AI427),"")</f>
        <v/>
      </c>
      <c r="P427" s="413"/>
      <c r="Q427" s="414"/>
      <c r="R427" s="409"/>
      <c r="S427" s="404"/>
      <c r="T427" s="418"/>
      <c r="U427" s="415"/>
      <c r="V427" s="409"/>
      <c r="W427" s="419"/>
      <c r="X427" s="419"/>
      <c r="Y427" s="416"/>
      <c r="Z427" s="417"/>
      <c r="AA427" s="418"/>
      <c r="AB427" s="419"/>
      <c r="AC427" s="404"/>
      <c r="AD427" s="404"/>
      <c r="AE427" s="420"/>
      <c r="AF427" s="421"/>
      <c r="AG427" s="418"/>
      <c r="AH427" s="409"/>
      <c r="AI427" s="404"/>
      <c r="AJ427" s="416"/>
      <c r="AK427" s="453"/>
      <c r="AL427" s="422"/>
      <c r="AM427" s="423"/>
      <c r="AO427" s="137" t="e">
        <f t="shared" si="42"/>
        <v>#N/A</v>
      </c>
      <c r="AP427" s="138" t="e">
        <f t="shared" si="43"/>
        <v>#N/A</v>
      </c>
      <c r="AQ427" s="138" t="e">
        <f t="shared" si="44"/>
        <v>#N/A</v>
      </c>
      <c r="AR427" s="138" t="e">
        <f t="shared" si="45"/>
        <v>#N/A</v>
      </c>
      <c r="AS427" s="138" t="e">
        <f t="shared" si="46"/>
        <v>#N/A</v>
      </c>
      <c r="AT427" s="139" t="e">
        <f t="shared" si="47"/>
        <v>#N/A</v>
      </c>
      <c r="BB427" s="16" t="s">
        <v>596</v>
      </c>
    </row>
    <row r="428" spans="1:54" ht="117.75" customHeight="1">
      <c r="A428" s="428">
        <f t="shared" si="49"/>
        <v>420</v>
      </c>
      <c r="B428" s="294"/>
      <c r="C428" s="201"/>
      <c r="D428" s="290"/>
      <c r="E428" s="301"/>
      <c r="F428" s="301"/>
      <c r="G428" s="290"/>
      <c r="H428" s="291"/>
      <c r="I428" s="292"/>
      <c r="J428" s="61"/>
      <c r="K428" s="57"/>
      <c r="L428" s="303"/>
      <c r="M428" s="201"/>
      <c r="N428" s="84" t="str">
        <f>IF($AI428&lt;&gt;"",Master!$N$37,IF($AC428&lt;&gt;"",Master!$N$38,IF($S428&lt;&gt;"",Master!$N$39,IF($C428&lt;&gt;"",Master!$N$40,Master!$N$41))))</f>
        <v>起票</v>
      </c>
      <c r="O428" s="202" t="str">
        <f>IF($N428=Master!$N$37,MAX($S428,$AC428,$AI428),"")</f>
        <v/>
      </c>
      <c r="P428" s="65"/>
      <c r="Q428" s="203"/>
      <c r="R428" s="57"/>
      <c r="S428" s="203"/>
      <c r="T428" s="310"/>
      <c r="U428" s="289"/>
      <c r="V428" s="57"/>
      <c r="W428" s="288"/>
      <c r="X428" s="288"/>
      <c r="Y428" s="296"/>
      <c r="Z428" s="57"/>
      <c r="AA428" s="203"/>
      <c r="AB428" s="288"/>
      <c r="AC428" s="201"/>
      <c r="AD428" s="298"/>
      <c r="AE428" s="297"/>
      <c r="AF428" s="58"/>
      <c r="AG428" s="204"/>
      <c r="AH428" s="57"/>
      <c r="AI428" s="201"/>
      <c r="AJ428" s="287"/>
      <c r="AK428" s="452"/>
      <c r="AL428" s="59"/>
      <c r="AM428" s="60"/>
      <c r="AO428" s="137" t="e">
        <f t="shared" si="42"/>
        <v>#N/A</v>
      </c>
      <c r="AP428" s="138" t="e">
        <f t="shared" si="43"/>
        <v>#N/A</v>
      </c>
      <c r="AQ428" s="138" t="e">
        <f t="shared" si="44"/>
        <v>#N/A</v>
      </c>
      <c r="AR428" s="138" t="e">
        <f t="shared" si="45"/>
        <v>#N/A</v>
      </c>
      <c r="AS428" s="138" t="e">
        <f t="shared" si="46"/>
        <v>#N/A</v>
      </c>
      <c r="AT428" s="139" t="e">
        <f t="shared" si="47"/>
        <v>#N/A</v>
      </c>
      <c r="BB428" s="16" t="s">
        <v>596</v>
      </c>
    </row>
    <row r="429" spans="1:54" ht="117.75" customHeight="1">
      <c r="A429" s="428">
        <f t="shared" si="49"/>
        <v>421</v>
      </c>
      <c r="B429" s="294"/>
      <c r="C429" s="201"/>
      <c r="D429" s="290"/>
      <c r="E429" s="301"/>
      <c r="F429" s="301"/>
      <c r="G429" s="290"/>
      <c r="H429" s="291"/>
      <c r="I429" s="292"/>
      <c r="J429" s="61"/>
      <c r="K429" s="57"/>
      <c r="L429" s="303"/>
      <c r="M429" s="201"/>
      <c r="N429" s="84" t="str">
        <f>IF($AI429&lt;&gt;"",Master!$N$37,IF($AC429&lt;&gt;"",Master!$N$38,IF($S429&lt;&gt;"",Master!$N$39,IF($C429&lt;&gt;"",Master!$N$40,Master!$N$41))))</f>
        <v>起票</v>
      </c>
      <c r="O429" s="202" t="str">
        <f>IF($N429=Master!$N$37,MAX($S429,$AC429,$AI429),"")</f>
        <v/>
      </c>
      <c r="P429" s="65"/>
      <c r="Q429" s="203"/>
      <c r="R429" s="57"/>
      <c r="S429" s="203"/>
      <c r="T429" s="310"/>
      <c r="U429" s="289"/>
      <c r="V429" s="57"/>
      <c r="W429" s="288"/>
      <c r="X429" s="288"/>
      <c r="Y429" s="296"/>
      <c r="Z429" s="57"/>
      <c r="AA429" s="203"/>
      <c r="AB429" s="288"/>
      <c r="AC429" s="201"/>
      <c r="AD429" s="298"/>
      <c r="AE429" s="297"/>
      <c r="AF429" s="58"/>
      <c r="AG429" s="204"/>
      <c r="AH429" s="57"/>
      <c r="AI429" s="201"/>
      <c r="AJ429" s="287"/>
      <c r="AK429" s="452"/>
      <c r="AL429" s="59"/>
      <c r="AM429" s="60"/>
      <c r="AO429" s="137" t="e">
        <f t="shared" si="42"/>
        <v>#N/A</v>
      </c>
      <c r="AP429" s="138" t="e">
        <f t="shared" si="43"/>
        <v>#N/A</v>
      </c>
      <c r="AQ429" s="138" t="e">
        <f t="shared" si="44"/>
        <v>#N/A</v>
      </c>
      <c r="AR429" s="138" t="e">
        <f t="shared" si="45"/>
        <v>#N/A</v>
      </c>
      <c r="AS429" s="138" t="e">
        <f t="shared" si="46"/>
        <v>#N/A</v>
      </c>
      <c r="AT429" s="139" t="e">
        <f t="shared" si="47"/>
        <v>#N/A</v>
      </c>
      <c r="BB429" s="16" t="s">
        <v>596</v>
      </c>
    </row>
    <row r="430" spans="1:54" ht="114" customHeight="1">
      <c r="A430" s="428">
        <f t="shared" si="49"/>
        <v>422</v>
      </c>
      <c r="B430" s="403"/>
      <c r="C430" s="404"/>
      <c r="D430" s="405"/>
      <c r="E430" s="405"/>
      <c r="F430" s="405"/>
      <c r="G430" s="405"/>
      <c r="H430" s="406"/>
      <c r="I430" s="407"/>
      <c r="J430" s="408"/>
      <c r="K430" s="409"/>
      <c r="L430" s="410"/>
      <c r="M430" s="404"/>
      <c r="N430" s="411" t="str">
        <f>IF($AI430&lt;&gt;"",Master!$N$37,IF($AC430&lt;&gt;"",Master!$N$38,IF($S430&lt;&gt;"",Master!$N$39,IF($C430&lt;&gt;"",Master!$N$40,Master!$N$41))))</f>
        <v>起票</v>
      </c>
      <c r="O430" s="412" t="str">
        <f>IF($N430=Master!$N$37,MAX($S430,$AC430,$AI430),"")</f>
        <v/>
      </c>
      <c r="P430" s="413"/>
      <c r="Q430" s="414"/>
      <c r="R430" s="409"/>
      <c r="S430" s="404"/>
      <c r="T430" s="418"/>
      <c r="U430" s="415"/>
      <c r="V430" s="409"/>
      <c r="W430" s="419"/>
      <c r="X430" s="419"/>
      <c r="Y430" s="416"/>
      <c r="Z430" s="417"/>
      <c r="AA430" s="418"/>
      <c r="AB430" s="419"/>
      <c r="AC430" s="404"/>
      <c r="AD430" s="404"/>
      <c r="AE430" s="420"/>
      <c r="AF430" s="421"/>
      <c r="AG430" s="418"/>
      <c r="AH430" s="409"/>
      <c r="AI430" s="404"/>
      <c r="AJ430" s="416"/>
      <c r="AK430" s="453"/>
      <c r="AL430" s="422"/>
      <c r="AM430" s="423"/>
      <c r="AO430" s="137" t="e">
        <f t="shared" si="42"/>
        <v>#N/A</v>
      </c>
      <c r="AP430" s="138" t="e">
        <f t="shared" si="43"/>
        <v>#N/A</v>
      </c>
      <c r="AQ430" s="138" t="e">
        <f t="shared" si="44"/>
        <v>#N/A</v>
      </c>
      <c r="AR430" s="138" t="e">
        <f t="shared" si="45"/>
        <v>#N/A</v>
      </c>
      <c r="AS430" s="138" t="e">
        <f t="shared" si="46"/>
        <v>#N/A</v>
      </c>
      <c r="AT430" s="139" t="e">
        <f t="shared" si="47"/>
        <v>#N/A</v>
      </c>
      <c r="BB430" s="16" t="s">
        <v>596</v>
      </c>
    </row>
    <row r="431" spans="1:54" ht="114" customHeight="1">
      <c r="A431" s="428">
        <f t="shared" si="49"/>
        <v>423</v>
      </c>
      <c r="B431" s="403"/>
      <c r="C431" s="404"/>
      <c r="D431" s="405"/>
      <c r="E431" s="405"/>
      <c r="F431" s="405"/>
      <c r="G431" s="405"/>
      <c r="H431" s="406"/>
      <c r="I431" s="407"/>
      <c r="J431" s="408"/>
      <c r="K431" s="409"/>
      <c r="L431" s="410"/>
      <c r="M431" s="404"/>
      <c r="N431" s="411" t="str">
        <f>IF($AI431&lt;&gt;"",Master!$N$37,IF($AC431&lt;&gt;"",Master!$N$38,IF($S431&lt;&gt;"",Master!$N$39,IF($C431&lt;&gt;"",Master!$N$40,Master!$N$41))))</f>
        <v>起票</v>
      </c>
      <c r="O431" s="412" t="str">
        <f>IF($N431=Master!$N$37,MAX($S431,$AC431,$AI431),"")</f>
        <v/>
      </c>
      <c r="P431" s="413"/>
      <c r="Q431" s="414"/>
      <c r="R431" s="409"/>
      <c r="S431" s="404"/>
      <c r="T431" s="418"/>
      <c r="U431" s="415"/>
      <c r="V431" s="409"/>
      <c r="W431" s="419"/>
      <c r="X431" s="419"/>
      <c r="Y431" s="416"/>
      <c r="Z431" s="417"/>
      <c r="AA431" s="418"/>
      <c r="AB431" s="419"/>
      <c r="AC431" s="404"/>
      <c r="AD431" s="404"/>
      <c r="AE431" s="420"/>
      <c r="AF431" s="421"/>
      <c r="AG431" s="418"/>
      <c r="AH431" s="409"/>
      <c r="AI431" s="404"/>
      <c r="AJ431" s="416"/>
      <c r="AK431" s="453"/>
      <c r="AL431" s="422"/>
      <c r="AM431" s="423"/>
      <c r="AO431" s="137" t="e">
        <f t="shared" si="42"/>
        <v>#N/A</v>
      </c>
      <c r="AP431" s="138" t="e">
        <f t="shared" si="43"/>
        <v>#N/A</v>
      </c>
      <c r="AQ431" s="138" t="e">
        <f t="shared" si="44"/>
        <v>#N/A</v>
      </c>
      <c r="AR431" s="138" t="e">
        <f t="shared" si="45"/>
        <v>#N/A</v>
      </c>
      <c r="AS431" s="138" t="e">
        <f t="shared" si="46"/>
        <v>#N/A</v>
      </c>
      <c r="AT431" s="139" t="e">
        <f t="shared" si="47"/>
        <v>#N/A</v>
      </c>
      <c r="BB431" s="16" t="s">
        <v>596</v>
      </c>
    </row>
    <row r="432" spans="1:54" ht="114" customHeight="1">
      <c r="A432" s="428">
        <f t="shared" si="49"/>
        <v>424</v>
      </c>
      <c r="B432" s="403"/>
      <c r="C432" s="404"/>
      <c r="D432" s="405"/>
      <c r="E432" s="405"/>
      <c r="F432" s="405"/>
      <c r="G432" s="405"/>
      <c r="H432" s="406"/>
      <c r="I432" s="407"/>
      <c r="J432" s="408"/>
      <c r="K432" s="409"/>
      <c r="L432" s="410"/>
      <c r="M432" s="404"/>
      <c r="N432" s="411" t="str">
        <f>IF($AI432&lt;&gt;"",Master!$N$37,IF($AC432&lt;&gt;"",Master!$N$38,IF($S432&lt;&gt;"",Master!$N$39,IF($C432&lt;&gt;"",Master!$N$40,Master!$N$41))))</f>
        <v>起票</v>
      </c>
      <c r="O432" s="412" t="str">
        <f>IF($N432=Master!$N$37,MAX($S432,$AC432,$AI432),"")</f>
        <v/>
      </c>
      <c r="P432" s="413"/>
      <c r="Q432" s="414"/>
      <c r="R432" s="409"/>
      <c r="S432" s="404"/>
      <c r="T432" s="418"/>
      <c r="U432" s="415"/>
      <c r="V432" s="409"/>
      <c r="W432" s="419"/>
      <c r="X432" s="419"/>
      <c r="Y432" s="416"/>
      <c r="Z432" s="417"/>
      <c r="AA432" s="418"/>
      <c r="AB432" s="419"/>
      <c r="AC432" s="404"/>
      <c r="AD432" s="404"/>
      <c r="AE432" s="420"/>
      <c r="AF432" s="421"/>
      <c r="AG432" s="418"/>
      <c r="AH432" s="409"/>
      <c r="AI432" s="404"/>
      <c r="AJ432" s="416"/>
      <c r="AK432" s="453"/>
      <c r="AL432" s="422"/>
      <c r="AM432" s="423"/>
      <c r="AO432" s="137" t="e">
        <f t="shared" si="42"/>
        <v>#N/A</v>
      </c>
      <c r="AP432" s="138" t="e">
        <f t="shared" si="43"/>
        <v>#N/A</v>
      </c>
      <c r="AQ432" s="138" t="e">
        <f t="shared" si="44"/>
        <v>#N/A</v>
      </c>
      <c r="AR432" s="138" t="e">
        <f t="shared" si="45"/>
        <v>#N/A</v>
      </c>
      <c r="AS432" s="138" t="e">
        <f t="shared" si="46"/>
        <v>#N/A</v>
      </c>
      <c r="AT432" s="139" t="e">
        <f t="shared" si="47"/>
        <v>#N/A</v>
      </c>
      <c r="BB432" s="16" t="s">
        <v>596</v>
      </c>
    </row>
    <row r="433" spans="1:54" ht="114" customHeight="1">
      <c r="A433" s="428">
        <f t="shared" si="49"/>
        <v>425</v>
      </c>
      <c r="B433" s="294"/>
      <c r="C433" s="201"/>
      <c r="D433" s="290"/>
      <c r="E433" s="301"/>
      <c r="F433" s="301"/>
      <c r="G433" s="290"/>
      <c r="H433" s="291"/>
      <c r="I433" s="292"/>
      <c r="J433" s="61"/>
      <c r="K433" s="57"/>
      <c r="L433" s="303"/>
      <c r="M433" s="201"/>
      <c r="N433" s="84" t="str">
        <f>IF($AI433&lt;&gt;"",Master!$N$37,IF($AC433&lt;&gt;"",Master!$N$38,IF($S433&lt;&gt;"",Master!$N$39,IF($C433&lt;&gt;"",Master!$N$40,Master!$N$41))))</f>
        <v>起票</v>
      </c>
      <c r="O433" s="202" t="str">
        <f>IF($N433=Master!$N$37,MAX($S433,$AC433,$AI433),"")</f>
        <v/>
      </c>
      <c r="P433" s="65"/>
      <c r="Q433" s="203"/>
      <c r="R433" s="57"/>
      <c r="S433" s="203"/>
      <c r="T433" s="310"/>
      <c r="U433" s="289"/>
      <c r="V433" s="57"/>
      <c r="W433" s="288"/>
      <c r="X433" s="288"/>
      <c r="Y433" s="296"/>
      <c r="Z433" s="57"/>
      <c r="AA433" s="203"/>
      <c r="AB433" s="288"/>
      <c r="AC433" s="201"/>
      <c r="AD433" s="298"/>
      <c r="AE433" s="297"/>
      <c r="AF433" s="58"/>
      <c r="AG433" s="204"/>
      <c r="AH433" s="57"/>
      <c r="AI433" s="201"/>
      <c r="AJ433" s="287"/>
      <c r="AK433" s="452"/>
      <c r="AL433" s="59"/>
      <c r="AM433" s="60"/>
      <c r="AO433" s="137" t="e">
        <f t="shared" si="42"/>
        <v>#N/A</v>
      </c>
      <c r="AP433" s="138" t="e">
        <f t="shared" si="43"/>
        <v>#N/A</v>
      </c>
      <c r="AQ433" s="138" t="e">
        <f t="shared" si="44"/>
        <v>#N/A</v>
      </c>
      <c r="AR433" s="138" t="e">
        <f t="shared" si="45"/>
        <v>#N/A</v>
      </c>
      <c r="AS433" s="138" t="e">
        <f t="shared" si="46"/>
        <v>#N/A</v>
      </c>
      <c r="AT433" s="139" t="e">
        <f t="shared" si="47"/>
        <v>#N/A</v>
      </c>
      <c r="BB433" s="16" t="s">
        <v>596</v>
      </c>
    </row>
    <row r="434" spans="1:54" ht="114" customHeight="1">
      <c r="A434" s="428">
        <f t="shared" si="49"/>
        <v>426</v>
      </c>
      <c r="B434" s="294"/>
      <c r="C434" s="201"/>
      <c r="D434" s="290"/>
      <c r="E434" s="301"/>
      <c r="F434" s="301"/>
      <c r="G434" s="290"/>
      <c r="H434" s="291"/>
      <c r="I434" s="292"/>
      <c r="J434" s="61"/>
      <c r="K434" s="57"/>
      <c r="L434" s="303"/>
      <c r="M434" s="201"/>
      <c r="N434" s="84" t="str">
        <f>IF($AI434&lt;&gt;"",Master!$N$37,IF($AC434&lt;&gt;"",Master!$N$38,IF($S434&lt;&gt;"",Master!$N$39,IF($C434&lt;&gt;"",Master!$N$40,Master!$N$41))))</f>
        <v>起票</v>
      </c>
      <c r="O434" s="202" t="str">
        <f>IF($N434=Master!$N$37,MAX($S434,$AC434,$AI434),"")</f>
        <v/>
      </c>
      <c r="P434" s="65"/>
      <c r="Q434" s="203"/>
      <c r="R434" s="57"/>
      <c r="S434" s="203"/>
      <c r="T434" s="310"/>
      <c r="U434" s="289"/>
      <c r="V434" s="57"/>
      <c r="W434" s="288"/>
      <c r="X434" s="288"/>
      <c r="Y434" s="296"/>
      <c r="Z434" s="57"/>
      <c r="AA434" s="203"/>
      <c r="AB434" s="288"/>
      <c r="AC434" s="201"/>
      <c r="AD434" s="298"/>
      <c r="AE434" s="297"/>
      <c r="AF434" s="58"/>
      <c r="AG434" s="204"/>
      <c r="AH434" s="57"/>
      <c r="AI434" s="201"/>
      <c r="AJ434" s="287"/>
      <c r="AK434" s="452"/>
      <c r="AL434" s="59"/>
      <c r="AM434" s="60"/>
      <c r="AO434" s="137" t="e">
        <f t="shared" si="42"/>
        <v>#N/A</v>
      </c>
      <c r="AP434" s="138" t="e">
        <f t="shared" si="43"/>
        <v>#N/A</v>
      </c>
      <c r="AQ434" s="138" t="e">
        <f t="shared" si="44"/>
        <v>#N/A</v>
      </c>
      <c r="AR434" s="138" t="e">
        <f t="shared" si="45"/>
        <v>#N/A</v>
      </c>
      <c r="AS434" s="138" t="e">
        <f t="shared" si="46"/>
        <v>#N/A</v>
      </c>
      <c r="AT434" s="139" t="e">
        <f t="shared" si="47"/>
        <v>#N/A</v>
      </c>
      <c r="BB434" s="16" t="s">
        <v>596</v>
      </c>
    </row>
    <row r="435" spans="1:54" ht="114" customHeight="1">
      <c r="A435" s="428">
        <f t="shared" si="49"/>
        <v>427</v>
      </c>
      <c r="B435" s="294"/>
      <c r="C435" s="201"/>
      <c r="D435" s="290"/>
      <c r="E435" s="301"/>
      <c r="F435" s="301"/>
      <c r="G435" s="290"/>
      <c r="H435" s="291"/>
      <c r="I435" s="292"/>
      <c r="J435" s="61"/>
      <c r="K435" s="57"/>
      <c r="L435" s="303"/>
      <c r="M435" s="201"/>
      <c r="N435" s="84" t="str">
        <f>IF($AI435&lt;&gt;"",Master!$N$37,IF($AC435&lt;&gt;"",Master!$N$38,IF($S435&lt;&gt;"",Master!$N$39,IF($C435&lt;&gt;"",Master!$N$40,Master!$N$41))))</f>
        <v>起票</v>
      </c>
      <c r="O435" s="202" t="str">
        <f>IF($N435=Master!$N$37,MAX($S435,$AC435,$AI435),"")</f>
        <v/>
      </c>
      <c r="P435" s="65"/>
      <c r="Q435" s="203"/>
      <c r="R435" s="57"/>
      <c r="S435" s="203"/>
      <c r="T435" s="310"/>
      <c r="U435" s="289"/>
      <c r="V435" s="57"/>
      <c r="W435" s="288"/>
      <c r="X435" s="288"/>
      <c r="Y435" s="296"/>
      <c r="Z435" s="57"/>
      <c r="AA435" s="203"/>
      <c r="AB435" s="288"/>
      <c r="AC435" s="201"/>
      <c r="AD435" s="298"/>
      <c r="AE435" s="297"/>
      <c r="AF435" s="58"/>
      <c r="AG435" s="204"/>
      <c r="AH435" s="57"/>
      <c r="AI435" s="201"/>
      <c r="AJ435" s="287"/>
      <c r="AK435" s="452"/>
      <c r="AL435" s="59"/>
      <c r="AM435" s="60"/>
      <c r="AO435" s="137" t="e">
        <f t="shared" si="42"/>
        <v>#N/A</v>
      </c>
      <c r="AP435" s="138" t="e">
        <f t="shared" si="43"/>
        <v>#N/A</v>
      </c>
      <c r="AQ435" s="138" t="e">
        <f t="shared" si="44"/>
        <v>#N/A</v>
      </c>
      <c r="AR435" s="138" t="e">
        <f t="shared" si="45"/>
        <v>#N/A</v>
      </c>
      <c r="AS435" s="138" t="e">
        <f t="shared" si="46"/>
        <v>#N/A</v>
      </c>
      <c r="AT435" s="139" t="e">
        <f t="shared" si="47"/>
        <v>#N/A</v>
      </c>
      <c r="BB435" s="16" t="s">
        <v>596</v>
      </c>
    </row>
    <row r="436" spans="1:54" ht="114" customHeight="1">
      <c r="A436" s="428">
        <f t="shared" si="49"/>
        <v>428</v>
      </c>
      <c r="B436" s="294"/>
      <c r="C436" s="201"/>
      <c r="D436" s="290"/>
      <c r="E436" s="301"/>
      <c r="F436" s="301"/>
      <c r="G436" s="290"/>
      <c r="H436" s="291"/>
      <c r="I436" s="292"/>
      <c r="J436" s="61"/>
      <c r="K436" s="57"/>
      <c r="L436" s="303"/>
      <c r="M436" s="201"/>
      <c r="N436" s="84" t="str">
        <f>IF($AI436&lt;&gt;"",Master!$N$37,IF($AC436&lt;&gt;"",Master!$N$38,IF($S436&lt;&gt;"",Master!$N$39,IF($C436&lt;&gt;"",Master!$N$40,Master!$N$41))))</f>
        <v>起票</v>
      </c>
      <c r="O436" s="202" t="str">
        <f>IF($N436=Master!$N$37,MAX($S436,$AC436,$AI436),"")</f>
        <v/>
      </c>
      <c r="P436" s="65"/>
      <c r="Q436" s="203"/>
      <c r="R436" s="57"/>
      <c r="S436" s="203"/>
      <c r="T436" s="310"/>
      <c r="U436" s="289"/>
      <c r="V436" s="57"/>
      <c r="W436" s="288"/>
      <c r="X436" s="288"/>
      <c r="Y436" s="296"/>
      <c r="Z436" s="57"/>
      <c r="AA436" s="203"/>
      <c r="AB436" s="288"/>
      <c r="AC436" s="201"/>
      <c r="AD436" s="298"/>
      <c r="AE436" s="297"/>
      <c r="AF436" s="58"/>
      <c r="AG436" s="204"/>
      <c r="AH436" s="57"/>
      <c r="AI436" s="201"/>
      <c r="AJ436" s="287"/>
      <c r="AK436" s="452"/>
      <c r="AL436" s="59"/>
      <c r="AM436" s="60"/>
      <c r="AO436" s="137" t="e">
        <f t="shared" si="42"/>
        <v>#N/A</v>
      </c>
      <c r="AP436" s="138" t="e">
        <f t="shared" si="43"/>
        <v>#N/A</v>
      </c>
      <c r="AQ436" s="138" t="e">
        <f t="shared" si="44"/>
        <v>#N/A</v>
      </c>
      <c r="AR436" s="138" t="e">
        <f t="shared" si="45"/>
        <v>#N/A</v>
      </c>
      <c r="AS436" s="138" t="e">
        <f t="shared" si="46"/>
        <v>#N/A</v>
      </c>
      <c r="AT436" s="139" t="e">
        <f t="shared" si="47"/>
        <v>#N/A</v>
      </c>
      <c r="BB436" s="16" t="s">
        <v>596</v>
      </c>
    </row>
    <row r="437" spans="1:54" ht="114" customHeight="1">
      <c r="A437" s="428">
        <f t="shared" si="49"/>
        <v>429</v>
      </c>
      <c r="B437" s="294"/>
      <c r="C437" s="201"/>
      <c r="D437" s="290"/>
      <c r="E437" s="301"/>
      <c r="F437" s="301"/>
      <c r="G437" s="290"/>
      <c r="H437" s="291"/>
      <c r="I437" s="292"/>
      <c r="J437" s="61"/>
      <c r="K437" s="57"/>
      <c r="L437" s="303"/>
      <c r="M437" s="201"/>
      <c r="N437" s="84" t="str">
        <f>IF($AI437&lt;&gt;"",Master!$N$37,IF($AC437&lt;&gt;"",Master!$N$38,IF($S437&lt;&gt;"",Master!$N$39,IF($C437&lt;&gt;"",Master!$N$40,Master!$N$41))))</f>
        <v>起票</v>
      </c>
      <c r="O437" s="202" t="str">
        <f>IF($N437=Master!$N$37,MAX($S437,$AC437,$AI437),"")</f>
        <v/>
      </c>
      <c r="P437" s="65"/>
      <c r="Q437" s="203"/>
      <c r="R437" s="57"/>
      <c r="S437" s="203"/>
      <c r="T437" s="310"/>
      <c r="U437" s="289"/>
      <c r="V437" s="57"/>
      <c r="W437" s="288"/>
      <c r="X437" s="288"/>
      <c r="Y437" s="427"/>
      <c r="Z437" s="57"/>
      <c r="AA437" s="203"/>
      <c r="AB437" s="288"/>
      <c r="AC437" s="201"/>
      <c r="AD437" s="298"/>
      <c r="AE437" s="297"/>
      <c r="AF437" s="58"/>
      <c r="AG437" s="204"/>
      <c r="AH437" s="57"/>
      <c r="AI437" s="201"/>
      <c r="AJ437" s="287"/>
      <c r="AK437" s="452"/>
      <c r="AL437" s="59"/>
      <c r="AM437" s="60"/>
      <c r="AO437" s="137" t="e">
        <f t="shared" si="42"/>
        <v>#N/A</v>
      </c>
      <c r="AP437" s="138" t="e">
        <f t="shared" si="43"/>
        <v>#N/A</v>
      </c>
      <c r="AQ437" s="138" t="e">
        <f t="shared" si="44"/>
        <v>#N/A</v>
      </c>
      <c r="AR437" s="138" t="e">
        <f t="shared" si="45"/>
        <v>#N/A</v>
      </c>
      <c r="AS437" s="138" t="e">
        <f t="shared" si="46"/>
        <v>#N/A</v>
      </c>
      <c r="AT437" s="139" t="e">
        <f t="shared" si="47"/>
        <v>#N/A</v>
      </c>
      <c r="BB437" s="16" t="s">
        <v>596</v>
      </c>
    </row>
    <row r="438" spans="1:54" ht="114" customHeight="1">
      <c r="A438" s="428">
        <f t="shared" si="49"/>
        <v>430</v>
      </c>
      <c r="B438" s="403"/>
      <c r="C438" s="404"/>
      <c r="D438" s="405"/>
      <c r="E438" s="405"/>
      <c r="F438" s="405"/>
      <c r="G438" s="405"/>
      <c r="H438" s="406"/>
      <c r="I438" s="407"/>
      <c r="J438" s="408"/>
      <c r="K438" s="409"/>
      <c r="L438" s="410"/>
      <c r="M438" s="404"/>
      <c r="N438" s="411" t="str">
        <f>IF($AI438&lt;&gt;"",Master!$N$37,IF($AC438&lt;&gt;"",Master!$N$38,IF($S438&lt;&gt;"",Master!$N$39,IF($C438&lt;&gt;"",Master!$N$40,Master!$N$41))))</f>
        <v>起票</v>
      </c>
      <c r="O438" s="412" t="str">
        <f>IF($N438=Master!$N$37,MAX($S438,$AC438,$AI438),"")</f>
        <v/>
      </c>
      <c r="P438" s="413"/>
      <c r="Q438" s="414"/>
      <c r="R438" s="409"/>
      <c r="S438" s="404"/>
      <c r="T438" s="418"/>
      <c r="U438" s="415"/>
      <c r="V438" s="409"/>
      <c r="W438" s="419"/>
      <c r="X438" s="419"/>
      <c r="Y438" s="416"/>
      <c r="Z438" s="417"/>
      <c r="AA438" s="418"/>
      <c r="AB438" s="419"/>
      <c r="AC438" s="404"/>
      <c r="AD438" s="404"/>
      <c r="AE438" s="420"/>
      <c r="AF438" s="421"/>
      <c r="AG438" s="418"/>
      <c r="AH438" s="409"/>
      <c r="AI438" s="404"/>
      <c r="AJ438" s="416"/>
      <c r="AK438" s="453"/>
      <c r="AL438" s="422"/>
      <c r="AM438" s="423"/>
      <c r="AO438" s="137" t="e">
        <f t="shared" si="42"/>
        <v>#N/A</v>
      </c>
      <c r="AP438" s="138" t="e">
        <f t="shared" si="43"/>
        <v>#N/A</v>
      </c>
      <c r="AQ438" s="138" t="e">
        <f t="shared" si="44"/>
        <v>#N/A</v>
      </c>
      <c r="AR438" s="138" t="e">
        <f t="shared" si="45"/>
        <v>#N/A</v>
      </c>
      <c r="AS438" s="138" t="e">
        <f t="shared" si="46"/>
        <v>#N/A</v>
      </c>
      <c r="AT438" s="139" t="e">
        <f t="shared" si="47"/>
        <v>#N/A</v>
      </c>
      <c r="BB438" s="16" t="s">
        <v>596</v>
      </c>
    </row>
    <row r="439" spans="1:54" ht="114" customHeight="1">
      <c r="A439" s="428">
        <f t="shared" si="49"/>
        <v>431</v>
      </c>
      <c r="B439" s="403"/>
      <c r="C439" s="404"/>
      <c r="D439" s="405"/>
      <c r="E439" s="405"/>
      <c r="F439" s="405"/>
      <c r="G439" s="405"/>
      <c r="H439" s="406"/>
      <c r="I439" s="407"/>
      <c r="J439" s="408"/>
      <c r="K439" s="409"/>
      <c r="L439" s="410"/>
      <c r="M439" s="404"/>
      <c r="N439" s="411" t="str">
        <f>IF($AI439&lt;&gt;"",Master!$N$37,IF($AC439&lt;&gt;"",Master!$N$38,IF($S439&lt;&gt;"",Master!$N$39,IF($C439&lt;&gt;"",Master!$N$40,Master!$N$41))))</f>
        <v>起票</v>
      </c>
      <c r="O439" s="412" t="str">
        <f>IF($N439=Master!$N$37,MAX($S439,$AC439,$AI439),"")</f>
        <v/>
      </c>
      <c r="P439" s="413"/>
      <c r="Q439" s="414"/>
      <c r="R439" s="409"/>
      <c r="S439" s="404"/>
      <c r="T439" s="418"/>
      <c r="U439" s="415"/>
      <c r="V439" s="409"/>
      <c r="W439" s="419"/>
      <c r="X439" s="419"/>
      <c r="Y439" s="416"/>
      <c r="Z439" s="417"/>
      <c r="AA439" s="418"/>
      <c r="AB439" s="419"/>
      <c r="AC439" s="404"/>
      <c r="AD439" s="404"/>
      <c r="AE439" s="420"/>
      <c r="AF439" s="421"/>
      <c r="AG439" s="418"/>
      <c r="AH439" s="409"/>
      <c r="AI439" s="404"/>
      <c r="AJ439" s="416"/>
      <c r="AK439" s="453"/>
      <c r="AL439" s="422"/>
      <c r="AM439" s="423"/>
      <c r="AO439" s="137" t="e">
        <f t="shared" si="42"/>
        <v>#N/A</v>
      </c>
      <c r="AP439" s="138" t="e">
        <f t="shared" si="43"/>
        <v>#N/A</v>
      </c>
      <c r="AQ439" s="138" t="e">
        <f t="shared" si="44"/>
        <v>#N/A</v>
      </c>
      <c r="AR439" s="138" t="e">
        <f t="shared" si="45"/>
        <v>#N/A</v>
      </c>
      <c r="AS439" s="138" t="e">
        <f t="shared" si="46"/>
        <v>#N/A</v>
      </c>
      <c r="AT439" s="139" t="e">
        <f t="shared" si="47"/>
        <v>#N/A</v>
      </c>
      <c r="BB439" s="16" t="s">
        <v>596</v>
      </c>
    </row>
    <row r="440" spans="1:54" ht="114" customHeight="1">
      <c r="A440" s="428">
        <f t="shared" si="49"/>
        <v>432</v>
      </c>
      <c r="B440" s="403"/>
      <c r="C440" s="404"/>
      <c r="D440" s="405"/>
      <c r="E440" s="405"/>
      <c r="F440" s="405"/>
      <c r="G440" s="405"/>
      <c r="H440" s="406"/>
      <c r="I440" s="407"/>
      <c r="J440" s="408"/>
      <c r="K440" s="409"/>
      <c r="L440" s="410"/>
      <c r="M440" s="404"/>
      <c r="N440" s="411" t="str">
        <f>IF($AI440&lt;&gt;"",Master!$N$37,IF($AC440&lt;&gt;"",Master!$N$38,IF($S440&lt;&gt;"",Master!$N$39,IF($C440&lt;&gt;"",Master!$N$40,Master!$N$41))))</f>
        <v>起票</v>
      </c>
      <c r="O440" s="412" t="str">
        <f>IF($N440=Master!$N$37,MAX($S440,$AC440,$AI440),"")</f>
        <v/>
      </c>
      <c r="P440" s="413"/>
      <c r="Q440" s="414"/>
      <c r="R440" s="409"/>
      <c r="S440" s="404"/>
      <c r="T440" s="418"/>
      <c r="U440" s="415"/>
      <c r="V440" s="409"/>
      <c r="W440" s="419"/>
      <c r="X440" s="419"/>
      <c r="Y440" s="416"/>
      <c r="Z440" s="417"/>
      <c r="AA440" s="418"/>
      <c r="AB440" s="419"/>
      <c r="AC440" s="404"/>
      <c r="AD440" s="404"/>
      <c r="AE440" s="420"/>
      <c r="AF440" s="421"/>
      <c r="AG440" s="418"/>
      <c r="AH440" s="409"/>
      <c r="AI440" s="404"/>
      <c r="AJ440" s="416"/>
      <c r="AK440" s="453"/>
      <c r="AL440" s="422"/>
      <c r="AM440" s="423"/>
      <c r="AO440" s="137" t="e">
        <f t="shared" si="42"/>
        <v>#N/A</v>
      </c>
      <c r="AP440" s="138" t="e">
        <f t="shared" si="43"/>
        <v>#N/A</v>
      </c>
      <c r="AQ440" s="138" t="e">
        <f t="shared" si="44"/>
        <v>#N/A</v>
      </c>
      <c r="AR440" s="138" t="e">
        <f t="shared" si="45"/>
        <v>#N/A</v>
      </c>
      <c r="AS440" s="138" t="e">
        <f t="shared" si="46"/>
        <v>#N/A</v>
      </c>
      <c r="AT440" s="139" t="e">
        <f t="shared" si="47"/>
        <v>#N/A</v>
      </c>
      <c r="BB440" s="16" t="s">
        <v>596</v>
      </c>
    </row>
    <row r="441" spans="1:54" ht="114" customHeight="1">
      <c r="A441" s="428">
        <f t="shared" si="49"/>
        <v>433</v>
      </c>
      <c r="B441" s="294"/>
      <c r="C441" s="201"/>
      <c r="D441" s="290"/>
      <c r="E441" s="301"/>
      <c r="F441" s="301"/>
      <c r="G441" s="290"/>
      <c r="H441" s="291"/>
      <c r="I441" s="292"/>
      <c r="J441" s="61"/>
      <c r="K441" s="57"/>
      <c r="L441" s="303"/>
      <c r="M441" s="201"/>
      <c r="N441" s="84" t="str">
        <f>IF($AI441&lt;&gt;"",Master!$N$37,IF($AC441&lt;&gt;"",Master!$N$38,IF($S441&lt;&gt;"",Master!$N$39,IF($C441&lt;&gt;"",Master!$N$40,Master!$N$41))))</f>
        <v>起票</v>
      </c>
      <c r="O441" s="202" t="str">
        <f>IF($N441=Master!$N$37,MAX($S441,$AC441,$AI441),"")</f>
        <v/>
      </c>
      <c r="P441" s="65"/>
      <c r="Q441" s="203"/>
      <c r="R441" s="57"/>
      <c r="S441" s="203"/>
      <c r="T441" s="310"/>
      <c r="U441" s="289"/>
      <c r="V441" s="57"/>
      <c r="W441" s="288"/>
      <c r="X441" s="288"/>
      <c r="Y441" s="296"/>
      <c r="Z441" s="57"/>
      <c r="AA441" s="203"/>
      <c r="AB441" s="288"/>
      <c r="AC441" s="201"/>
      <c r="AD441" s="298"/>
      <c r="AE441" s="297"/>
      <c r="AF441" s="58"/>
      <c r="AG441" s="204"/>
      <c r="AH441" s="57"/>
      <c r="AI441" s="201"/>
      <c r="AJ441" s="287"/>
      <c r="AK441" s="452"/>
      <c r="AL441" s="59"/>
      <c r="AM441" s="60"/>
      <c r="AO441" s="137" t="e">
        <f t="shared" si="42"/>
        <v>#N/A</v>
      </c>
      <c r="AP441" s="138" t="e">
        <f t="shared" si="43"/>
        <v>#N/A</v>
      </c>
      <c r="AQ441" s="138" t="e">
        <f t="shared" si="44"/>
        <v>#N/A</v>
      </c>
      <c r="AR441" s="138" t="e">
        <f t="shared" si="45"/>
        <v>#N/A</v>
      </c>
      <c r="AS441" s="138" t="e">
        <f t="shared" si="46"/>
        <v>#N/A</v>
      </c>
      <c r="AT441" s="139" t="e">
        <f t="shared" si="47"/>
        <v>#N/A</v>
      </c>
      <c r="BB441" s="16" t="s">
        <v>596</v>
      </c>
    </row>
    <row r="442" spans="1:54" ht="114" customHeight="1">
      <c r="A442" s="428">
        <f t="shared" si="49"/>
        <v>434</v>
      </c>
      <c r="B442" s="294"/>
      <c r="C442" s="201"/>
      <c r="D442" s="290"/>
      <c r="E442" s="301"/>
      <c r="F442" s="301"/>
      <c r="G442" s="290"/>
      <c r="H442" s="291"/>
      <c r="I442" s="292"/>
      <c r="J442" s="61"/>
      <c r="K442" s="57"/>
      <c r="L442" s="303"/>
      <c r="M442" s="201"/>
      <c r="N442" s="84" t="str">
        <f>IF($AI442&lt;&gt;"",Master!$N$37,IF($AC442&lt;&gt;"",Master!$N$38,IF($S442&lt;&gt;"",Master!$N$39,IF($C442&lt;&gt;"",Master!$N$40,Master!$N$41))))</f>
        <v>起票</v>
      </c>
      <c r="O442" s="202" t="str">
        <f>IF($N442=Master!$N$37,MAX($S442,$AC442,$AI442),"")</f>
        <v/>
      </c>
      <c r="P442" s="65"/>
      <c r="Q442" s="203"/>
      <c r="R442" s="57"/>
      <c r="S442" s="203"/>
      <c r="T442" s="310"/>
      <c r="U442" s="289"/>
      <c r="V442" s="57"/>
      <c r="W442" s="288"/>
      <c r="X442" s="288"/>
      <c r="Y442" s="296"/>
      <c r="Z442" s="57"/>
      <c r="AA442" s="203"/>
      <c r="AB442" s="288"/>
      <c r="AC442" s="201"/>
      <c r="AD442" s="298"/>
      <c r="AE442" s="297"/>
      <c r="AF442" s="58"/>
      <c r="AG442" s="204"/>
      <c r="AH442" s="57"/>
      <c r="AI442" s="201"/>
      <c r="AJ442" s="287"/>
      <c r="AK442" s="452"/>
      <c r="AL442" s="59"/>
      <c r="AM442" s="60"/>
      <c r="AO442" s="137" t="e">
        <f t="shared" si="42"/>
        <v>#N/A</v>
      </c>
      <c r="AP442" s="138" t="e">
        <f t="shared" si="43"/>
        <v>#N/A</v>
      </c>
      <c r="AQ442" s="138" t="e">
        <f t="shared" si="44"/>
        <v>#N/A</v>
      </c>
      <c r="AR442" s="138" t="e">
        <f t="shared" si="45"/>
        <v>#N/A</v>
      </c>
      <c r="AS442" s="138" t="e">
        <f t="shared" si="46"/>
        <v>#N/A</v>
      </c>
      <c r="AT442" s="139" t="e">
        <f t="shared" si="47"/>
        <v>#N/A</v>
      </c>
      <c r="BB442" s="16" t="s">
        <v>596</v>
      </c>
    </row>
    <row r="443" spans="1:54" ht="114" customHeight="1">
      <c r="A443" s="428">
        <f t="shared" si="49"/>
        <v>435</v>
      </c>
      <c r="B443" s="403"/>
      <c r="C443" s="404"/>
      <c r="D443" s="405"/>
      <c r="E443" s="405"/>
      <c r="F443" s="405"/>
      <c r="G443" s="405"/>
      <c r="H443" s="406"/>
      <c r="I443" s="407"/>
      <c r="J443" s="408"/>
      <c r="K443" s="409"/>
      <c r="L443" s="410"/>
      <c r="M443" s="404"/>
      <c r="N443" s="411" t="str">
        <f>IF($AI443&lt;&gt;"",Master!$N$37,IF($AC443&lt;&gt;"",Master!$N$38,IF($S443&lt;&gt;"",Master!$N$39,IF($C443&lt;&gt;"",Master!$N$40,Master!$N$41))))</f>
        <v>起票</v>
      </c>
      <c r="O443" s="412" t="str">
        <f>IF($N443=Master!$N$37,MAX($S443,$AC443,$AI443),"")</f>
        <v/>
      </c>
      <c r="P443" s="413"/>
      <c r="Q443" s="414"/>
      <c r="R443" s="409"/>
      <c r="S443" s="404"/>
      <c r="T443" s="418"/>
      <c r="U443" s="415"/>
      <c r="V443" s="409"/>
      <c r="W443" s="419"/>
      <c r="X443" s="419"/>
      <c r="Y443" s="416"/>
      <c r="Z443" s="417"/>
      <c r="AA443" s="418"/>
      <c r="AB443" s="419"/>
      <c r="AC443" s="404"/>
      <c r="AD443" s="404"/>
      <c r="AE443" s="420"/>
      <c r="AF443" s="421"/>
      <c r="AG443" s="418"/>
      <c r="AH443" s="409"/>
      <c r="AI443" s="404"/>
      <c r="AJ443" s="416"/>
      <c r="AK443" s="453"/>
      <c r="AL443" s="422"/>
      <c r="AM443" s="423"/>
      <c r="AO443" s="137" t="e">
        <f t="shared" si="42"/>
        <v>#N/A</v>
      </c>
      <c r="AP443" s="138" t="e">
        <f t="shared" si="43"/>
        <v>#N/A</v>
      </c>
      <c r="AQ443" s="138" t="e">
        <f t="shared" si="44"/>
        <v>#N/A</v>
      </c>
      <c r="AR443" s="138" t="e">
        <f t="shared" si="45"/>
        <v>#N/A</v>
      </c>
      <c r="AS443" s="138" t="e">
        <f t="shared" si="46"/>
        <v>#N/A</v>
      </c>
      <c r="AT443" s="139" t="e">
        <f t="shared" si="47"/>
        <v>#N/A</v>
      </c>
      <c r="BB443" s="16" t="s">
        <v>596</v>
      </c>
    </row>
    <row r="444" spans="1:54" ht="114" customHeight="1">
      <c r="A444" s="428">
        <f t="shared" si="49"/>
        <v>436</v>
      </c>
      <c r="B444" s="294"/>
      <c r="C444" s="201"/>
      <c r="D444" s="290"/>
      <c r="E444" s="301"/>
      <c r="F444" s="301"/>
      <c r="G444" s="290"/>
      <c r="H444" s="291"/>
      <c r="I444" s="292"/>
      <c r="J444" s="61"/>
      <c r="K444" s="57"/>
      <c r="L444" s="303"/>
      <c r="M444" s="201"/>
      <c r="N444" s="84" t="str">
        <f>IF($AI444&lt;&gt;"",Master!$N$37,IF($AC444&lt;&gt;"",Master!$N$38,IF($S444&lt;&gt;"",Master!$N$39,IF($C444&lt;&gt;"",Master!$N$40,Master!$N$41))))</f>
        <v>起票</v>
      </c>
      <c r="O444" s="202" t="str">
        <f>IF($N444=Master!$N$37,MAX($S444,$AC444,$AI444),"")</f>
        <v/>
      </c>
      <c r="P444" s="65"/>
      <c r="Q444" s="203"/>
      <c r="R444" s="57"/>
      <c r="S444" s="203"/>
      <c r="T444" s="310"/>
      <c r="U444" s="289"/>
      <c r="V444" s="57"/>
      <c r="W444" s="288"/>
      <c r="X444" s="288"/>
      <c r="Y444" s="296"/>
      <c r="Z444" s="57"/>
      <c r="AA444" s="203"/>
      <c r="AB444" s="288"/>
      <c r="AC444" s="201"/>
      <c r="AD444" s="298"/>
      <c r="AE444" s="297"/>
      <c r="AF444" s="58"/>
      <c r="AG444" s="204"/>
      <c r="AH444" s="57"/>
      <c r="AI444" s="201"/>
      <c r="AJ444" s="287"/>
      <c r="AK444" s="452"/>
      <c r="AL444" s="59"/>
      <c r="AM444" s="60"/>
      <c r="AO444" s="137" t="e">
        <f t="shared" si="35"/>
        <v>#N/A</v>
      </c>
      <c r="AP444" s="138" t="e">
        <f t="shared" si="36"/>
        <v>#N/A</v>
      </c>
      <c r="AQ444" s="138" t="e">
        <f t="shared" si="37"/>
        <v>#N/A</v>
      </c>
      <c r="AR444" s="138" t="e">
        <f t="shared" si="38"/>
        <v>#N/A</v>
      </c>
      <c r="AS444" s="138" t="e">
        <f t="shared" si="39"/>
        <v>#N/A</v>
      </c>
      <c r="AT444" s="139" t="e">
        <f t="shared" si="40"/>
        <v>#N/A</v>
      </c>
      <c r="BB444" s="16" t="s">
        <v>596</v>
      </c>
    </row>
    <row r="445" spans="1:54" ht="114" customHeight="1">
      <c r="A445" s="428">
        <f t="shared" si="49"/>
        <v>437</v>
      </c>
      <c r="B445" s="294"/>
      <c r="C445" s="201"/>
      <c r="D445" s="290"/>
      <c r="E445" s="301"/>
      <c r="F445" s="301"/>
      <c r="G445" s="290"/>
      <c r="H445" s="291"/>
      <c r="I445" s="292"/>
      <c r="J445" s="61"/>
      <c r="K445" s="57"/>
      <c r="L445" s="303"/>
      <c r="M445" s="201"/>
      <c r="N445" s="84" t="str">
        <f>IF($AI445&lt;&gt;"",Master!$N$37,IF($AC445&lt;&gt;"",Master!$N$38,IF($S445&lt;&gt;"",Master!$N$39,IF($C445&lt;&gt;"",Master!$N$40,Master!$N$41))))</f>
        <v>起票</v>
      </c>
      <c r="O445" s="202" t="str">
        <f>IF($N445=Master!$N$37,MAX($S445,$AC445,$AI445),"")</f>
        <v/>
      </c>
      <c r="P445" s="65"/>
      <c r="Q445" s="203"/>
      <c r="R445" s="57"/>
      <c r="S445" s="203"/>
      <c r="T445" s="310"/>
      <c r="U445" s="289"/>
      <c r="V445" s="57"/>
      <c r="W445" s="288"/>
      <c r="X445" s="288"/>
      <c r="Y445" s="296"/>
      <c r="Z445" s="57"/>
      <c r="AA445" s="203"/>
      <c r="AB445" s="288"/>
      <c r="AC445" s="201"/>
      <c r="AD445" s="298"/>
      <c r="AE445" s="297"/>
      <c r="AF445" s="58"/>
      <c r="AG445" s="204"/>
      <c r="AH445" s="57"/>
      <c r="AI445" s="201"/>
      <c r="AJ445" s="287"/>
      <c r="AK445" s="452"/>
      <c r="AL445" s="59"/>
      <c r="AM445" s="60"/>
      <c r="AO445" s="137" t="e">
        <f t="shared" si="35"/>
        <v>#N/A</v>
      </c>
      <c r="AP445" s="138" t="e">
        <f t="shared" si="36"/>
        <v>#N/A</v>
      </c>
      <c r="AQ445" s="138" t="e">
        <f t="shared" si="37"/>
        <v>#N/A</v>
      </c>
      <c r="AR445" s="138" t="e">
        <f t="shared" si="38"/>
        <v>#N/A</v>
      </c>
      <c r="AS445" s="138" t="e">
        <f t="shared" si="39"/>
        <v>#N/A</v>
      </c>
      <c r="AT445" s="139" t="e">
        <f t="shared" si="40"/>
        <v>#N/A</v>
      </c>
      <c r="BB445" s="16" t="s">
        <v>596</v>
      </c>
    </row>
    <row r="446" spans="1:54" ht="114" customHeight="1">
      <c r="A446" s="428">
        <f t="shared" si="49"/>
        <v>438</v>
      </c>
      <c r="B446" s="294"/>
      <c r="C446" s="201"/>
      <c r="D446" s="290"/>
      <c r="E446" s="301"/>
      <c r="F446" s="301"/>
      <c r="G446" s="290"/>
      <c r="H446" s="291"/>
      <c r="I446" s="292"/>
      <c r="J446" s="61"/>
      <c r="K446" s="57"/>
      <c r="L446" s="303"/>
      <c r="M446" s="201"/>
      <c r="N446" s="84" t="str">
        <f>IF($AI446&lt;&gt;"",Master!$N$37,IF($AC446&lt;&gt;"",Master!$N$38,IF($S446&lt;&gt;"",Master!$N$39,IF($C446&lt;&gt;"",Master!$N$40,Master!$N$41))))</f>
        <v>起票</v>
      </c>
      <c r="O446" s="202" t="str">
        <f>IF($N446=Master!$N$37,MAX($S446,$AC446,$AI446),"")</f>
        <v/>
      </c>
      <c r="P446" s="65"/>
      <c r="Q446" s="203"/>
      <c r="R446" s="57"/>
      <c r="S446" s="203"/>
      <c r="T446" s="310"/>
      <c r="U446" s="289"/>
      <c r="V446" s="57"/>
      <c r="W446" s="288"/>
      <c r="X446" s="288"/>
      <c r="Y446" s="296"/>
      <c r="Z446" s="57"/>
      <c r="AA446" s="203"/>
      <c r="AB446" s="288"/>
      <c r="AC446" s="201"/>
      <c r="AD446" s="298"/>
      <c r="AE446" s="297"/>
      <c r="AF446" s="58"/>
      <c r="AG446" s="204"/>
      <c r="AH446" s="57"/>
      <c r="AI446" s="201"/>
      <c r="AJ446" s="287"/>
      <c r="AK446" s="452"/>
      <c r="AL446" s="59"/>
      <c r="AM446" s="60"/>
      <c r="AO446" s="137" t="e">
        <f t="shared" si="35"/>
        <v>#N/A</v>
      </c>
      <c r="AP446" s="138" t="e">
        <f t="shared" si="36"/>
        <v>#N/A</v>
      </c>
      <c r="AQ446" s="138" t="e">
        <f t="shared" si="37"/>
        <v>#N/A</v>
      </c>
      <c r="AR446" s="138" t="e">
        <f t="shared" si="38"/>
        <v>#N/A</v>
      </c>
      <c r="AS446" s="138" t="e">
        <f t="shared" si="39"/>
        <v>#N/A</v>
      </c>
      <c r="AT446" s="139" t="e">
        <f t="shared" si="40"/>
        <v>#N/A</v>
      </c>
      <c r="BB446" s="16" t="s">
        <v>596</v>
      </c>
    </row>
    <row r="447" spans="1:54" ht="114" customHeight="1">
      <c r="A447" s="428">
        <f t="shared" si="49"/>
        <v>439</v>
      </c>
      <c r="B447" s="294"/>
      <c r="C447" s="201"/>
      <c r="D447" s="290"/>
      <c r="E447" s="301"/>
      <c r="F447" s="301"/>
      <c r="G447" s="290"/>
      <c r="H447" s="291"/>
      <c r="I447" s="292"/>
      <c r="J447" s="61"/>
      <c r="K447" s="57"/>
      <c r="L447" s="303"/>
      <c r="M447" s="201"/>
      <c r="N447" s="84" t="str">
        <f>IF($AI447&lt;&gt;"",Master!$N$37,IF($AC447&lt;&gt;"",Master!$N$38,IF($S447&lt;&gt;"",Master!$N$39,IF($C447&lt;&gt;"",Master!$N$40,Master!$N$41))))</f>
        <v>起票</v>
      </c>
      <c r="O447" s="202" t="str">
        <f>IF($N447=Master!$N$37,MAX($S447,$AC447,$AI447),"")</f>
        <v/>
      </c>
      <c r="P447" s="65"/>
      <c r="Q447" s="203"/>
      <c r="R447" s="57"/>
      <c r="S447" s="203"/>
      <c r="T447" s="310"/>
      <c r="U447" s="289"/>
      <c r="V447" s="57"/>
      <c r="W447" s="288"/>
      <c r="X447" s="288"/>
      <c r="Y447" s="296"/>
      <c r="Z447" s="57"/>
      <c r="AA447" s="203"/>
      <c r="AB447" s="288"/>
      <c r="AC447" s="201"/>
      <c r="AD447" s="298"/>
      <c r="AE447" s="297"/>
      <c r="AF447" s="58"/>
      <c r="AG447" s="204"/>
      <c r="AH447" s="57"/>
      <c r="AI447" s="201"/>
      <c r="AJ447" s="287"/>
      <c r="AK447" s="452"/>
      <c r="AL447" s="59"/>
      <c r="AM447" s="60"/>
      <c r="AO447" s="137" t="e">
        <f t="shared" si="35"/>
        <v>#N/A</v>
      </c>
      <c r="AP447" s="138" t="e">
        <f t="shared" si="36"/>
        <v>#N/A</v>
      </c>
      <c r="AQ447" s="138" t="e">
        <f t="shared" si="37"/>
        <v>#N/A</v>
      </c>
      <c r="AR447" s="138" t="e">
        <f t="shared" si="38"/>
        <v>#N/A</v>
      </c>
      <c r="AS447" s="138" t="e">
        <f t="shared" si="39"/>
        <v>#N/A</v>
      </c>
      <c r="AT447" s="139" t="e">
        <f t="shared" si="40"/>
        <v>#N/A</v>
      </c>
      <c r="BB447" s="16" t="s">
        <v>596</v>
      </c>
    </row>
    <row r="448" spans="1:54" ht="114" customHeight="1">
      <c r="A448" s="428">
        <f t="shared" si="49"/>
        <v>440</v>
      </c>
      <c r="B448" s="294"/>
      <c r="C448" s="201"/>
      <c r="D448" s="290"/>
      <c r="E448" s="301"/>
      <c r="F448" s="301"/>
      <c r="G448" s="290"/>
      <c r="H448" s="291"/>
      <c r="I448" s="292"/>
      <c r="J448" s="61"/>
      <c r="K448" s="57"/>
      <c r="L448" s="303"/>
      <c r="M448" s="201"/>
      <c r="N448" s="84" t="str">
        <f>IF($AI448&lt;&gt;"",Master!$N$37,IF($AC448&lt;&gt;"",Master!$N$38,IF($S448&lt;&gt;"",Master!$N$39,IF($C448&lt;&gt;"",Master!$N$40,Master!$N$41))))</f>
        <v>起票</v>
      </c>
      <c r="O448" s="202" t="str">
        <f>IF($N448=Master!$N$37,MAX($S448,$AC448,$AI448),"")</f>
        <v/>
      </c>
      <c r="P448" s="65"/>
      <c r="Q448" s="203"/>
      <c r="R448" s="57"/>
      <c r="S448" s="203"/>
      <c r="T448" s="310"/>
      <c r="U448" s="289"/>
      <c r="V448" s="57"/>
      <c r="W448" s="288"/>
      <c r="X448" s="288"/>
      <c r="Y448" s="296"/>
      <c r="Z448" s="57"/>
      <c r="AA448" s="203"/>
      <c r="AB448" s="288"/>
      <c r="AC448" s="201"/>
      <c r="AD448" s="298"/>
      <c r="AE448" s="297"/>
      <c r="AF448" s="58"/>
      <c r="AG448" s="204"/>
      <c r="AH448" s="57"/>
      <c r="AI448" s="201"/>
      <c r="AJ448" s="287"/>
      <c r="AK448" s="452"/>
      <c r="AL448" s="59"/>
      <c r="AM448" s="60"/>
      <c r="AO448" s="137" t="e">
        <f t="shared" si="35"/>
        <v>#N/A</v>
      </c>
      <c r="AP448" s="138" t="e">
        <f t="shared" si="36"/>
        <v>#N/A</v>
      </c>
      <c r="AQ448" s="138" t="e">
        <f t="shared" si="37"/>
        <v>#N/A</v>
      </c>
      <c r="AR448" s="138" t="e">
        <f t="shared" si="38"/>
        <v>#N/A</v>
      </c>
      <c r="AS448" s="138" t="e">
        <f t="shared" si="39"/>
        <v>#N/A</v>
      </c>
      <c r="AT448" s="139" t="e">
        <f t="shared" si="40"/>
        <v>#N/A</v>
      </c>
      <c r="BB448" s="16" t="s">
        <v>596</v>
      </c>
    </row>
    <row r="449" spans="1:54" ht="114" customHeight="1">
      <c r="A449" s="428">
        <f t="shared" si="49"/>
        <v>441</v>
      </c>
      <c r="B449" s="403"/>
      <c r="C449" s="404"/>
      <c r="D449" s="405"/>
      <c r="E449" s="405"/>
      <c r="F449" s="405"/>
      <c r="G449" s="405"/>
      <c r="H449" s="406"/>
      <c r="I449" s="407"/>
      <c r="J449" s="408"/>
      <c r="K449" s="409"/>
      <c r="L449" s="410"/>
      <c r="M449" s="404"/>
      <c r="N449" s="411" t="str">
        <f>IF($AI449&lt;&gt;"",Master!$N$37,IF($AC449&lt;&gt;"",Master!$N$38,IF($S449&lt;&gt;"",Master!$N$39,IF($C449&lt;&gt;"",Master!$N$40,Master!$N$41))))</f>
        <v>起票</v>
      </c>
      <c r="O449" s="412" t="str">
        <f>IF($N449=Master!$N$37,MAX($S449,$AC449,$AI449),"")</f>
        <v/>
      </c>
      <c r="P449" s="413"/>
      <c r="Q449" s="414"/>
      <c r="R449" s="409"/>
      <c r="S449" s="404"/>
      <c r="T449" s="418"/>
      <c r="U449" s="415"/>
      <c r="V449" s="409"/>
      <c r="W449" s="419"/>
      <c r="X449" s="419"/>
      <c r="Y449" s="416"/>
      <c r="Z449" s="417"/>
      <c r="AA449" s="418"/>
      <c r="AB449" s="419"/>
      <c r="AC449" s="404"/>
      <c r="AD449" s="404"/>
      <c r="AE449" s="420"/>
      <c r="AF449" s="421"/>
      <c r="AG449" s="418"/>
      <c r="AH449" s="409"/>
      <c r="AI449" s="404"/>
      <c r="AJ449" s="416"/>
      <c r="AK449" s="453"/>
      <c r="AL449" s="422"/>
      <c r="AM449" s="423"/>
      <c r="AO449" s="137" t="e">
        <f t="shared" si="35"/>
        <v>#N/A</v>
      </c>
      <c r="AP449" s="138" t="e">
        <f t="shared" si="36"/>
        <v>#N/A</v>
      </c>
      <c r="AQ449" s="138" t="e">
        <f t="shared" si="37"/>
        <v>#N/A</v>
      </c>
      <c r="AR449" s="138" t="e">
        <f t="shared" si="38"/>
        <v>#N/A</v>
      </c>
      <c r="AS449" s="138" t="e">
        <f t="shared" si="39"/>
        <v>#N/A</v>
      </c>
      <c r="AT449" s="139" t="e">
        <f t="shared" si="40"/>
        <v>#N/A</v>
      </c>
      <c r="BB449" s="16" t="s">
        <v>596</v>
      </c>
    </row>
    <row r="450" spans="1:54" ht="114" customHeight="1">
      <c r="A450" s="428">
        <f t="shared" si="49"/>
        <v>442</v>
      </c>
      <c r="B450" s="403"/>
      <c r="C450" s="404"/>
      <c r="D450" s="405"/>
      <c r="E450" s="405"/>
      <c r="F450" s="405"/>
      <c r="G450" s="405"/>
      <c r="H450" s="406"/>
      <c r="I450" s="407"/>
      <c r="J450" s="408"/>
      <c r="K450" s="409"/>
      <c r="L450" s="410"/>
      <c r="M450" s="404"/>
      <c r="N450" s="411" t="str">
        <f>IF($AI450&lt;&gt;"",Master!$N$37,IF($AC450&lt;&gt;"",Master!$N$38,IF($S450&lt;&gt;"",Master!$N$39,IF($C450&lt;&gt;"",Master!$N$40,Master!$N$41))))</f>
        <v>起票</v>
      </c>
      <c r="O450" s="412" t="str">
        <f>IF($N450=Master!$N$37,MAX($S450,$AC450,$AI450),"")</f>
        <v/>
      </c>
      <c r="P450" s="413"/>
      <c r="Q450" s="414"/>
      <c r="R450" s="409"/>
      <c r="S450" s="404"/>
      <c r="T450" s="418"/>
      <c r="U450" s="415"/>
      <c r="V450" s="409"/>
      <c r="W450" s="419"/>
      <c r="X450" s="419"/>
      <c r="Y450" s="416"/>
      <c r="Z450" s="417"/>
      <c r="AA450" s="418"/>
      <c r="AB450" s="419"/>
      <c r="AC450" s="404"/>
      <c r="AD450" s="404"/>
      <c r="AE450" s="420"/>
      <c r="AF450" s="421"/>
      <c r="AG450" s="418"/>
      <c r="AH450" s="409"/>
      <c r="AI450" s="404"/>
      <c r="AJ450" s="416"/>
      <c r="AK450" s="453"/>
      <c r="AL450" s="422"/>
      <c r="AM450" s="423"/>
      <c r="AO450" s="137" t="e">
        <f t="shared" si="35"/>
        <v>#N/A</v>
      </c>
      <c r="AP450" s="138" t="e">
        <f t="shared" si="36"/>
        <v>#N/A</v>
      </c>
      <c r="AQ450" s="138" t="e">
        <f t="shared" si="37"/>
        <v>#N/A</v>
      </c>
      <c r="AR450" s="138" t="e">
        <f t="shared" si="38"/>
        <v>#N/A</v>
      </c>
      <c r="AS450" s="138" t="e">
        <f t="shared" si="39"/>
        <v>#N/A</v>
      </c>
      <c r="AT450" s="139" t="e">
        <f t="shared" si="40"/>
        <v>#N/A</v>
      </c>
      <c r="BB450" s="16" t="s">
        <v>596</v>
      </c>
    </row>
    <row r="451" spans="1:54" ht="114" customHeight="1">
      <c r="A451" s="428">
        <f t="shared" si="49"/>
        <v>443</v>
      </c>
      <c r="B451" s="403"/>
      <c r="C451" s="404"/>
      <c r="D451" s="405"/>
      <c r="E451" s="405"/>
      <c r="F451" s="405"/>
      <c r="G451" s="405"/>
      <c r="H451" s="406"/>
      <c r="I451" s="407"/>
      <c r="J451" s="408"/>
      <c r="K451" s="409"/>
      <c r="L451" s="410"/>
      <c r="M451" s="404"/>
      <c r="N451" s="411" t="str">
        <f>IF($AI451&lt;&gt;"",Master!$N$37,IF($AC451&lt;&gt;"",Master!$N$38,IF($S451&lt;&gt;"",Master!$N$39,IF($C451&lt;&gt;"",Master!$N$40,Master!$N$41))))</f>
        <v>起票</v>
      </c>
      <c r="O451" s="412" t="str">
        <f>IF($N451=Master!$N$37,MAX($S451,$AC451,$AI451),"")</f>
        <v/>
      </c>
      <c r="P451" s="413"/>
      <c r="Q451" s="414"/>
      <c r="R451" s="409"/>
      <c r="S451" s="404"/>
      <c r="T451" s="418"/>
      <c r="U451" s="415"/>
      <c r="V451" s="409"/>
      <c r="W451" s="419"/>
      <c r="X451" s="419"/>
      <c r="Y451" s="416"/>
      <c r="Z451" s="417"/>
      <c r="AA451" s="418"/>
      <c r="AB451" s="419"/>
      <c r="AC451" s="404"/>
      <c r="AD451" s="404"/>
      <c r="AE451" s="420"/>
      <c r="AF451" s="421"/>
      <c r="AG451" s="418"/>
      <c r="AH451" s="409"/>
      <c r="AI451" s="404"/>
      <c r="AJ451" s="416"/>
      <c r="AK451" s="453"/>
      <c r="AL451" s="422"/>
      <c r="AM451" s="423"/>
      <c r="AO451" s="137" t="e">
        <f t="shared" si="35"/>
        <v>#N/A</v>
      </c>
      <c r="AP451" s="138" t="e">
        <f t="shared" si="36"/>
        <v>#N/A</v>
      </c>
      <c r="AQ451" s="138" t="e">
        <f t="shared" si="37"/>
        <v>#N/A</v>
      </c>
      <c r="AR451" s="138" t="e">
        <f t="shared" si="38"/>
        <v>#N/A</v>
      </c>
      <c r="AS451" s="138" t="e">
        <f t="shared" si="39"/>
        <v>#N/A</v>
      </c>
      <c r="AT451" s="139" t="e">
        <f t="shared" si="40"/>
        <v>#N/A</v>
      </c>
      <c r="BB451" s="16" t="s">
        <v>596</v>
      </c>
    </row>
    <row r="452" spans="1:54" ht="114" customHeight="1">
      <c r="A452" s="428">
        <f t="shared" si="49"/>
        <v>444</v>
      </c>
      <c r="B452" s="294"/>
      <c r="C452" s="201"/>
      <c r="D452" s="290"/>
      <c r="E452" s="301"/>
      <c r="F452" s="301"/>
      <c r="G452" s="290"/>
      <c r="H452" s="291"/>
      <c r="I452" s="292"/>
      <c r="J452" s="61"/>
      <c r="K452" s="57"/>
      <c r="L452" s="303"/>
      <c r="M452" s="201"/>
      <c r="N452" s="84" t="str">
        <f>IF($AI452&lt;&gt;"",Master!$N$37,IF($AC452&lt;&gt;"",Master!$N$38,IF($S452&lt;&gt;"",Master!$N$39,IF($C452&lt;&gt;"",Master!$N$40,Master!$N$41))))</f>
        <v>起票</v>
      </c>
      <c r="O452" s="202" t="str">
        <f>IF($N452=Master!$N$37,MAX($S452,$AC452,$AI452),"")</f>
        <v/>
      </c>
      <c r="P452" s="65"/>
      <c r="Q452" s="203"/>
      <c r="R452" s="57"/>
      <c r="S452" s="203"/>
      <c r="T452" s="310"/>
      <c r="U452" s="289"/>
      <c r="V452" s="57"/>
      <c r="W452" s="288"/>
      <c r="X452" s="288"/>
      <c r="Y452" s="296"/>
      <c r="Z452" s="57"/>
      <c r="AA452" s="203"/>
      <c r="AB452" s="288"/>
      <c r="AC452" s="201"/>
      <c r="AD452" s="298"/>
      <c r="AE452" s="297"/>
      <c r="AF452" s="58"/>
      <c r="AG452" s="204"/>
      <c r="AH452" s="57"/>
      <c r="AI452" s="201"/>
      <c r="AJ452" s="287"/>
      <c r="AK452" s="452"/>
      <c r="AL452" s="59"/>
      <c r="AM452" s="60"/>
      <c r="AO452" s="137" t="e">
        <f t="shared" si="35"/>
        <v>#N/A</v>
      </c>
      <c r="AP452" s="138" t="e">
        <f t="shared" si="36"/>
        <v>#N/A</v>
      </c>
      <c r="AQ452" s="138" t="e">
        <f t="shared" si="37"/>
        <v>#N/A</v>
      </c>
      <c r="AR452" s="138" t="e">
        <f t="shared" si="38"/>
        <v>#N/A</v>
      </c>
      <c r="AS452" s="138" t="e">
        <f t="shared" si="39"/>
        <v>#N/A</v>
      </c>
      <c r="AT452" s="139" t="e">
        <f t="shared" si="40"/>
        <v>#N/A</v>
      </c>
      <c r="BB452" s="16" t="s">
        <v>596</v>
      </c>
    </row>
    <row r="453" spans="1:54" ht="114" customHeight="1">
      <c r="A453" s="428">
        <f t="shared" si="49"/>
        <v>445</v>
      </c>
      <c r="B453" s="294"/>
      <c r="C453" s="201"/>
      <c r="D453" s="290"/>
      <c r="E453" s="301"/>
      <c r="F453" s="301"/>
      <c r="G453" s="290"/>
      <c r="H453" s="291"/>
      <c r="I453" s="292"/>
      <c r="J453" s="61"/>
      <c r="K453" s="57"/>
      <c r="L453" s="303"/>
      <c r="M453" s="201"/>
      <c r="N453" s="84" t="str">
        <f>IF($AI453&lt;&gt;"",Master!$N$37,IF($AC453&lt;&gt;"",Master!$N$38,IF($S453&lt;&gt;"",Master!$N$39,IF($C453&lt;&gt;"",Master!$N$40,Master!$N$41))))</f>
        <v>起票</v>
      </c>
      <c r="O453" s="202" t="str">
        <f>IF($N453=Master!$N$37,MAX($S453,$AC453,$AI453),"")</f>
        <v/>
      </c>
      <c r="P453" s="65"/>
      <c r="Q453" s="203"/>
      <c r="R453" s="57"/>
      <c r="S453" s="203"/>
      <c r="T453" s="310"/>
      <c r="U453" s="289"/>
      <c r="V453" s="57"/>
      <c r="W453" s="288"/>
      <c r="X453" s="288"/>
      <c r="Y453" s="296"/>
      <c r="Z453" s="57"/>
      <c r="AA453" s="203"/>
      <c r="AB453" s="288"/>
      <c r="AC453" s="201"/>
      <c r="AD453" s="298"/>
      <c r="AE453" s="297"/>
      <c r="AF453" s="58"/>
      <c r="AG453" s="204"/>
      <c r="AH453" s="57"/>
      <c r="AI453" s="201"/>
      <c r="AJ453" s="287"/>
      <c r="AK453" s="452"/>
      <c r="AL453" s="59"/>
      <c r="AM453" s="60"/>
      <c r="AO453" s="137" t="e">
        <f t="shared" si="35"/>
        <v>#N/A</v>
      </c>
      <c r="AP453" s="138" t="e">
        <f t="shared" si="36"/>
        <v>#N/A</v>
      </c>
      <c r="AQ453" s="138" t="e">
        <f t="shared" si="37"/>
        <v>#N/A</v>
      </c>
      <c r="AR453" s="138" t="e">
        <f t="shared" si="38"/>
        <v>#N/A</v>
      </c>
      <c r="AS453" s="138" t="e">
        <f t="shared" si="39"/>
        <v>#N/A</v>
      </c>
      <c r="AT453" s="139" t="e">
        <f t="shared" si="40"/>
        <v>#N/A</v>
      </c>
      <c r="BB453" s="16" t="s">
        <v>596</v>
      </c>
    </row>
    <row r="454" spans="1:54" ht="114" customHeight="1">
      <c r="A454" s="428">
        <f t="shared" si="49"/>
        <v>446</v>
      </c>
      <c r="B454" s="403"/>
      <c r="C454" s="404"/>
      <c r="D454" s="405"/>
      <c r="E454" s="405"/>
      <c r="F454" s="405"/>
      <c r="G454" s="405"/>
      <c r="H454" s="406"/>
      <c r="I454" s="407"/>
      <c r="J454" s="408"/>
      <c r="K454" s="409"/>
      <c r="L454" s="410"/>
      <c r="M454" s="404"/>
      <c r="N454" s="411" t="str">
        <f>IF($AI454&lt;&gt;"",Master!$N$37,IF($AC454&lt;&gt;"",Master!$N$38,IF($S454&lt;&gt;"",Master!$N$39,IF($C454&lt;&gt;"",Master!$N$40,Master!$N$41))))</f>
        <v>起票</v>
      </c>
      <c r="O454" s="412" t="str">
        <f>IF($N454=Master!$N$37,MAX($S454,$AC454,$AI454),"")</f>
        <v/>
      </c>
      <c r="P454" s="413"/>
      <c r="Q454" s="414"/>
      <c r="R454" s="409"/>
      <c r="S454" s="404"/>
      <c r="T454" s="418"/>
      <c r="U454" s="415"/>
      <c r="V454" s="409"/>
      <c r="W454" s="419"/>
      <c r="X454" s="419"/>
      <c r="Y454" s="416"/>
      <c r="Z454" s="417"/>
      <c r="AA454" s="418"/>
      <c r="AB454" s="419"/>
      <c r="AC454" s="404"/>
      <c r="AD454" s="404"/>
      <c r="AE454" s="420"/>
      <c r="AF454" s="421"/>
      <c r="AG454" s="418"/>
      <c r="AH454" s="409"/>
      <c r="AI454" s="404"/>
      <c r="AJ454" s="416"/>
      <c r="AK454" s="453"/>
      <c r="AL454" s="422"/>
      <c r="AM454" s="423"/>
      <c r="AO454" s="137" t="e">
        <f t="shared" si="35"/>
        <v>#N/A</v>
      </c>
      <c r="AP454" s="138" t="e">
        <f t="shared" si="36"/>
        <v>#N/A</v>
      </c>
      <c r="AQ454" s="138" t="e">
        <f t="shared" si="37"/>
        <v>#N/A</v>
      </c>
      <c r="AR454" s="138" t="e">
        <f t="shared" si="38"/>
        <v>#N/A</v>
      </c>
      <c r="AS454" s="138" t="e">
        <f t="shared" si="39"/>
        <v>#N/A</v>
      </c>
      <c r="AT454" s="139" t="e">
        <f t="shared" si="40"/>
        <v>#N/A</v>
      </c>
      <c r="BB454" s="16" t="s">
        <v>596</v>
      </c>
    </row>
    <row r="455" spans="1:54" ht="114" customHeight="1">
      <c r="A455" s="428">
        <f t="shared" si="49"/>
        <v>447</v>
      </c>
      <c r="B455" s="403"/>
      <c r="C455" s="404"/>
      <c r="D455" s="405"/>
      <c r="E455" s="405"/>
      <c r="F455" s="405"/>
      <c r="G455" s="405"/>
      <c r="H455" s="406"/>
      <c r="I455" s="407"/>
      <c r="J455" s="408"/>
      <c r="K455" s="409"/>
      <c r="L455" s="410"/>
      <c r="M455" s="404"/>
      <c r="N455" s="411" t="str">
        <f>IF($AI455&lt;&gt;"",Master!$N$37,IF($AC455&lt;&gt;"",Master!$N$38,IF($S455&lt;&gt;"",Master!$N$39,IF($C455&lt;&gt;"",Master!$N$40,Master!$N$41))))</f>
        <v>起票</v>
      </c>
      <c r="O455" s="412" t="str">
        <f>IF($N455=Master!$N$37,MAX($S455,$AC455,$AI455),"")</f>
        <v/>
      </c>
      <c r="P455" s="413"/>
      <c r="Q455" s="414"/>
      <c r="R455" s="409"/>
      <c r="S455" s="404"/>
      <c r="T455" s="418"/>
      <c r="U455" s="415"/>
      <c r="V455" s="409"/>
      <c r="W455" s="419"/>
      <c r="X455" s="419"/>
      <c r="Y455" s="416"/>
      <c r="Z455" s="417"/>
      <c r="AA455" s="418"/>
      <c r="AB455" s="419"/>
      <c r="AC455" s="404"/>
      <c r="AD455" s="404"/>
      <c r="AE455" s="420"/>
      <c r="AF455" s="421"/>
      <c r="AG455" s="418"/>
      <c r="AH455" s="409"/>
      <c r="AI455" s="404"/>
      <c r="AJ455" s="416"/>
      <c r="AK455" s="453"/>
      <c r="AL455" s="422"/>
      <c r="AM455" s="423"/>
      <c r="AO455" s="137" t="e">
        <f t="shared" si="35"/>
        <v>#N/A</v>
      </c>
      <c r="AP455" s="138" t="e">
        <f t="shared" si="36"/>
        <v>#N/A</v>
      </c>
      <c r="AQ455" s="138" t="e">
        <f t="shared" si="37"/>
        <v>#N/A</v>
      </c>
      <c r="AR455" s="138" t="e">
        <f t="shared" si="38"/>
        <v>#N/A</v>
      </c>
      <c r="AS455" s="138" t="e">
        <f t="shared" si="39"/>
        <v>#N/A</v>
      </c>
      <c r="AT455" s="139" t="e">
        <f t="shared" si="40"/>
        <v>#N/A</v>
      </c>
      <c r="BB455" s="16" t="s">
        <v>596</v>
      </c>
    </row>
    <row r="456" spans="1:54" ht="114" customHeight="1">
      <c r="A456" s="428">
        <f t="shared" si="49"/>
        <v>448</v>
      </c>
      <c r="B456" s="403"/>
      <c r="C456" s="404"/>
      <c r="D456" s="405"/>
      <c r="E456" s="405"/>
      <c r="F456" s="405"/>
      <c r="G456" s="405"/>
      <c r="H456" s="406"/>
      <c r="I456" s="407"/>
      <c r="J456" s="408"/>
      <c r="K456" s="409"/>
      <c r="L456" s="410"/>
      <c r="M456" s="404"/>
      <c r="N456" s="411" t="str">
        <f>IF($AI456&lt;&gt;"",Master!$N$37,IF($AC456&lt;&gt;"",Master!$N$38,IF($S456&lt;&gt;"",Master!$N$39,IF($C456&lt;&gt;"",Master!$N$40,Master!$N$41))))</f>
        <v>起票</v>
      </c>
      <c r="O456" s="412" t="str">
        <f>IF($N456=Master!$N$37,MAX($S456,$AC456,$AI456),"")</f>
        <v/>
      </c>
      <c r="P456" s="413"/>
      <c r="Q456" s="414"/>
      <c r="R456" s="409"/>
      <c r="S456" s="404"/>
      <c r="T456" s="418"/>
      <c r="U456" s="415"/>
      <c r="V456" s="409"/>
      <c r="W456" s="419"/>
      <c r="X456" s="419"/>
      <c r="Y456" s="416"/>
      <c r="Z456" s="417"/>
      <c r="AA456" s="418"/>
      <c r="AB456" s="419"/>
      <c r="AC456" s="404"/>
      <c r="AD456" s="404"/>
      <c r="AE456" s="420"/>
      <c r="AF456" s="421"/>
      <c r="AG456" s="418"/>
      <c r="AH456" s="409"/>
      <c r="AI456" s="404"/>
      <c r="AJ456" s="416"/>
      <c r="AK456" s="453"/>
      <c r="AL456" s="422"/>
      <c r="AM456" s="423"/>
      <c r="AO456" s="137" t="e">
        <f t="shared" si="35"/>
        <v>#N/A</v>
      </c>
      <c r="AP456" s="138" t="e">
        <f t="shared" si="36"/>
        <v>#N/A</v>
      </c>
      <c r="AQ456" s="138" t="e">
        <f t="shared" si="37"/>
        <v>#N/A</v>
      </c>
      <c r="AR456" s="138" t="e">
        <f t="shared" si="38"/>
        <v>#N/A</v>
      </c>
      <c r="AS456" s="138" t="e">
        <f t="shared" si="39"/>
        <v>#N/A</v>
      </c>
      <c r="AT456" s="139" t="e">
        <f t="shared" si="40"/>
        <v>#N/A</v>
      </c>
      <c r="BB456" s="16" t="s">
        <v>596</v>
      </c>
    </row>
    <row r="457" spans="1:54" ht="114" customHeight="1">
      <c r="A457" s="428">
        <f t="shared" si="49"/>
        <v>449</v>
      </c>
      <c r="B457" s="294"/>
      <c r="C457" s="201"/>
      <c r="D457" s="290"/>
      <c r="E457" s="301"/>
      <c r="F457" s="301"/>
      <c r="G457" s="290"/>
      <c r="H457" s="291"/>
      <c r="I457" s="292"/>
      <c r="J457" s="61"/>
      <c r="K457" s="57"/>
      <c r="L457" s="303"/>
      <c r="M457" s="201"/>
      <c r="N457" s="84" t="str">
        <f>IF($AI457&lt;&gt;"",Master!$N$37,IF($AC457&lt;&gt;"",Master!$N$38,IF($S457&lt;&gt;"",Master!$N$39,IF($C457&lt;&gt;"",Master!$N$40,Master!$N$41))))</f>
        <v>起票</v>
      </c>
      <c r="O457" s="202" t="str">
        <f>IF($N457=Master!$N$37,MAX($S457,$AC457,$AI457),"")</f>
        <v/>
      </c>
      <c r="P457" s="65"/>
      <c r="Q457" s="203"/>
      <c r="R457" s="57"/>
      <c r="S457" s="203"/>
      <c r="T457" s="310"/>
      <c r="U457" s="289"/>
      <c r="V457" s="57"/>
      <c r="W457" s="288"/>
      <c r="X457" s="288"/>
      <c r="Y457" s="296"/>
      <c r="Z457" s="57"/>
      <c r="AA457" s="203"/>
      <c r="AB457" s="288"/>
      <c r="AC457" s="201"/>
      <c r="AD457" s="298"/>
      <c r="AE457" s="297"/>
      <c r="AF457" s="58"/>
      <c r="AG457" s="204"/>
      <c r="AH457" s="57"/>
      <c r="AI457" s="201"/>
      <c r="AJ457" s="287"/>
      <c r="AK457" s="452"/>
      <c r="AL457" s="59"/>
      <c r="AM457" s="60"/>
      <c r="AO457" s="137" t="e">
        <f t="shared" si="35"/>
        <v>#N/A</v>
      </c>
      <c r="AP457" s="138" t="e">
        <f t="shared" si="36"/>
        <v>#N/A</v>
      </c>
      <c r="AQ457" s="138" t="e">
        <f t="shared" si="37"/>
        <v>#N/A</v>
      </c>
      <c r="AR457" s="138" t="e">
        <f t="shared" si="38"/>
        <v>#N/A</v>
      </c>
      <c r="AS457" s="138" t="e">
        <f t="shared" si="39"/>
        <v>#N/A</v>
      </c>
      <c r="AT457" s="139" t="e">
        <f t="shared" si="40"/>
        <v>#N/A</v>
      </c>
      <c r="BB457" s="16" t="s">
        <v>596</v>
      </c>
    </row>
    <row r="458" spans="1:54" ht="114" customHeight="1">
      <c r="A458" s="428">
        <f t="shared" si="49"/>
        <v>450</v>
      </c>
      <c r="B458" s="294"/>
      <c r="C458" s="201"/>
      <c r="D458" s="290"/>
      <c r="E458" s="301"/>
      <c r="F458" s="301"/>
      <c r="G458" s="290"/>
      <c r="H458" s="291"/>
      <c r="I458" s="292"/>
      <c r="J458" s="61"/>
      <c r="K458" s="57"/>
      <c r="L458" s="303"/>
      <c r="M458" s="201"/>
      <c r="N458" s="84" t="str">
        <f>IF($AI458&lt;&gt;"",Master!$N$37,IF($AC458&lt;&gt;"",Master!$N$38,IF($S458&lt;&gt;"",Master!$N$39,IF($C458&lt;&gt;"",Master!$N$40,Master!$N$41))))</f>
        <v>起票</v>
      </c>
      <c r="O458" s="202" t="str">
        <f>IF($N458=Master!$N$37,MAX($S458,$AC458,$AI458),"")</f>
        <v/>
      </c>
      <c r="P458" s="65"/>
      <c r="Q458" s="203"/>
      <c r="R458" s="57"/>
      <c r="S458" s="203"/>
      <c r="T458" s="310"/>
      <c r="U458" s="289"/>
      <c r="V458" s="57"/>
      <c r="W458" s="288"/>
      <c r="X458" s="288"/>
      <c r="Y458" s="296"/>
      <c r="Z458" s="57"/>
      <c r="AA458" s="203"/>
      <c r="AB458" s="288"/>
      <c r="AC458" s="201"/>
      <c r="AD458" s="298"/>
      <c r="AE458" s="297"/>
      <c r="AF458" s="58"/>
      <c r="AG458" s="204"/>
      <c r="AH458" s="57"/>
      <c r="AI458" s="201"/>
      <c r="AJ458" s="287"/>
      <c r="AK458" s="452"/>
      <c r="AL458" s="59"/>
      <c r="AM458" s="60"/>
      <c r="AO458" s="137" t="e">
        <f t="shared" si="35"/>
        <v>#N/A</v>
      </c>
      <c r="AP458" s="138" t="e">
        <f t="shared" si="36"/>
        <v>#N/A</v>
      </c>
      <c r="AQ458" s="138" t="e">
        <f t="shared" si="37"/>
        <v>#N/A</v>
      </c>
      <c r="AR458" s="138" t="e">
        <f t="shared" si="38"/>
        <v>#N/A</v>
      </c>
      <c r="AS458" s="138" t="e">
        <f t="shared" si="39"/>
        <v>#N/A</v>
      </c>
      <c r="AT458" s="139" t="e">
        <f t="shared" si="40"/>
        <v>#N/A</v>
      </c>
      <c r="BB458" s="16" t="s">
        <v>596</v>
      </c>
    </row>
    <row r="459" spans="1:54" ht="114" customHeight="1">
      <c r="A459" s="428">
        <f t="shared" si="49"/>
        <v>451</v>
      </c>
      <c r="B459" s="294"/>
      <c r="C459" s="201"/>
      <c r="D459" s="290"/>
      <c r="E459" s="301"/>
      <c r="F459" s="301"/>
      <c r="G459" s="290"/>
      <c r="H459" s="291"/>
      <c r="I459" s="292"/>
      <c r="J459" s="61"/>
      <c r="K459" s="57"/>
      <c r="L459" s="303"/>
      <c r="M459" s="201"/>
      <c r="N459" s="84" t="str">
        <f>IF($AI459&lt;&gt;"",Master!$N$37,IF($AC459&lt;&gt;"",Master!$N$38,IF($S459&lt;&gt;"",Master!$N$39,IF($C459&lt;&gt;"",Master!$N$40,Master!$N$41))))</f>
        <v>起票</v>
      </c>
      <c r="O459" s="202" t="str">
        <f>IF($N459=Master!$N$37,MAX($S459,$AC459,$AI459),"")</f>
        <v/>
      </c>
      <c r="P459" s="65"/>
      <c r="Q459" s="203"/>
      <c r="R459" s="57"/>
      <c r="S459" s="203"/>
      <c r="T459" s="310"/>
      <c r="U459" s="289"/>
      <c r="V459" s="57"/>
      <c r="W459" s="288"/>
      <c r="X459" s="288"/>
      <c r="Y459" s="296"/>
      <c r="Z459" s="57"/>
      <c r="AA459" s="203"/>
      <c r="AB459" s="288"/>
      <c r="AC459" s="201"/>
      <c r="AD459" s="298"/>
      <c r="AE459" s="297"/>
      <c r="AF459" s="58"/>
      <c r="AG459" s="204"/>
      <c r="AH459" s="57"/>
      <c r="AI459" s="201"/>
      <c r="AJ459" s="287"/>
      <c r="AK459" s="452"/>
      <c r="AL459" s="59"/>
      <c r="AM459" s="60"/>
      <c r="AO459" s="137" t="e">
        <f t="shared" si="35"/>
        <v>#N/A</v>
      </c>
      <c r="AP459" s="138" t="e">
        <f t="shared" si="36"/>
        <v>#N/A</v>
      </c>
      <c r="AQ459" s="138" t="e">
        <f t="shared" si="37"/>
        <v>#N/A</v>
      </c>
      <c r="AR459" s="138" t="e">
        <f t="shared" si="38"/>
        <v>#N/A</v>
      </c>
      <c r="AS459" s="138" t="e">
        <f t="shared" si="39"/>
        <v>#N/A</v>
      </c>
      <c r="AT459" s="139" t="e">
        <f t="shared" si="40"/>
        <v>#N/A</v>
      </c>
      <c r="BB459" s="16" t="s">
        <v>596</v>
      </c>
    </row>
    <row r="460" spans="1:54" ht="114" customHeight="1">
      <c r="A460" s="428">
        <f t="shared" ref="A460:A523" si="50">A459+1</f>
        <v>452</v>
      </c>
      <c r="B460" s="294"/>
      <c r="C460" s="201"/>
      <c r="D460" s="290"/>
      <c r="E460" s="301"/>
      <c r="F460" s="301"/>
      <c r="G460" s="290"/>
      <c r="H460" s="291"/>
      <c r="I460" s="292"/>
      <c r="J460" s="61"/>
      <c r="K460" s="57"/>
      <c r="L460" s="303"/>
      <c r="M460" s="201"/>
      <c r="N460" s="84" t="str">
        <f>IF($AI460&lt;&gt;"",Master!$N$37,IF($AC460&lt;&gt;"",Master!$N$38,IF($S460&lt;&gt;"",Master!$N$39,IF($C460&lt;&gt;"",Master!$N$40,Master!$N$41))))</f>
        <v>起票</v>
      </c>
      <c r="O460" s="202" t="str">
        <f>IF($N460=Master!$N$37,MAX($S460,$AC460,$AI460),"")</f>
        <v/>
      </c>
      <c r="P460" s="65"/>
      <c r="Q460" s="203"/>
      <c r="R460" s="57"/>
      <c r="S460" s="203"/>
      <c r="T460" s="310"/>
      <c r="U460" s="289"/>
      <c r="V460" s="57"/>
      <c r="W460" s="288"/>
      <c r="X460" s="288"/>
      <c r="Y460" s="296"/>
      <c r="Z460" s="57"/>
      <c r="AA460" s="203"/>
      <c r="AB460" s="288"/>
      <c r="AC460" s="201"/>
      <c r="AD460" s="298"/>
      <c r="AE460" s="297"/>
      <c r="AF460" s="58"/>
      <c r="AG460" s="204"/>
      <c r="AH460" s="57"/>
      <c r="AI460" s="201"/>
      <c r="AJ460" s="287"/>
      <c r="AK460" s="452"/>
      <c r="AL460" s="59"/>
      <c r="AM460" s="60"/>
      <c r="AO460" s="137" t="e">
        <f t="shared" si="35"/>
        <v>#N/A</v>
      </c>
      <c r="AP460" s="138" t="e">
        <f t="shared" si="36"/>
        <v>#N/A</v>
      </c>
      <c r="AQ460" s="138" t="e">
        <f t="shared" si="37"/>
        <v>#N/A</v>
      </c>
      <c r="AR460" s="138" t="e">
        <f t="shared" si="38"/>
        <v>#N/A</v>
      </c>
      <c r="AS460" s="138" t="e">
        <f t="shared" si="39"/>
        <v>#N/A</v>
      </c>
      <c r="AT460" s="139" t="e">
        <f t="shared" si="40"/>
        <v>#N/A</v>
      </c>
      <c r="BB460" s="16" t="s">
        <v>596</v>
      </c>
    </row>
    <row r="461" spans="1:54" ht="114" customHeight="1">
      <c r="A461" s="428">
        <f t="shared" si="50"/>
        <v>453</v>
      </c>
      <c r="B461" s="294"/>
      <c r="C461" s="201"/>
      <c r="D461" s="290"/>
      <c r="E461" s="301"/>
      <c r="F461" s="301"/>
      <c r="G461" s="290"/>
      <c r="H461" s="291"/>
      <c r="I461" s="292"/>
      <c r="J461" s="61"/>
      <c r="K461" s="57"/>
      <c r="L461" s="303"/>
      <c r="M461" s="201"/>
      <c r="N461" s="84" t="str">
        <f>IF($AI461&lt;&gt;"",Master!$N$37,IF($AC461&lt;&gt;"",Master!$N$38,IF($S461&lt;&gt;"",Master!$N$39,IF($C461&lt;&gt;"",Master!$N$40,Master!$N$41))))</f>
        <v>起票</v>
      </c>
      <c r="O461" s="202" t="str">
        <f>IF($N461=Master!$N$37,MAX($S461,$AC461,$AI461),"")</f>
        <v/>
      </c>
      <c r="P461" s="65"/>
      <c r="Q461" s="203"/>
      <c r="R461" s="57"/>
      <c r="S461" s="203"/>
      <c r="T461" s="310"/>
      <c r="U461" s="289"/>
      <c r="V461" s="57"/>
      <c r="W461" s="288"/>
      <c r="X461" s="288"/>
      <c r="Y461" s="296"/>
      <c r="Z461" s="57"/>
      <c r="AA461" s="203"/>
      <c r="AB461" s="288"/>
      <c r="AC461" s="201"/>
      <c r="AD461" s="298"/>
      <c r="AE461" s="297"/>
      <c r="AF461" s="58"/>
      <c r="AG461" s="204"/>
      <c r="AH461" s="57"/>
      <c r="AI461" s="201"/>
      <c r="AJ461" s="287"/>
      <c r="AK461" s="452"/>
      <c r="AL461" s="59"/>
      <c r="AM461" s="60"/>
      <c r="AO461" s="137" t="e">
        <f t="shared" si="35"/>
        <v>#N/A</v>
      </c>
      <c r="AP461" s="138" t="e">
        <f t="shared" si="36"/>
        <v>#N/A</v>
      </c>
      <c r="AQ461" s="138" t="e">
        <f t="shared" si="37"/>
        <v>#N/A</v>
      </c>
      <c r="AR461" s="138" t="e">
        <f t="shared" si="38"/>
        <v>#N/A</v>
      </c>
      <c r="AS461" s="138" t="e">
        <f t="shared" si="39"/>
        <v>#N/A</v>
      </c>
      <c r="AT461" s="139" t="e">
        <f t="shared" si="40"/>
        <v>#N/A</v>
      </c>
      <c r="BB461" s="16" t="s">
        <v>596</v>
      </c>
    </row>
    <row r="462" spans="1:54" ht="114" customHeight="1">
      <c r="A462" s="428">
        <f t="shared" si="50"/>
        <v>454</v>
      </c>
      <c r="B462" s="403"/>
      <c r="C462" s="404"/>
      <c r="D462" s="405"/>
      <c r="E462" s="405"/>
      <c r="F462" s="405"/>
      <c r="G462" s="405"/>
      <c r="H462" s="406"/>
      <c r="I462" s="407"/>
      <c r="J462" s="408"/>
      <c r="K462" s="409"/>
      <c r="L462" s="410"/>
      <c r="M462" s="404"/>
      <c r="N462" s="411" t="str">
        <f>IF($AI462&lt;&gt;"",Master!$N$37,IF($AC462&lt;&gt;"",Master!$N$38,IF($S462&lt;&gt;"",Master!$N$39,IF($C462&lt;&gt;"",Master!$N$40,Master!$N$41))))</f>
        <v>起票</v>
      </c>
      <c r="O462" s="412" t="str">
        <f>IF($N462=Master!$N$37,MAX($S462,$AC462,$AI462),"")</f>
        <v/>
      </c>
      <c r="P462" s="413"/>
      <c r="Q462" s="414"/>
      <c r="R462" s="409"/>
      <c r="S462" s="404"/>
      <c r="T462" s="418"/>
      <c r="U462" s="415"/>
      <c r="V462" s="409"/>
      <c r="W462" s="419"/>
      <c r="X462" s="419"/>
      <c r="Y462" s="416"/>
      <c r="Z462" s="417"/>
      <c r="AA462" s="418"/>
      <c r="AB462" s="419"/>
      <c r="AC462" s="404"/>
      <c r="AD462" s="404"/>
      <c r="AE462" s="420"/>
      <c r="AF462" s="421"/>
      <c r="AG462" s="418"/>
      <c r="AH462" s="409"/>
      <c r="AI462" s="404"/>
      <c r="AJ462" s="416"/>
      <c r="AK462" s="453"/>
      <c r="AL462" s="422"/>
      <c r="AM462" s="423"/>
      <c r="AO462" s="137" t="e">
        <f t="shared" si="35"/>
        <v>#N/A</v>
      </c>
      <c r="AP462" s="138" t="e">
        <f t="shared" si="36"/>
        <v>#N/A</v>
      </c>
      <c r="AQ462" s="138" t="e">
        <f t="shared" si="37"/>
        <v>#N/A</v>
      </c>
      <c r="AR462" s="138" t="e">
        <f t="shared" si="38"/>
        <v>#N/A</v>
      </c>
      <c r="AS462" s="138" t="e">
        <f t="shared" si="39"/>
        <v>#N/A</v>
      </c>
      <c r="AT462" s="139" t="e">
        <f t="shared" si="40"/>
        <v>#N/A</v>
      </c>
      <c r="BB462" s="16" t="s">
        <v>596</v>
      </c>
    </row>
    <row r="463" spans="1:54" ht="114" customHeight="1">
      <c r="A463" s="428">
        <f t="shared" si="50"/>
        <v>455</v>
      </c>
      <c r="B463" s="403"/>
      <c r="C463" s="404"/>
      <c r="D463" s="405"/>
      <c r="E463" s="405"/>
      <c r="F463" s="405"/>
      <c r="G463" s="405"/>
      <c r="H463" s="406"/>
      <c r="I463" s="407"/>
      <c r="J463" s="408"/>
      <c r="K463" s="409"/>
      <c r="L463" s="410"/>
      <c r="M463" s="404"/>
      <c r="N463" s="411" t="str">
        <f>IF($AI463&lt;&gt;"",Master!$N$37,IF($AC463&lt;&gt;"",Master!$N$38,IF($S463&lt;&gt;"",Master!$N$39,IF($C463&lt;&gt;"",Master!$N$40,Master!$N$41))))</f>
        <v>起票</v>
      </c>
      <c r="O463" s="412" t="str">
        <f>IF($N463=Master!$N$37,MAX($S463,$AC463,$AI463),"")</f>
        <v/>
      </c>
      <c r="P463" s="413"/>
      <c r="Q463" s="414"/>
      <c r="R463" s="409"/>
      <c r="S463" s="404"/>
      <c r="T463" s="418"/>
      <c r="U463" s="415"/>
      <c r="V463" s="409"/>
      <c r="W463" s="419"/>
      <c r="X463" s="419"/>
      <c r="Y463" s="416"/>
      <c r="Z463" s="417"/>
      <c r="AA463" s="418"/>
      <c r="AB463" s="419"/>
      <c r="AC463" s="404"/>
      <c r="AD463" s="404"/>
      <c r="AE463" s="420"/>
      <c r="AF463" s="421"/>
      <c r="AG463" s="418"/>
      <c r="AH463" s="409"/>
      <c r="AI463" s="404"/>
      <c r="AJ463" s="416"/>
      <c r="AK463" s="453"/>
      <c r="AL463" s="422"/>
      <c r="AM463" s="423"/>
      <c r="AO463" s="137" t="e">
        <f t="shared" si="35"/>
        <v>#N/A</v>
      </c>
      <c r="AP463" s="138" t="e">
        <f t="shared" si="36"/>
        <v>#N/A</v>
      </c>
      <c r="AQ463" s="138" t="e">
        <f t="shared" si="37"/>
        <v>#N/A</v>
      </c>
      <c r="AR463" s="138" t="e">
        <f t="shared" si="38"/>
        <v>#N/A</v>
      </c>
      <c r="AS463" s="138" t="e">
        <f t="shared" si="39"/>
        <v>#N/A</v>
      </c>
      <c r="AT463" s="139" t="e">
        <f t="shared" si="40"/>
        <v>#N/A</v>
      </c>
      <c r="BB463" s="16" t="s">
        <v>596</v>
      </c>
    </row>
    <row r="464" spans="1:54" ht="114" customHeight="1">
      <c r="A464" s="428">
        <f t="shared" si="50"/>
        <v>456</v>
      </c>
      <c r="B464" s="403"/>
      <c r="C464" s="404"/>
      <c r="D464" s="405"/>
      <c r="E464" s="405"/>
      <c r="F464" s="405"/>
      <c r="G464" s="405"/>
      <c r="H464" s="406"/>
      <c r="I464" s="407"/>
      <c r="J464" s="408"/>
      <c r="K464" s="409"/>
      <c r="L464" s="410"/>
      <c r="M464" s="404"/>
      <c r="N464" s="411" t="str">
        <f>IF($AI464&lt;&gt;"",Master!$N$37,IF($AC464&lt;&gt;"",Master!$N$38,IF($S464&lt;&gt;"",Master!$N$39,IF($C464&lt;&gt;"",Master!$N$40,Master!$N$41))))</f>
        <v>起票</v>
      </c>
      <c r="O464" s="412" t="str">
        <f>IF($N464=Master!$N$37,MAX($S464,$AC464,$AI464),"")</f>
        <v/>
      </c>
      <c r="P464" s="413"/>
      <c r="Q464" s="414"/>
      <c r="R464" s="409"/>
      <c r="S464" s="404"/>
      <c r="T464" s="418"/>
      <c r="U464" s="415"/>
      <c r="V464" s="409"/>
      <c r="W464" s="419"/>
      <c r="X464" s="419"/>
      <c r="Y464" s="416"/>
      <c r="Z464" s="417"/>
      <c r="AA464" s="418"/>
      <c r="AB464" s="419"/>
      <c r="AC464" s="404"/>
      <c r="AD464" s="404"/>
      <c r="AE464" s="420"/>
      <c r="AF464" s="421"/>
      <c r="AG464" s="418"/>
      <c r="AH464" s="409"/>
      <c r="AI464" s="404"/>
      <c r="AJ464" s="416"/>
      <c r="AK464" s="453"/>
      <c r="AL464" s="422"/>
      <c r="AM464" s="423"/>
      <c r="AO464" s="137" t="e">
        <f t="shared" si="35"/>
        <v>#N/A</v>
      </c>
      <c r="AP464" s="138" t="e">
        <f t="shared" si="36"/>
        <v>#N/A</v>
      </c>
      <c r="AQ464" s="138" t="e">
        <f t="shared" si="37"/>
        <v>#N/A</v>
      </c>
      <c r="AR464" s="138" t="e">
        <f t="shared" si="38"/>
        <v>#N/A</v>
      </c>
      <c r="AS464" s="138" t="e">
        <f t="shared" si="39"/>
        <v>#N/A</v>
      </c>
      <c r="AT464" s="139" t="e">
        <f t="shared" si="40"/>
        <v>#N/A</v>
      </c>
      <c r="BB464" s="16" t="s">
        <v>596</v>
      </c>
    </row>
    <row r="465" spans="1:54" ht="114" customHeight="1">
      <c r="A465" s="428">
        <f t="shared" si="50"/>
        <v>457</v>
      </c>
      <c r="B465" s="294"/>
      <c r="C465" s="201"/>
      <c r="D465" s="290"/>
      <c r="E465" s="301"/>
      <c r="F465" s="301"/>
      <c r="G465" s="290"/>
      <c r="H465" s="291"/>
      <c r="I465" s="292"/>
      <c r="J465" s="61"/>
      <c r="K465" s="57"/>
      <c r="L465" s="303"/>
      <c r="M465" s="201"/>
      <c r="N465" s="84" t="str">
        <f>IF($AI465&lt;&gt;"",Master!$N$37,IF($AC465&lt;&gt;"",Master!$N$38,IF($S465&lt;&gt;"",Master!$N$39,IF($C465&lt;&gt;"",Master!$N$40,Master!$N$41))))</f>
        <v>起票</v>
      </c>
      <c r="O465" s="202" t="str">
        <f>IF($N465=Master!$N$37,MAX($S465,$AC465,$AI465),"")</f>
        <v/>
      </c>
      <c r="P465" s="65"/>
      <c r="Q465" s="203"/>
      <c r="R465" s="57"/>
      <c r="S465" s="203"/>
      <c r="T465" s="310"/>
      <c r="U465" s="289"/>
      <c r="V465" s="57"/>
      <c r="W465" s="288"/>
      <c r="X465" s="288"/>
      <c r="Y465" s="296"/>
      <c r="Z465" s="57"/>
      <c r="AA465" s="203"/>
      <c r="AB465" s="288"/>
      <c r="AC465" s="201"/>
      <c r="AD465" s="298"/>
      <c r="AE465" s="297"/>
      <c r="AF465" s="58"/>
      <c r="AG465" s="204"/>
      <c r="AH465" s="57"/>
      <c r="AI465" s="201"/>
      <c r="AJ465" s="287"/>
      <c r="AK465" s="452"/>
      <c r="AL465" s="59"/>
      <c r="AM465" s="60"/>
      <c r="AO465" s="137" t="e">
        <f t="shared" si="35"/>
        <v>#N/A</v>
      </c>
      <c r="AP465" s="138" t="e">
        <f t="shared" si="36"/>
        <v>#N/A</v>
      </c>
      <c r="AQ465" s="138" t="e">
        <f t="shared" si="37"/>
        <v>#N/A</v>
      </c>
      <c r="AR465" s="138" t="e">
        <f t="shared" si="38"/>
        <v>#N/A</v>
      </c>
      <c r="AS465" s="138" t="e">
        <f t="shared" si="39"/>
        <v>#N/A</v>
      </c>
      <c r="AT465" s="139" t="e">
        <f t="shared" si="40"/>
        <v>#N/A</v>
      </c>
      <c r="BB465" s="16" t="s">
        <v>596</v>
      </c>
    </row>
    <row r="466" spans="1:54" ht="114" customHeight="1">
      <c r="A466" s="428">
        <f t="shared" si="50"/>
        <v>458</v>
      </c>
      <c r="B466" s="294"/>
      <c r="C466" s="201"/>
      <c r="D466" s="290"/>
      <c r="E466" s="301"/>
      <c r="F466" s="301"/>
      <c r="G466" s="290"/>
      <c r="H466" s="291"/>
      <c r="I466" s="292"/>
      <c r="J466" s="61"/>
      <c r="K466" s="57"/>
      <c r="L466" s="303"/>
      <c r="M466" s="201"/>
      <c r="N466" s="84" t="str">
        <f>IF($AI466&lt;&gt;"",Master!$N$37,IF($AC466&lt;&gt;"",Master!$N$38,IF($S466&lt;&gt;"",Master!$N$39,IF($C466&lt;&gt;"",Master!$N$40,Master!$N$41))))</f>
        <v>起票</v>
      </c>
      <c r="O466" s="202" t="str">
        <f>IF($N466=Master!$N$37,MAX($S466,$AC466,$AI466),"")</f>
        <v/>
      </c>
      <c r="P466" s="65"/>
      <c r="Q466" s="203"/>
      <c r="R466" s="57"/>
      <c r="S466" s="203"/>
      <c r="T466" s="310"/>
      <c r="U466" s="289"/>
      <c r="V466" s="57"/>
      <c r="W466" s="288"/>
      <c r="X466" s="288"/>
      <c r="Y466" s="296"/>
      <c r="Z466" s="57"/>
      <c r="AA466" s="203"/>
      <c r="AB466" s="288"/>
      <c r="AC466" s="201"/>
      <c r="AD466" s="298"/>
      <c r="AE466" s="297"/>
      <c r="AF466" s="58"/>
      <c r="AG466" s="204"/>
      <c r="AH466" s="57"/>
      <c r="AI466" s="201"/>
      <c r="AJ466" s="287"/>
      <c r="AK466" s="452"/>
      <c r="AL466" s="59"/>
      <c r="AM466" s="60"/>
      <c r="AO466" s="137" t="e">
        <f t="shared" si="35"/>
        <v>#N/A</v>
      </c>
      <c r="AP466" s="138" t="e">
        <f t="shared" si="36"/>
        <v>#N/A</v>
      </c>
      <c r="AQ466" s="138" t="e">
        <f t="shared" si="37"/>
        <v>#N/A</v>
      </c>
      <c r="AR466" s="138" t="e">
        <f t="shared" si="38"/>
        <v>#N/A</v>
      </c>
      <c r="AS466" s="138" t="e">
        <f t="shared" si="39"/>
        <v>#N/A</v>
      </c>
      <c r="AT466" s="139" t="e">
        <f t="shared" si="40"/>
        <v>#N/A</v>
      </c>
      <c r="BB466" s="16" t="s">
        <v>596</v>
      </c>
    </row>
    <row r="467" spans="1:54" ht="114" customHeight="1">
      <c r="A467" s="428">
        <f t="shared" si="50"/>
        <v>459</v>
      </c>
      <c r="B467" s="403"/>
      <c r="C467" s="404"/>
      <c r="D467" s="405"/>
      <c r="E467" s="405"/>
      <c r="F467" s="405"/>
      <c r="G467" s="405"/>
      <c r="H467" s="406"/>
      <c r="I467" s="407"/>
      <c r="J467" s="408"/>
      <c r="K467" s="409"/>
      <c r="L467" s="410"/>
      <c r="M467" s="404"/>
      <c r="N467" s="411" t="str">
        <f>IF($AI467&lt;&gt;"",Master!$N$37,IF($AC467&lt;&gt;"",Master!$N$38,IF($S467&lt;&gt;"",Master!$N$39,IF($C467&lt;&gt;"",Master!$N$40,Master!$N$41))))</f>
        <v>起票</v>
      </c>
      <c r="O467" s="412" t="str">
        <f>IF($N467=Master!$N$37,MAX($S467,$AC467,$AI467),"")</f>
        <v/>
      </c>
      <c r="P467" s="413"/>
      <c r="Q467" s="414"/>
      <c r="R467" s="409"/>
      <c r="S467" s="404"/>
      <c r="T467" s="418"/>
      <c r="U467" s="415"/>
      <c r="V467" s="409"/>
      <c r="W467" s="419"/>
      <c r="X467" s="419"/>
      <c r="Y467" s="416"/>
      <c r="Z467" s="417"/>
      <c r="AA467" s="418"/>
      <c r="AB467" s="419"/>
      <c r="AC467" s="404"/>
      <c r="AD467" s="404"/>
      <c r="AE467" s="420"/>
      <c r="AF467" s="421"/>
      <c r="AG467" s="418"/>
      <c r="AH467" s="409"/>
      <c r="AI467" s="404"/>
      <c r="AJ467" s="416"/>
      <c r="AK467" s="453"/>
      <c r="AL467" s="422"/>
      <c r="AM467" s="423"/>
      <c r="AO467" s="137" t="e">
        <f t="shared" si="35"/>
        <v>#N/A</v>
      </c>
      <c r="AP467" s="138" t="e">
        <f t="shared" si="36"/>
        <v>#N/A</v>
      </c>
      <c r="AQ467" s="138" t="e">
        <f t="shared" si="37"/>
        <v>#N/A</v>
      </c>
      <c r="AR467" s="138" t="e">
        <f t="shared" si="38"/>
        <v>#N/A</v>
      </c>
      <c r="AS467" s="138" t="e">
        <f t="shared" si="39"/>
        <v>#N/A</v>
      </c>
      <c r="AT467" s="139" t="e">
        <f t="shared" si="40"/>
        <v>#N/A</v>
      </c>
      <c r="BB467" s="16" t="s">
        <v>596</v>
      </c>
    </row>
    <row r="468" spans="1:54" ht="114" customHeight="1">
      <c r="A468" s="428">
        <f t="shared" si="50"/>
        <v>460</v>
      </c>
      <c r="B468" s="403"/>
      <c r="C468" s="404"/>
      <c r="D468" s="405"/>
      <c r="E468" s="405"/>
      <c r="F468" s="405"/>
      <c r="G468" s="405"/>
      <c r="H468" s="406"/>
      <c r="I468" s="407"/>
      <c r="J468" s="408"/>
      <c r="K468" s="409"/>
      <c r="L468" s="410"/>
      <c r="M468" s="404"/>
      <c r="N468" s="411" t="str">
        <f>IF($AI468&lt;&gt;"",Master!$N$37,IF($AC468&lt;&gt;"",Master!$N$38,IF($S468&lt;&gt;"",Master!$N$39,IF($C468&lt;&gt;"",Master!$N$40,Master!$N$41))))</f>
        <v>起票</v>
      </c>
      <c r="O468" s="412" t="str">
        <f>IF($N468=Master!$N$37,MAX($S468,$AC468,$AI468),"")</f>
        <v/>
      </c>
      <c r="P468" s="413"/>
      <c r="Q468" s="414"/>
      <c r="R468" s="409"/>
      <c r="S468" s="404"/>
      <c r="T468" s="418"/>
      <c r="U468" s="415"/>
      <c r="V468" s="409"/>
      <c r="W468" s="419"/>
      <c r="X468" s="419"/>
      <c r="Y468" s="416"/>
      <c r="Z468" s="417"/>
      <c r="AA468" s="418"/>
      <c r="AB468" s="419"/>
      <c r="AC468" s="404"/>
      <c r="AD468" s="404"/>
      <c r="AE468" s="420"/>
      <c r="AF468" s="421"/>
      <c r="AG468" s="418"/>
      <c r="AH468" s="409"/>
      <c r="AI468" s="404"/>
      <c r="AJ468" s="416"/>
      <c r="AK468" s="453"/>
      <c r="AL468" s="422"/>
      <c r="AM468" s="423"/>
      <c r="AO468" s="137" t="e">
        <f t="shared" si="35"/>
        <v>#N/A</v>
      </c>
      <c r="AP468" s="138" t="e">
        <f t="shared" si="36"/>
        <v>#N/A</v>
      </c>
      <c r="AQ468" s="138" t="e">
        <f t="shared" si="37"/>
        <v>#N/A</v>
      </c>
      <c r="AR468" s="138" t="e">
        <f t="shared" si="38"/>
        <v>#N/A</v>
      </c>
      <c r="AS468" s="138" t="e">
        <f t="shared" si="39"/>
        <v>#N/A</v>
      </c>
      <c r="AT468" s="139" t="e">
        <f t="shared" si="40"/>
        <v>#N/A</v>
      </c>
      <c r="BB468" s="16" t="s">
        <v>596</v>
      </c>
    </row>
    <row r="469" spans="1:54" ht="114" customHeight="1">
      <c r="A469" s="428">
        <f t="shared" si="50"/>
        <v>461</v>
      </c>
      <c r="B469" s="403"/>
      <c r="C469" s="404"/>
      <c r="D469" s="405"/>
      <c r="E469" s="405"/>
      <c r="F469" s="405"/>
      <c r="G469" s="405"/>
      <c r="H469" s="406"/>
      <c r="I469" s="407"/>
      <c r="J469" s="408"/>
      <c r="K469" s="409"/>
      <c r="L469" s="410"/>
      <c r="M469" s="404"/>
      <c r="N469" s="411" t="str">
        <f>IF($AI469&lt;&gt;"",Master!$N$37,IF($AC469&lt;&gt;"",Master!$N$38,IF($S469&lt;&gt;"",Master!$N$39,IF($C469&lt;&gt;"",Master!$N$40,Master!$N$41))))</f>
        <v>起票</v>
      </c>
      <c r="O469" s="412" t="str">
        <f>IF($N469=Master!$N$37,MAX($S469,$AC469,$AI469),"")</f>
        <v/>
      </c>
      <c r="P469" s="413"/>
      <c r="Q469" s="414"/>
      <c r="R469" s="409"/>
      <c r="S469" s="404"/>
      <c r="T469" s="418"/>
      <c r="U469" s="415"/>
      <c r="V469" s="409"/>
      <c r="W469" s="419"/>
      <c r="X469" s="419"/>
      <c r="Y469" s="416"/>
      <c r="Z469" s="417"/>
      <c r="AA469" s="418"/>
      <c r="AB469" s="419"/>
      <c r="AC469" s="404"/>
      <c r="AD469" s="404"/>
      <c r="AE469" s="420"/>
      <c r="AF469" s="421"/>
      <c r="AG469" s="418"/>
      <c r="AH469" s="409"/>
      <c r="AI469" s="404"/>
      <c r="AJ469" s="416"/>
      <c r="AK469" s="453"/>
      <c r="AL469" s="422"/>
      <c r="AM469" s="423"/>
      <c r="AO469" s="137" t="e">
        <f t="shared" si="35"/>
        <v>#N/A</v>
      </c>
      <c r="AP469" s="138" t="e">
        <f t="shared" si="36"/>
        <v>#N/A</v>
      </c>
      <c r="AQ469" s="138" t="e">
        <f t="shared" si="37"/>
        <v>#N/A</v>
      </c>
      <c r="AR469" s="138" t="e">
        <f t="shared" si="38"/>
        <v>#N/A</v>
      </c>
      <c r="AS469" s="138" t="e">
        <f t="shared" si="39"/>
        <v>#N/A</v>
      </c>
      <c r="AT469" s="139" t="e">
        <f t="shared" si="40"/>
        <v>#N/A</v>
      </c>
      <c r="BB469" s="16" t="s">
        <v>596</v>
      </c>
    </row>
    <row r="470" spans="1:54" ht="114" customHeight="1">
      <c r="A470" s="428">
        <f t="shared" si="50"/>
        <v>462</v>
      </c>
      <c r="B470" s="294"/>
      <c r="C470" s="201"/>
      <c r="D470" s="290"/>
      <c r="E470" s="301"/>
      <c r="F470" s="301"/>
      <c r="G470" s="290"/>
      <c r="H470" s="291"/>
      <c r="I470" s="292"/>
      <c r="J470" s="61"/>
      <c r="K470" s="57"/>
      <c r="L470" s="303"/>
      <c r="M470" s="201"/>
      <c r="N470" s="84" t="str">
        <f>IF($AI470&lt;&gt;"",Master!$N$37,IF($AC470&lt;&gt;"",Master!$N$38,IF($S470&lt;&gt;"",Master!$N$39,IF($C470&lt;&gt;"",Master!$N$40,Master!$N$41))))</f>
        <v>起票</v>
      </c>
      <c r="O470" s="202" t="str">
        <f>IF($N470=Master!$N$37,MAX($S470,$AC470,$AI470),"")</f>
        <v/>
      </c>
      <c r="P470" s="65"/>
      <c r="Q470" s="203"/>
      <c r="R470" s="57"/>
      <c r="S470" s="203"/>
      <c r="T470" s="310"/>
      <c r="U470" s="289"/>
      <c r="V470" s="57"/>
      <c r="W470" s="288"/>
      <c r="X470" s="288"/>
      <c r="Y470" s="296"/>
      <c r="Z470" s="57"/>
      <c r="AA470" s="203"/>
      <c r="AB470" s="288"/>
      <c r="AC470" s="201"/>
      <c r="AD470" s="298"/>
      <c r="AE470" s="297"/>
      <c r="AF470" s="58"/>
      <c r="AG470" s="204"/>
      <c r="AH470" s="57"/>
      <c r="AI470" s="201"/>
      <c r="AJ470" s="287"/>
      <c r="AK470" s="452"/>
      <c r="AL470" s="59"/>
      <c r="AM470" s="60"/>
      <c r="AO470" s="137" t="e">
        <f t="shared" ref="AO470:AO495" si="51">IF(AND(C470&lt;&gt;"",C470&lt;=$AI$3),IF(E470="","",E470),NA())</f>
        <v>#N/A</v>
      </c>
      <c r="AP470" s="138" t="e">
        <f t="shared" ref="AP470:AP495" si="52">IF(AND(C470&lt;&gt;"",C470&lt;=$AI$3),IF(F470="","",F470),NA())</f>
        <v>#N/A</v>
      </c>
      <c r="AQ470" s="138" t="e">
        <f t="shared" ref="AQ470:AQ495" si="53">IF(AND(C470&lt;&gt;"",C470&lt;=$AI$3),IF(H470="","",H470),NA())</f>
        <v>#N/A</v>
      </c>
      <c r="AR470" s="138" t="e">
        <f t="shared" ref="AR470:AR495" si="54">IF(AND(C470&lt;&gt;"",C470&lt;=$AI$3),IF(U470="","",U470),NA())</f>
        <v>#N/A</v>
      </c>
      <c r="AS470" s="138" t="e">
        <f t="shared" ref="AS470:AS495" si="55">IF(AND(C470&lt;&gt;"",C470&lt;=$AI$3),IF(V470="","",V470),NA())</f>
        <v>#N/A</v>
      </c>
      <c r="AT470" s="139" t="e">
        <f t="shared" ref="AT470:AT495" si="56">IF(AND(C470&lt;&gt;"",C470&lt;=$AI$3),IF(AB470="","",AB470),NA())</f>
        <v>#N/A</v>
      </c>
      <c r="BB470" s="16" t="s">
        <v>596</v>
      </c>
    </row>
    <row r="471" spans="1:54" ht="114" customHeight="1">
      <c r="A471" s="428">
        <f t="shared" si="50"/>
        <v>463</v>
      </c>
      <c r="B471" s="294"/>
      <c r="C471" s="201"/>
      <c r="D471" s="290"/>
      <c r="E471" s="301"/>
      <c r="F471" s="301"/>
      <c r="G471" s="290"/>
      <c r="H471" s="291"/>
      <c r="I471" s="292"/>
      <c r="J471" s="61"/>
      <c r="K471" s="57"/>
      <c r="L471" s="303"/>
      <c r="M471" s="201"/>
      <c r="N471" s="84" t="str">
        <f>IF($AI471&lt;&gt;"",Master!$N$37,IF($AC471&lt;&gt;"",Master!$N$38,IF($S471&lt;&gt;"",Master!$N$39,IF($C471&lt;&gt;"",Master!$N$40,Master!$N$41))))</f>
        <v>起票</v>
      </c>
      <c r="O471" s="202" t="str">
        <f>IF($N471=Master!$N$37,MAX($S471,$AC471,$AI471),"")</f>
        <v/>
      </c>
      <c r="P471" s="65"/>
      <c r="Q471" s="203"/>
      <c r="R471" s="57"/>
      <c r="S471" s="203"/>
      <c r="T471" s="310"/>
      <c r="U471" s="289"/>
      <c r="V471" s="57"/>
      <c r="W471" s="288"/>
      <c r="X471" s="288"/>
      <c r="Y471" s="296"/>
      <c r="Z471" s="57"/>
      <c r="AA471" s="203"/>
      <c r="AB471" s="288"/>
      <c r="AC471" s="201"/>
      <c r="AD471" s="298"/>
      <c r="AE471" s="297"/>
      <c r="AF471" s="58"/>
      <c r="AG471" s="204"/>
      <c r="AH471" s="57"/>
      <c r="AI471" s="201"/>
      <c r="AJ471" s="287"/>
      <c r="AK471" s="452"/>
      <c r="AL471" s="59"/>
      <c r="AM471" s="60"/>
      <c r="AO471" s="137" t="e">
        <f t="shared" si="51"/>
        <v>#N/A</v>
      </c>
      <c r="AP471" s="138" t="e">
        <f t="shared" si="52"/>
        <v>#N/A</v>
      </c>
      <c r="AQ471" s="138" t="e">
        <f t="shared" si="53"/>
        <v>#N/A</v>
      </c>
      <c r="AR471" s="138" t="e">
        <f t="shared" si="54"/>
        <v>#N/A</v>
      </c>
      <c r="AS471" s="138" t="e">
        <f t="shared" si="55"/>
        <v>#N/A</v>
      </c>
      <c r="AT471" s="139" t="e">
        <f t="shared" si="56"/>
        <v>#N/A</v>
      </c>
      <c r="BB471" s="16" t="s">
        <v>596</v>
      </c>
    </row>
    <row r="472" spans="1:54" ht="114" customHeight="1">
      <c r="A472" s="428">
        <f t="shared" si="50"/>
        <v>464</v>
      </c>
      <c r="B472" s="294"/>
      <c r="C472" s="201"/>
      <c r="D472" s="290"/>
      <c r="E472" s="301"/>
      <c r="F472" s="301"/>
      <c r="G472" s="290"/>
      <c r="H472" s="291"/>
      <c r="I472" s="292"/>
      <c r="J472" s="61"/>
      <c r="K472" s="57"/>
      <c r="L472" s="303"/>
      <c r="M472" s="201"/>
      <c r="N472" s="84" t="str">
        <f>IF($AI472&lt;&gt;"",Master!$N$37,IF($AC472&lt;&gt;"",Master!$N$38,IF($S472&lt;&gt;"",Master!$N$39,IF($C472&lt;&gt;"",Master!$N$40,Master!$N$41))))</f>
        <v>起票</v>
      </c>
      <c r="O472" s="202" t="str">
        <f>IF($N472=Master!$N$37,MAX($S472,$AC472,$AI472),"")</f>
        <v/>
      </c>
      <c r="P472" s="65"/>
      <c r="Q472" s="203"/>
      <c r="R472" s="57"/>
      <c r="S472" s="203"/>
      <c r="T472" s="310"/>
      <c r="U472" s="289"/>
      <c r="V472" s="57"/>
      <c r="W472" s="288"/>
      <c r="X472" s="288"/>
      <c r="Y472" s="296"/>
      <c r="Z472" s="57"/>
      <c r="AA472" s="203"/>
      <c r="AB472" s="288"/>
      <c r="AC472" s="201"/>
      <c r="AD472" s="298"/>
      <c r="AE472" s="297"/>
      <c r="AF472" s="58"/>
      <c r="AG472" s="204"/>
      <c r="AH472" s="57"/>
      <c r="AI472" s="201"/>
      <c r="AJ472" s="287"/>
      <c r="AK472" s="452"/>
      <c r="AL472" s="59"/>
      <c r="AM472" s="60"/>
      <c r="AO472" s="137" t="e">
        <f t="shared" si="51"/>
        <v>#N/A</v>
      </c>
      <c r="AP472" s="138" t="e">
        <f t="shared" si="52"/>
        <v>#N/A</v>
      </c>
      <c r="AQ472" s="138" t="e">
        <f t="shared" si="53"/>
        <v>#N/A</v>
      </c>
      <c r="AR472" s="138" t="e">
        <f t="shared" si="54"/>
        <v>#N/A</v>
      </c>
      <c r="AS472" s="138" t="e">
        <f t="shared" si="55"/>
        <v>#N/A</v>
      </c>
      <c r="AT472" s="139" t="e">
        <f t="shared" si="56"/>
        <v>#N/A</v>
      </c>
      <c r="BB472" s="16" t="s">
        <v>596</v>
      </c>
    </row>
    <row r="473" spans="1:54" ht="114" customHeight="1">
      <c r="A473" s="428">
        <f t="shared" si="50"/>
        <v>465</v>
      </c>
      <c r="B473" s="294"/>
      <c r="C473" s="201"/>
      <c r="D473" s="290"/>
      <c r="E473" s="301"/>
      <c r="F473" s="301"/>
      <c r="G473" s="290"/>
      <c r="H473" s="291"/>
      <c r="I473" s="292"/>
      <c r="J473" s="61"/>
      <c r="K473" s="57"/>
      <c r="L473" s="303"/>
      <c r="M473" s="201"/>
      <c r="N473" s="84" t="str">
        <f>IF($AI473&lt;&gt;"",Master!$N$37,IF($AC473&lt;&gt;"",Master!$N$38,IF($S473&lt;&gt;"",Master!$N$39,IF($C473&lt;&gt;"",Master!$N$40,Master!$N$41))))</f>
        <v>起票</v>
      </c>
      <c r="O473" s="202" t="str">
        <f>IF($N473=Master!$N$37,MAX($S473,$AC473,$AI473),"")</f>
        <v/>
      </c>
      <c r="P473" s="65"/>
      <c r="Q473" s="203"/>
      <c r="R473" s="57"/>
      <c r="S473" s="203"/>
      <c r="T473" s="310"/>
      <c r="U473" s="289"/>
      <c r="V473" s="57"/>
      <c r="W473" s="288"/>
      <c r="X473" s="288"/>
      <c r="Y473" s="296"/>
      <c r="Z473" s="57"/>
      <c r="AA473" s="203"/>
      <c r="AB473" s="288"/>
      <c r="AC473" s="201"/>
      <c r="AD473" s="298"/>
      <c r="AE473" s="297"/>
      <c r="AF473" s="58"/>
      <c r="AG473" s="204"/>
      <c r="AH473" s="57"/>
      <c r="AI473" s="201"/>
      <c r="AJ473" s="287"/>
      <c r="AK473" s="452"/>
      <c r="AL473" s="59"/>
      <c r="AM473" s="60"/>
      <c r="AO473" s="137" t="e">
        <f t="shared" si="51"/>
        <v>#N/A</v>
      </c>
      <c r="AP473" s="138" t="e">
        <f t="shared" si="52"/>
        <v>#N/A</v>
      </c>
      <c r="AQ473" s="138" t="e">
        <f t="shared" si="53"/>
        <v>#N/A</v>
      </c>
      <c r="AR473" s="138" t="e">
        <f t="shared" si="54"/>
        <v>#N/A</v>
      </c>
      <c r="AS473" s="138" t="e">
        <f t="shared" si="55"/>
        <v>#N/A</v>
      </c>
      <c r="AT473" s="139" t="e">
        <f t="shared" si="56"/>
        <v>#N/A</v>
      </c>
      <c r="BB473" s="16" t="s">
        <v>596</v>
      </c>
    </row>
    <row r="474" spans="1:54" ht="114" customHeight="1">
      <c r="A474" s="428">
        <f t="shared" si="50"/>
        <v>466</v>
      </c>
      <c r="B474" s="294"/>
      <c r="C474" s="201"/>
      <c r="D474" s="290"/>
      <c r="E474" s="301"/>
      <c r="F474" s="301"/>
      <c r="G474" s="290"/>
      <c r="H474" s="291"/>
      <c r="I474" s="292"/>
      <c r="J474" s="61"/>
      <c r="K474" s="57"/>
      <c r="L474" s="303"/>
      <c r="M474" s="201"/>
      <c r="N474" s="84" t="str">
        <f>IF($AI474&lt;&gt;"",Master!$N$37,IF($AC474&lt;&gt;"",Master!$N$38,IF($S474&lt;&gt;"",Master!$N$39,IF($C474&lt;&gt;"",Master!$N$40,Master!$N$41))))</f>
        <v>起票</v>
      </c>
      <c r="O474" s="202" t="str">
        <f>IF($N474=Master!$N$37,MAX($S474,$AC474,$AI474),"")</f>
        <v/>
      </c>
      <c r="P474" s="65"/>
      <c r="Q474" s="203"/>
      <c r="R474" s="57"/>
      <c r="S474" s="203"/>
      <c r="T474" s="310"/>
      <c r="U474" s="289"/>
      <c r="V474" s="57"/>
      <c r="W474" s="288"/>
      <c r="X474" s="288"/>
      <c r="Y474" s="296"/>
      <c r="Z474" s="57"/>
      <c r="AA474" s="203"/>
      <c r="AB474" s="288"/>
      <c r="AC474" s="201"/>
      <c r="AD474" s="298"/>
      <c r="AE474" s="297"/>
      <c r="AF474" s="58"/>
      <c r="AG474" s="204"/>
      <c r="AH474" s="57"/>
      <c r="AI474" s="201"/>
      <c r="AJ474" s="287"/>
      <c r="AK474" s="452"/>
      <c r="AL474" s="59"/>
      <c r="AM474" s="60"/>
      <c r="AO474" s="137" t="e">
        <f t="shared" si="51"/>
        <v>#N/A</v>
      </c>
      <c r="AP474" s="138" t="e">
        <f t="shared" si="52"/>
        <v>#N/A</v>
      </c>
      <c r="AQ474" s="138" t="e">
        <f t="shared" si="53"/>
        <v>#N/A</v>
      </c>
      <c r="AR474" s="138" t="e">
        <f t="shared" si="54"/>
        <v>#N/A</v>
      </c>
      <c r="AS474" s="138" t="e">
        <f t="shared" si="55"/>
        <v>#N/A</v>
      </c>
      <c r="AT474" s="139" t="e">
        <f t="shared" si="56"/>
        <v>#N/A</v>
      </c>
      <c r="BB474" s="16" t="s">
        <v>596</v>
      </c>
    </row>
    <row r="475" spans="1:54" ht="114" customHeight="1">
      <c r="A475" s="428">
        <f t="shared" si="50"/>
        <v>467</v>
      </c>
      <c r="B475" s="403"/>
      <c r="C475" s="404"/>
      <c r="D475" s="405"/>
      <c r="E475" s="405"/>
      <c r="F475" s="405"/>
      <c r="G475" s="405"/>
      <c r="H475" s="406"/>
      <c r="I475" s="407"/>
      <c r="J475" s="408"/>
      <c r="K475" s="409"/>
      <c r="L475" s="410"/>
      <c r="M475" s="404"/>
      <c r="N475" s="411" t="str">
        <f>IF($AI475&lt;&gt;"",Master!$N$37,IF($AC475&lt;&gt;"",Master!$N$38,IF($S475&lt;&gt;"",Master!$N$39,IF($C475&lt;&gt;"",Master!$N$40,Master!$N$41))))</f>
        <v>起票</v>
      </c>
      <c r="O475" s="412" t="str">
        <f>IF($N475=Master!$N$37,MAX($S475,$AC475,$AI475),"")</f>
        <v/>
      </c>
      <c r="P475" s="413"/>
      <c r="Q475" s="414"/>
      <c r="R475" s="409"/>
      <c r="S475" s="404"/>
      <c r="T475" s="418"/>
      <c r="U475" s="415"/>
      <c r="V475" s="409"/>
      <c r="W475" s="419"/>
      <c r="X475" s="419"/>
      <c r="Y475" s="416"/>
      <c r="Z475" s="417"/>
      <c r="AA475" s="418"/>
      <c r="AB475" s="419"/>
      <c r="AC475" s="404"/>
      <c r="AD475" s="404"/>
      <c r="AE475" s="420"/>
      <c r="AF475" s="421"/>
      <c r="AG475" s="418"/>
      <c r="AH475" s="409"/>
      <c r="AI475" s="404"/>
      <c r="AJ475" s="416"/>
      <c r="AK475" s="453"/>
      <c r="AL475" s="422"/>
      <c r="AM475" s="423"/>
      <c r="AO475" s="137" t="e">
        <f t="shared" si="51"/>
        <v>#N/A</v>
      </c>
      <c r="AP475" s="138" t="e">
        <f t="shared" si="52"/>
        <v>#N/A</v>
      </c>
      <c r="AQ475" s="138" t="e">
        <f t="shared" si="53"/>
        <v>#N/A</v>
      </c>
      <c r="AR475" s="138" t="e">
        <f t="shared" si="54"/>
        <v>#N/A</v>
      </c>
      <c r="AS475" s="138" t="e">
        <f t="shared" si="55"/>
        <v>#N/A</v>
      </c>
      <c r="AT475" s="139" t="e">
        <f t="shared" si="56"/>
        <v>#N/A</v>
      </c>
      <c r="BB475" s="16" t="s">
        <v>596</v>
      </c>
    </row>
    <row r="476" spans="1:54" ht="114" customHeight="1">
      <c r="A476" s="428">
        <f t="shared" si="50"/>
        <v>468</v>
      </c>
      <c r="B476" s="403"/>
      <c r="C476" s="404"/>
      <c r="D476" s="405"/>
      <c r="E476" s="405"/>
      <c r="F476" s="405"/>
      <c r="G476" s="405"/>
      <c r="H476" s="406"/>
      <c r="I476" s="407"/>
      <c r="J476" s="408"/>
      <c r="K476" s="409"/>
      <c r="L476" s="410"/>
      <c r="M476" s="404"/>
      <c r="N476" s="411" t="str">
        <f>IF($AI476&lt;&gt;"",Master!$N$37,IF($AC476&lt;&gt;"",Master!$N$38,IF($S476&lt;&gt;"",Master!$N$39,IF($C476&lt;&gt;"",Master!$N$40,Master!$N$41))))</f>
        <v>起票</v>
      </c>
      <c r="O476" s="412" t="str">
        <f>IF($N476=Master!$N$37,MAX($S476,$AC476,$AI476),"")</f>
        <v/>
      </c>
      <c r="P476" s="413"/>
      <c r="Q476" s="414"/>
      <c r="R476" s="409"/>
      <c r="S476" s="404"/>
      <c r="T476" s="418"/>
      <c r="U476" s="415"/>
      <c r="V476" s="409"/>
      <c r="W476" s="419"/>
      <c r="X476" s="419"/>
      <c r="Y476" s="416"/>
      <c r="Z476" s="417"/>
      <c r="AA476" s="418"/>
      <c r="AB476" s="419"/>
      <c r="AC476" s="404"/>
      <c r="AD476" s="404"/>
      <c r="AE476" s="420"/>
      <c r="AF476" s="421"/>
      <c r="AG476" s="418"/>
      <c r="AH476" s="409"/>
      <c r="AI476" s="404"/>
      <c r="AJ476" s="416"/>
      <c r="AK476" s="453"/>
      <c r="AL476" s="422"/>
      <c r="AM476" s="423"/>
      <c r="AO476" s="137" t="e">
        <f t="shared" si="51"/>
        <v>#N/A</v>
      </c>
      <c r="AP476" s="138" t="e">
        <f t="shared" si="52"/>
        <v>#N/A</v>
      </c>
      <c r="AQ476" s="138" t="e">
        <f t="shared" si="53"/>
        <v>#N/A</v>
      </c>
      <c r="AR476" s="138" t="e">
        <f t="shared" si="54"/>
        <v>#N/A</v>
      </c>
      <c r="AS476" s="138" t="e">
        <f t="shared" si="55"/>
        <v>#N/A</v>
      </c>
      <c r="AT476" s="139" t="e">
        <f t="shared" si="56"/>
        <v>#N/A</v>
      </c>
      <c r="BB476" s="16" t="s">
        <v>596</v>
      </c>
    </row>
    <row r="477" spans="1:54" ht="114" customHeight="1">
      <c r="A477" s="428">
        <f t="shared" si="50"/>
        <v>469</v>
      </c>
      <c r="B477" s="403"/>
      <c r="C477" s="404"/>
      <c r="D477" s="405"/>
      <c r="E477" s="405"/>
      <c r="F477" s="405"/>
      <c r="G477" s="405"/>
      <c r="H477" s="406"/>
      <c r="I477" s="407"/>
      <c r="J477" s="408"/>
      <c r="K477" s="409"/>
      <c r="L477" s="410"/>
      <c r="M477" s="404"/>
      <c r="N477" s="411" t="str">
        <f>IF($AI477&lt;&gt;"",Master!$N$37,IF($AC477&lt;&gt;"",Master!$N$38,IF($S477&lt;&gt;"",Master!$N$39,IF($C477&lt;&gt;"",Master!$N$40,Master!$N$41))))</f>
        <v>起票</v>
      </c>
      <c r="O477" s="412" t="str">
        <f>IF($N477=Master!$N$37,MAX($S477,$AC477,$AI477),"")</f>
        <v/>
      </c>
      <c r="P477" s="413"/>
      <c r="Q477" s="414"/>
      <c r="R477" s="409"/>
      <c r="S477" s="404"/>
      <c r="T477" s="418"/>
      <c r="U477" s="415"/>
      <c r="V477" s="409"/>
      <c r="W477" s="419"/>
      <c r="X477" s="419"/>
      <c r="Y477" s="416"/>
      <c r="Z477" s="417"/>
      <c r="AA477" s="418"/>
      <c r="AB477" s="419"/>
      <c r="AC477" s="404"/>
      <c r="AD477" s="404"/>
      <c r="AE477" s="420"/>
      <c r="AF477" s="421"/>
      <c r="AG477" s="418"/>
      <c r="AH477" s="409"/>
      <c r="AI477" s="404"/>
      <c r="AJ477" s="416"/>
      <c r="AK477" s="453"/>
      <c r="AL477" s="422"/>
      <c r="AM477" s="423"/>
      <c r="AO477" s="137" t="e">
        <f t="shared" si="51"/>
        <v>#N/A</v>
      </c>
      <c r="AP477" s="138" t="e">
        <f t="shared" si="52"/>
        <v>#N/A</v>
      </c>
      <c r="AQ477" s="138" t="e">
        <f t="shared" si="53"/>
        <v>#N/A</v>
      </c>
      <c r="AR477" s="138" t="e">
        <f t="shared" si="54"/>
        <v>#N/A</v>
      </c>
      <c r="AS477" s="138" t="e">
        <f t="shared" si="55"/>
        <v>#N/A</v>
      </c>
      <c r="AT477" s="139" t="e">
        <f t="shared" si="56"/>
        <v>#N/A</v>
      </c>
      <c r="BB477" s="16" t="s">
        <v>596</v>
      </c>
    </row>
    <row r="478" spans="1:54" ht="114" customHeight="1">
      <c r="A478" s="428">
        <f t="shared" si="50"/>
        <v>470</v>
      </c>
      <c r="B478" s="294"/>
      <c r="C478" s="201"/>
      <c r="D478" s="290"/>
      <c r="E478" s="301"/>
      <c r="F478" s="301"/>
      <c r="G478" s="290"/>
      <c r="H478" s="291"/>
      <c r="I478" s="292"/>
      <c r="J478" s="61"/>
      <c r="K478" s="57"/>
      <c r="L478" s="303"/>
      <c r="M478" s="201"/>
      <c r="N478" s="84" t="str">
        <f>IF($AI478&lt;&gt;"",Master!$N$37,IF($AC478&lt;&gt;"",Master!$N$38,IF($S478&lt;&gt;"",Master!$N$39,IF($C478&lt;&gt;"",Master!$N$40,Master!$N$41))))</f>
        <v>起票</v>
      </c>
      <c r="O478" s="202" t="str">
        <f>IF($N478=Master!$N$37,MAX($S478,$AC478,$AI478),"")</f>
        <v/>
      </c>
      <c r="P478" s="65"/>
      <c r="Q478" s="203"/>
      <c r="R478" s="57"/>
      <c r="S478" s="203"/>
      <c r="T478" s="310"/>
      <c r="U478" s="289"/>
      <c r="V478" s="57"/>
      <c r="W478" s="288"/>
      <c r="X478" s="288"/>
      <c r="Y478" s="296"/>
      <c r="Z478" s="57"/>
      <c r="AA478" s="203"/>
      <c r="AB478" s="288"/>
      <c r="AC478" s="201"/>
      <c r="AD478" s="298"/>
      <c r="AE478" s="297"/>
      <c r="AF478" s="58"/>
      <c r="AG478" s="204"/>
      <c r="AH478" s="57"/>
      <c r="AI478" s="201"/>
      <c r="AJ478" s="287"/>
      <c r="AK478" s="452"/>
      <c r="AL478" s="59"/>
      <c r="AM478" s="60"/>
      <c r="AO478" s="137" t="e">
        <f t="shared" si="51"/>
        <v>#N/A</v>
      </c>
      <c r="AP478" s="138" t="e">
        <f t="shared" si="52"/>
        <v>#N/A</v>
      </c>
      <c r="AQ478" s="138" t="e">
        <f t="shared" si="53"/>
        <v>#N/A</v>
      </c>
      <c r="AR478" s="138" t="e">
        <f t="shared" si="54"/>
        <v>#N/A</v>
      </c>
      <c r="AS478" s="138" t="e">
        <f t="shared" si="55"/>
        <v>#N/A</v>
      </c>
      <c r="AT478" s="139" t="e">
        <f t="shared" si="56"/>
        <v>#N/A</v>
      </c>
      <c r="BB478" s="16" t="s">
        <v>596</v>
      </c>
    </row>
    <row r="479" spans="1:54" ht="114" customHeight="1">
      <c r="A479" s="428">
        <f t="shared" si="50"/>
        <v>471</v>
      </c>
      <c r="B479" s="294"/>
      <c r="C479" s="201"/>
      <c r="D479" s="290"/>
      <c r="E479" s="301"/>
      <c r="F479" s="301"/>
      <c r="G479" s="290"/>
      <c r="H479" s="291"/>
      <c r="I479" s="292"/>
      <c r="J479" s="61"/>
      <c r="K479" s="57"/>
      <c r="L479" s="303"/>
      <c r="M479" s="201"/>
      <c r="N479" s="84" t="str">
        <f>IF($AI479&lt;&gt;"",Master!$N$37,IF($AC479&lt;&gt;"",Master!$N$38,IF($S479&lt;&gt;"",Master!$N$39,IF($C479&lt;&gt;"",Master!$N$40,Master!$N$41))))</f>
        <v>起票</v>
      </c>
      <c r="O479" s="202" t="str">
        <f>IF($N479=Master!$N$37,MAX($S479,$AC479,$AI479),"")</f>
        <v/>
      </c>
      <c r="P479" s="65"/>
      <c r="Q479" s="203"/>
      <c r="R479" s="57"/>
      <c r="S479" s="203"/>
      <c r="T479" s="310"/>
      <c r="U479" s="289"/>
      <c r="V479" s="57"/>
      <c r="W479" s="288"/>
      <c r="X479" s="288"/>
      <c r="Y479" s="296"/>
      <c r="Z479" s="57"/>
      <c r="AA479" s="203"/>
      <c r="AB479" s="288"/>
      <c r="AC479" s="201"/>
      <c r="AD479" s="298"/>
      <c r="AE479" s="297"/>
      <c r="AF479" s="58"/>
      <c r="AG479" s="204"/>
      <c r="AH479" s="57"/>
      <c r="AI479" s="201"/>
      <c r="AJ479" s="287"/>
      <c r="AK479" s="452"/>
      <c r="AL479" s="59"/>
      <c r="AM479" s="60"/>
      <c r="AO479" s="137" t="e">
        <f t="shared" si="51"/>
        <v>#N/A</v>
      </c>
      <c r="AP479" s="138" t="e">
        <f t="shared" si="52"/>
        <v>#N/A</v>
      </c>
      <c r="AQ479" s="138" t="e">
        <f t="shared" si="53"/>
        <v>#N/A</v>
      </c>
      <c r="AR479" s="138" t="e">
        <f t="shared" si="54"/>
        <v>#N/A</v>
      </c>
      <c r="AS479" s="138" t="e">
        <f t="shared" si="55"/>
        <v>#N/A</v>
      </c>
      <c r="AT479" s="139" t="e">
        <f t="shared" si="56"/>
        <v>#N/A</v>
      </c>
      <c r="BB479" s="16" t="s">
        <v>596</v>
      </c>
    </row>
    <row r="480" spans="1:54" ht="114" customHeight="1">
      <c r="A480" s="428">
        <f t="shared" si="50"/>
        <v>472</v>
      </c>
      <c r="B480" s="403"/>
      <c r="C480" s="404"/>
      <c r="D480" s="405"/>
      <c r="E480" s="405"/>
      <c r="F480" s="405"/>
      <c r="G480" s="405"/>
      <c r="H480" s="406"/>
      <c r="I480" s="407"/>
      <c r="J480" s="408"/>
      <c r="K480" s="409"/>
      <c r="L480" s="410"/>
      <c r="M480" s="404"/>
      <c r="N480" s="411" t="str">
        <f>IF($AI480&lt;&gt;"",Master!$N$37,IF($AC480&lt;&gt;"",Master!$N$38,IF($S480&lt;&gt;"",Master!$N$39,IF($C480&lt;&gt;"",Master!$N$40,Master!$N$41))))</f>
        <v>起票</v>
      </c>
      <c r="O480" s="412" t="str">
        <f>IF($N480=Master!$N$37,MAX($S480,$AC480,$AI480),"")</f>
        <v/>
      </c>
      <c r="P480" s="413"/>
      <c r="Q480" s="414"/>
      <c r="R480" s="409"/>
      <c r="S480" s="404"/>
      <c r="T480" s="418"/>
      <c r="U480" s="415"/>
      <c r="V480" s="409"/>
      <c r="W480" s="419"/>
      <c r="X480" s="419"/>
      <c r="Y480" s="416"/>
      <c r="Z480" s="417"/>
      <c r="AA480" s="418"/>
      <c r="AB480" s="419"/>
      <c r="AC480" s="404"/>
      <c r="AD480" s="404"/>
      <c r="AE480" s="420"/>
      <c r="AF480" s="421"/>
      <c r="AG480" s="418"/>
      <c r="AH480" s="409"/>
      <c r="AI480" s="404"/>
      <c r="AJ480" s="416"/>
      <c r="AK480" s="453"/>
      <c r="AL480" s="422"/>
      <c r="AM480" s="423"/>
      <c r="AO480" s="137" t="e">
        <f t="shared" si="51"/>
        <v>#N/A</v>
      </c>
      <c r="AP480" s="138" t="e">
        <f t="shared" si="52"/>
        <v>#N/A</v>
      </c>
      <c r="AQ480" s="138" t="e">
        <f t="shared" si="53"/>
        <v>#N/A</v>
      </c>
      <c r="AR480" s="138" t="e">
        <f t="shared" si="54"/>
        <v>#N/A</v>
      </c>
      <c r="AS480" s="138" t="e">
        <f t="shared" si="55"/>
        <v>#N/A</v>
      </c>
      <c r="AT480" s="139" t="e">
        <f t="shared" si="56"/>
        <v>#N/A</v>
      </c>
      <c r="BB480" s="16" t="s">
        <v>596</v>
      </c>
    </row>
    <row r="481" spans="1:54" ht="114" customHeight="1">
      <c r="A481" s="428">
        <f t="shared" si="50"/>
        <v>473</v>
      </c>
      <c r="B481" s="403"/>
      <c r="C481" s="404"/>
      <c r="D481" s="405"/>
      <c r="E481" s="405"/>
      <c r="F481" s="405"/>
      <c r="G481" s="405"/>
      <c r="H481" s="406"/>
      <c r="I481" s="407"/>
      <c r="J481" s="408"/>
      <c r="K481" s="409"/>
      <c r="L481" s="410"/>
      <c r="M481" s="404"/>
      <c r="N481" s="411" t="str">
        <f>IF($AI481&lt;&gt;"",Master!$N$37,IF($AC481&lt;&gt;"",Master!$N$38,IF($S481&lt;&gt;"",Master!$N$39,IF($C481&lt;&gt;"",Master!$N$40,Master!$N$41))))</f>
        <v>起票</v>
      </c>
      <c r="O481" s="412" t="str">
        <f>IF($N481=Master!$N$37,MAX($S481,$AC481,$AI481),"")</f>
        <v/>
      </c>
      <c r="P481" s="413"/>
      <c r="Q481" s="414"/>
      <c r="R481" s="409"/>
      <c r="S481" s="404"/>
      <c r="T481" s="418"/>
      <c r="U481" s="415"/>
      <c r="V481" s="409"/>
      <c r="W481" s="419"/>
      <c r="X481" s="419"/>
      <c r="Y481" s="416"/>
      <c r="Z481" s="417"/>
      <c r="AA481" s="418"/>
      <c r="AB481" s="419"/>
      <c r="AC481" s="404"/>
      <c r="AD481" s="404"/>
      <c r="AE481" s="420"/>
      <c r="AF481" s="421"/>
      <c r="AG481" s="418"/>
      <c r="AH481" s="409"/>
      <c r="AI481" s="404"/>
      <c r="AJ481" s="416"/>
      <c r="AK481" s="453"/>
      <c r="AL481" s="422"/>
      <c r="AM481" s="423"/>
      <c r="AO481" s="137" t="e">
        <f t="shared" si="51"/>
        <v>#N/A</v>
      </c>
      <c r="AP481" s="138" t="e">
        <f t="shared" si="52"/>
        <v>#N/A</v>
      </c>
      <c r="AQ481" s="138" t="e">
        <f t="shared" si="53"/>
        <v>#N/A</v>
      </c>
      <c r="AR481" s="138" t="e">
        <f t="shared" si="54"/>
        <v>#N/A</v>
      </c>
      <c r="AS481" s="138" t="e">
        <f t="shared" si="55"/>
        <v>#N/A</v>
      </c>
      <c r="AT481" s="139" t="e">
        <f t="shared" si="56"/>
        <v>#N/A</v>
      </c>
      <c r="BB481" s="16" t="s">
        <v>596</v>
      </c>
    </row>
    <row r="482" spans="1:54" ht="114" customHeight="1">
      <c r="A482" s="428">
        <f t="shared" si="50"/>
        <v>474</v>
      </c>
      <c r="B482" s="403"/>
      <c r="C482" s="404"/>
      <c r="D482" s="405"/>
      <c r="E482" s="405"/>
      <c r="F482" s="405"/>
      <c r="G482" s="405"/>
      <c r="H482" s="406"/>
      <c r="I482" s="407"/>
      <c r="J482" s="408"/>
      <c r="K482" s="409"/>
      <c r="L482" s="410"/>
      <c r="M482" s="404"/>
      <c r="N482" s="411" t="str">
        <f>IF($AI482&lt;&gt;"",Master!$N$37,IF($AC482&lt;&gt;"",Master!$N$38,IF($S482&lt;&gt;"",Master!$N$39,IF($C482&lt;&gt;"",Master!$N$40,Master!$N$41))))</f>
        <v>起票</v>
      </c>
      <c r="O482" s="412" t="str">
        <f>IF($N482=Master!$N$37,MAX($S482,$AC482,$AI482),"")</f>
        <v/>
      </c>
      <c r="P482" s="413"/>
      <c r="Q482" s="414"/>
      <c r="R482" s="409"/>
      <c r="S482" s="404"/>
      <c r="T482" s="418"/>
      <c r="U482" s="415"/>
      <c r="V482" s="409"/>
      <c r="W482" s="419"/>
      <c r="X482" s="419"/>
      <c r="Y482" s="416"/>
      <c r="Z482" s="417"/>
      <c r="AA482" s="418"/>
      <c r="AB482" s="419"/>
      <c r="AC482" s="404"/>
      <c r="AD482" s="404"/>
      <c r="AE482" s="420"/>
      <c r="AF482" s="421"/>
      <c r="AG482" s="418"/>
      <c r="AH482" s="409"/>
      <c r="AI482" s="404"/>
      <c r="AJ482" s="416"/>
      <c r="AK482" s="453"/>
      <c r="AL482" s="422"/>
      <c r="AM482" s="423"/>
      <c r="AO482" s="137" t="e">
        <f t="shared" si="51"/>
        <v>#N/A</v>
      </c>
      <c r="AP482" s="138" t="e">
        <f t="shared" si="52"/>
        <v>#N/A</v>
      </c>
      <c r="AQ482" s="138" t="e">
        <f t="shared" si="53"/>
        <v>#N/A</v>
      </c>
      <c r="AR482" s="138" t="e">
        <f t="shared" si="54"/>
        <v>#N/A</v>
      </c>
      <c r="AS482" s="138" t="e">
        <f t="shared" si="55"/>
        <v>#N/A</v>
      </c>
      <c r="AT482" s="139" t="e">
        <f t="shared" si="56"/>
        <v>#N/A</v>
      </c>
      <c r="BB482" s="16" t="s">
        <v>596</v>
      </c>
    </row>
    <row r="483" spans="1:54" ht="114" customHeight="1">
      <c r="A483" s="428">
        <f t="shared" si="50"/>
        <v>475</v>
      </c>
      <c r="B483" s="294"/>
      <c r="C483" s="201"/>
      <c r="D483" s="290"/>
      <c r="E483" s="301"/>
      <c r="F483" s="301"/>
      <c r="G483" s="290"/>
      <c r="H483" s="291"/>
      <c r="I483" s="292"/>
      <c r="J483" s="61"/>
      <c r="K483" s="57"/>
      <c r="L483" s="303"/>
      <c r="M483" s="201"/>
      <c r="N483" s="84" t="str">
        <f>IF($AI483&lt;&gt;"",Master!$N$37,IF($AC483&lt;&gt;"",Master!$N$38,IF($S483&lt;&gt;"",Master!$N$39,IF($C483&lt;&gt;"",Master!$N$40,Master!$N$41))))</f>
        <v>起票</v>
      </c>
      <c r="O483" s="202" t="str">
        <f>IF($N483=Master!$N$37,MAX($S483,$AC483,$AI483),"")</f>
        <v/>
      </c>
      <c r="P483" s="65"/>
      <c r="Q483" s="203"/>
      <c r="R483" s="57"/>
      <c r="S483" s="203"/>
      <c r="T483" s="310"/>
      <c r="U483" s="289"/>
      <c r="V483" s="57"/>
      <c r="W483" s="288"/>
      <c r="X483" s="288"/>
      <c r="Y483" s="296"/>
      <c r="Z483" s="57"/>
      <c r="AA483" s="203"/>
      <c r="AB483" s="288"/>
      <c r="AC483" s="201"/>
      <c r="AD483" s="298"/>
      <c r="AE483" s="297"/>
      <c r="AF483" s="58"/>
      <c r="AG483" s="204"/>
      <c r="AH483" s="57"/>
      <c r="AI483" s="201"/>
      <c r="AJ483" s="287"/>
      <c r="AK483" s="452"/>
      <c r="AL483" s="59"/>
      <c r="AM483" s="60"/>
      <c r="AO483" s="137" t="e">
        <f t="shared" si="51"/>
        <v>#N/A</v>
      </c>
      <c r="AP483" s="138" t="e">
        <f t="shared" si="52"/>
        <v>#N/A</v>
      </c>
      <c r="AQ483" s="138" t="e">
        <f t="shared" si="53"/>
        <v>#N/A</v>
      </c>
      <c r="AR483" s="138" t="e">
        <f t="shared" si="54"/>
        <v>#N/A</v>
      </c>
      <c r="AS483" s="138" t="e">
        <f t="shared" si="55"/>
        <v>#N/A</v>
      </c>
      <c r="AT483" s="139" t="e">
        <f t="shared" si="56"/>
        <v>#N/A</v>
      </c>
      <c r="BB483" s="16" t="s">
        <v>596</v>
      </c>
    </row>
    <row r="484" spans="1:54" ht="114" customHeight="1">
      <c r="A484" s="428">
        <f t="shared" si="50"/>
        <v>476</v>
      </c>
      <c r="B484" s="294"/>
      <c r="C484" s="201"/>
      <c r="D484" s="290"/>
      <c r="E484" s="301"/>
      <c r="F484" s="301"/>
      <c r="G484" s="290"/>
      <c r="H484" s="291"/>
      <c r="I484" s="292"/>
      <c r="J484" s="61"/>
      <c r="K484" s="57"/>
      <c r="L484" s="303"/>
      <c r="M484" s="201"/>
      <c r="N484" s="84" t="str">
        <f>IF($AI484&lt;&gt;"",Master!$N$37,IF($AC484&lt;&gt;"",Master!$N$38,IF($S484&lt;&gt;"",Master!$N$39,IF($C484&lt;&gt;"",Master!$N$40,Master!$N$41))))</f>
        <v>起票</v>
      </c>
      <c r="O484" s="202" t="str">
        <f>IF($N484=Master!$N$37,MAX($S484,$AC484,$AI484),"")</f>
        <v/>
      </c>
      <c r="P484" s="65"/>
      <c r="Q484" s="203"/>
      <c r="R484" s="57"/>
      <c r="S484" s="203"/>
      <c r="T484" s="310"/>
      <c r="U484" s="289"/>
      <c r="V484" s="57"/>
      <c r="W484" s="288"/>
      <c r="X484" s="288"/>
      <c r="Y484" s="296"/>
      <c r="Z484" s="57"/>
      <c r="AA484" s="203"/>
      <c r="AB484" s="288"/>
      <c r="AC484" s="201"/>
      <c r="AD484" s="298"/>
      <c r="AE484" s="297"/>
      <c r="AF484" s="58"/>
      <c r="AG484" s="204"/>
      <c r="AH484" s="57"/>
      <c r="AI484" s="201"/>
      <c r="AJ484" s="287"/>
      <c r="AK484" s="452"/>
      <c r="AL484" s="59"/>
      <c r="AM484" s="60"/>
      <c r="AO484" s="137" t="e">
        <f t="shared" si="51"/>
        <v>#N/A</v>
      </c>
      <c r="AP484" s="138" t="e">
        <f t="shared" si="52"/>
        <v>#N/A</v>
      </c>
      <c r="AQ484" s="138" t="e">
        <f t="shared" si="53"/>
        <v>#N/A</v>
      </c>
      <c r="AR484" s="138" t="e">
        <f t="shared" si="54"/>
        <v>#N/A</v>
      </c>
      <c r="AS484" s="138" t="e">
        <f t="shared" si="55"/>
        <v>#N/A</v>
      </c>
      <c r="AT484" s="139" t="e">
        <f t="shared" si="56"/>
        <v>#N/A</v>
      </c>
      <c r="BB484" s="16" t="s">
        <v>596</v>
      </c>
    </row>
    <row r="485" spans="1:54" ht="114" customHeight="1">
      <c r="A485" s="428">
        <f t="shared" si="50"/>
        <v>477</v>
      </c>
      <c r="B485" s="294"/>
      <c r="C485" s="201"/>
      <c r="D485" s="290"/>
      <c r="E485" s="301"/>
      <c r="F485" s="301"/>
      <c r="G485" s="290"/>
      <c r="H485" s="291"/>
      <c r="I485" s="292"/>
      <c r="J485" s="61"/>
      <c r="K485" s="57"/>
      <c r="L485" s="303"/>
      <c r="M485" s="201"/>
      <c r="N485" s="84" t="str">
        <f>IF($AI485&lt;&gt;"",Master!$N$37,IF($AC485&lt;&gt;"",Master!$N$38,IF($S485&lt;&gt;"",Master!$N$39,IF($C485&lt;&gt;"",Master!$N$40,Master!$N$41))))</f>
        <v>起票</v>
      </c>
      <c r="O485" s="202" t="str">
        <f>IF($N485=Master!$N$37,MAX($S485,$AC485,$AI485),"")</f>
        <v/>
      </c>
      <c r="P485" s="65"/>
      <c r="Q485" s="203"/>
      <c r="R485" s="57"/>
      <c r="S485" s="203"/>
      <c r="T485" s="310"/>
      <c r="U485" s="289"/>
      <c r="V485" s="57"/>
      <c r="W485" s="288"/>
      <c r="X485" s="288"/>
      <c r="Y485" s="296"/>
      <c r="Z485" s="57"/>
      <c r="AA485" s="203"/>
      <c r="AB485" s="288"/>
      <c r="AC485" s="201"/>
      <c r="AD485" s="298"/>
      <c r="AE485" s="297"/>
      <c r="AF485" s="58"/>
      <c r="AG485" s="204"/>
      <c r="AH485" s="57"/>
      <c r="AI485" s="201"/>
      <c r="AJ485" s="287"/>
      <c r="AK485" s="452"/>
      <c r="AL485" s="59"/>
      <c r="AM485" s="60"/>
      <c r="AO485" s="137" t="e">
        <f t="shared" si="51"/>
        <v>#N/A</v>
      </c>
      <c r="AP485" s="138" t="e">
        <f t="shared" si="52"/>
        <v>#N/A</v>
      </c>
      <c r="AQ485" s="138" t="e">
        <f t="shared" si="53"/>
        <v>#N/A</v>
      </c>
      <c r="AR485" s="138" t="e">
        <f t="shared" si="54"/>
        <v>#N/A</v>
      </c>
      <c r="AS485" s="138" t="e">
        <f t="shared" si="55"/>
        <v>#N/A</v>
      </c>
      <c r="AT485" s="139" t="e">
        <f t="shared" si="56"/>
        <v>#N/A</v>
      </c>
      <c r="BB485" s="16" t="s">
        <v>596</v>
      </c>
    </row>
    <row r="486" spans="1:54" ht="114" customHeight="1">
      <c r="A486" s="428">
        <f t="shared" si="50"/>
        <v>478</v>
      </c>
      <c r="B486" s="294"/>
      <c r="C486" s="201"/>
      <c r="D486" s="290"/>
      <c r="E486" s="301"/>
      <c r="F486" s="301"/>
      <c r="G486" s="290"/>
      <c r="H486" s="291"/>
      <c r="I486" s="292"/>
      <c r="J486" s="61"/>
      <c r="K486" s="57"/>
      <c r="L486" s="303"/>
      <c r="M486" s="201"/>
      <c r="N486" s="84" t="str">
        <f>IF($AI486&lt;&gt;"",Master!$N$37,IF($AC486&lt;&gt;"",Master!$N$38,IF($S486&lt;&gt;"",Master!$N$39,IF($C486&lt;&gt;"",Master!$N$40,Master!$N$41))))</f>
        <v>起票</v>
      </c>
      <c r="O486" s="202" t="str">
        <f>IF($N486=Master!$N$37,MAX($S486,$AC486,$AI486),"")</f>
        <v/>
      </c>
      <c r="P486" s="65"/>
      <c r="Q486" s="203"/>
      <c r="R486" s="57"/>
      <c r="S486" s="203"/>
      <c r="T486" s="310"/>
      <c r="U486" s="289"/>
      <c r="V486" s="57"/>
      <c r="W486" s="288"/>
      <c r="X486" s="288"/>
      <c r="Y486" s="296"/>
      <c r="Z486" s="57"/>
      <c r="AA486" s="203"/>
      <c r="AB486" s="288"/>
      <c r="AC486" s="201"/>
      <c r="AD486" s="298"/>
      <c r="AE486" s="297"/>
      <c r="AF486" s="58"/>
      <c r="AG486" s="204"/>
      <c r="AH486" s="57"/>
      <c r="AI486" s="201"/>
      <c r="AJ486" s="287"/>
      <c r="AK486" s="452"/>
      <c r="AL486" s="59"/>
      <c r="AM486" s="60"/>
      <c r="AO486" s="137" t="e">
        <f t="shared" si="51"/>
        <v>#N/A</v>
      </c>
      <c r="AP486" s="138" t="e">
        <f t="shared" si="52"/>
        <v>#N/A</v>
      </c>
      <c r="AQ486" s="138" t="e">
        <f t="shared" si="53"/>
        <v>#N/A</v>
      </c>
      <c r="AR486" s="138" t="e">
        <f t="shared" si="54"/>
        <v>#N/A</v>
      </c>
      <c r="AS486" s="138" t="e">
        <f t="shared" si="55"/>
        <v>#N/A</v>
      </c>
      <c r="AT486" s="139" t="e">
        <f t="shared" si="56"/>
        <v>#N/A</v>
      </c>
      <c r="BB486" s="16" t="s">
        <v>596</v>
      </c>
    </row>
    <row r="487" spans="1:54" ht="114" customHeight="1">
      <c r="A487" s="428">
        <f t="shared" si="50"/>
        <v>479</v>
      </c>
      <c r="B487" s="294"/>
      <c r="C487" s="201"/>
      <c r="D487" s="290"/>
      <c r="E487" s="301"/>
      <c r="F487" s="301"/>
      <c r="G487" s="290"/>
      <c r="H487" s="291"/>
      <c r="I487" s="292"/>
      <c r="J487" s="61"/>
      <c r="K487" s="57"/>
      <c r="L487" s="303"/>
      <c r="M487" s="201"/>
      <c r="N487" s="84" t="str">
        <f>IF($AI487&lt;&gt;"",Master!$N$37,IF($AC487&lt;&gt;"",Master!$N$38,IF($S487&lt;&gt;"",Master!$N$39,IF($C487&lt;&gt;"",Master!$N$40,Master!$N$41))))</f>
        <v>起票</v>
      </c>
      <c r="O487" s="202" t="str">
        <f>IF($N487=Master!$N$37,MAX($S487,$AC487,$AI487),"")</f>
        <v/>
      </c>
      <c r="P487" s="65"/>
      <c r="Q487" s="203"/>
      <c r="R487" s="57"/>
      <c r="S487" s="203"/>
      <c r="T487" s="310"/>
      <c r="U487" s="289"/>
      <c r="V487" s="57"/>
      <c r="W487" s="288"/>
      <c r="X487" s="288"/>
      <c r="Y487" s="296"/>
      <c r="Z487" s="57"/>
      <c r="AA487" s="203"/>
      <c r="AB487" s="288"/>
      <c r="AC487" s="201"/>
      <c r="AD487" s="298"/>
      <c r="AE487" s="297"/>
      <c r="AF487" s="58"/>
      <c r="AG487" s="204"/>
      <c r="AH487" s="57"/>
      <c r="AI487" s="201"/>
      <c r="AJ487" s="287"/>
      <c r="AK487" s="452"/>
      <c r="AL487" s="59"/>
      <c r="AM487" s="60"/>
      <c r="AO487" s="137" t="e">
        <f t="shared" si="51"/>
        <v>#N/A</v>
      </c>
      <c r="AP487" s="138" t="e">
        <f t="shared" si="52"/>
        <v>#N/A</v>
      </c>
      <c r="AQ487" s="138" t="e">
        <f t="shared" si="53"/>
        <v>#N/A</v>
      </c>
      <c r="AR487" s="138" t="e">
        <f t="shared" si="54"/>
        <v>#N/A</v>
      </c>
      <c r="AS487" s="138" t="e">
        <f t="shared" si="55"/>
        <v>#N/A</v>
      </c>
      <c r="AT487" s="139" t="e">
        <f t="shared" si="56"/>
        <v>#N/A</v>
      </c>
      <c r="BB487" s="16" t="s">
        <v>596</v>
      </c>
    </row>
    <row r="488" spans="1:54" ht="114" customHeight="1">
      <c r="A488" s="428">
        <f t="shared" si="50"/>
        <v>480</v>
      </c>
      <c r="B488" s="403"/>
      <c r="C488" s="404"/>
      <c r="D488" s="405"/>
      <c r="E488" s="405"/>
      <c r="F488" s="405"/>
      <c r="G488" s="405"/>
      <c r="H488" s="406"/>
      <c r="I488" s="407"/>
      <c r="J488" s="408"/>
      <c r="K488" s="409"/>
      <c r="L488" s="410"/>
      <c r="M488" s="404"/>
      <c r="N488" s="411" t="str">
        <f>IF($AI488&lt;&gt;"",Master!$N$37,IF($AC488&lt;&gt;"",Master!$N$38,IF($S488&lt;&gt;"",Master!$N$39,IF($C488&lt;&gt;"",Master!$N$40,Master!$N$41))))</f>
        <v>起票</v>
      </c>
      <c r="O488" s="412" t="str">
        <f>IF($N488=Master!$N$37,MAX($S488,$AC488,$AI488),"")</f>
        <v/>
      </c>
      <c r="P488" s="413"/>
      <c r="Q488" s="414"/>
      <c r="R488" s="409"/>
      <c r="S488" s="404"/>
      <c r="T488" s="418"/>
      <c r="U488" s="415"/>
      <c r="V488" s="409"/>
      <c r="W488" s="419"/>
      <c r="X488" s="419"/>
      <c r="Y488" s="416"/>
      <c r="Z488" s="417"/>
      <c r="AA488" s="418"/>
      <c r="AB488" s="419"/>
      <c r="AC488" s="404"/>
      <c r="AD488" s="404"/>
      <c r="AE488" s="420"/>
      <c r="AF488" s="421"/>
      <c r="AG488" s="418"/>
      <c r="AH488" s="409"/>
      <c r="AI488" s="404"/>
      <c r="AJ488" s="416"/>
      <c r="AK488" s="453"/>
      <c r="AL488" s="422"/>
      <c r="AM488" s="423"/>
      <c r="AO488" s="137" t="e">
        <f t="shared" si="51"/>
        <v>#N/A</v>
      </c>
      <c r="AP488" s="138" t="e">
        <f t="shared" si="52"/>
        <v>#N/A</v>
      </c>
      <c r="AQ488" s="138" t="e">
        <f t="shared" si="53"/>
        <v>#N/A</v>
      </c>
      <c r="AR488" s="138" t="e">
        <f t="shared" si="54"/>
        <v>#N/A</v>
      </c>
      <c r="AS488" s="138" t="e">
        <f t="shared" si="55"/>
        <v>#N/A</v>
      </c>
      <c r="AT488" s="139" t="e">
        <f t="shared" si="56"/>
        <v>#N/A</v>
      </c>
      <c r="BB488" s="16" t="s">
        <v>596</v>
      </c>
    </row>
    <row r="489" spans="1:54" ht="114" customHeight="1">
      <c r="A489" s="428">
        <f t="shared" si="50"/>
        <v>481</v>
      </c>
      <c r="B489" s="403"/>
      <c r="C489" s="404"/>
      <c r="D489" s="405"/>
      <c r="E489" s="405"/>
      <c r="F489" s="405"/>
      <c r="G489" s="405"/>
      <c r="H489" s="406"/>
      <c r="I489" s="407"/>
      <c r="J489" s="408"/>
      <c r="K489" s="409"/>
      <c r="L489" s="410"/>
      <c r="M489" s="404"/>
      <c r="N489" s="411" t="str">
        <f>IF($AI489&lt;&gt;"",Master!$N$37,IF($AC489&lt;&gt;"",Master!$N$38,IF($S489&lt;&gt;"",Master!$N$39,IF($C489&lt;&gt;"",Master!$N$40,Master!$N$41))))</f>
        <v>起票</v>
      </c>
      <c r="O489" s="412" t="str">
        <f>IF($N489=Master!$N$37,MAX($S489,$AC489,$AI489),"")</f>
        <v/>
      </c>
      <c r="P489" s="413"/>
      <c r="Q489" s="414"/>
      <c r="R489" s="409"/>
      <c r="S489" s="404"/>
      <c r="T489" s="418"/>
      <c r="U489" s="415"/>
      <c r="V489" s="409"/>
      <c r="W489" s="419"/>
      <c r="X489" s="419"/>
      <c r="Y489" s="416"/>
      <c r="Z489" s="417"/>
      <c r="AA489" s="418"/>
      <c r="AB489" s="419"/>
      <c r="AC489" s="404"/>
      <c r="AD489" s="404"/>
      <c r="AE489" s="420"/>
      <c r="AF489" s="421"/>
      <c r="AG489" s="418"/>
      <c r="AH489" s="409"/>
      <c r="AI489" s="404"/>
      <c r="AJ489" s="416"/>
      <c r="AK489" s="453"/>
      <c r="AL489" s="422"/>
      <c r="AM489" s="423"/>
      <c r="AO489" s="137" t="e">
        <f t="shared" si="51"/>
        <v>#N/A</v>
      </c>
      <c r="AP489" s="138" t="e">
        <f t="shared" si="52"/>
        <v>#N/A</v>
      </c>
      <c r="AQ489" s="138" t="e">
        <f t="shared" si="53"/>
        <v>#N/A</v>
      </c>
      <c r="AR489" s="138" t="e">
        <f t="shared" si="54"/>
        <v>#N/A</v>
      </c>
      <c r="AS489" s="138" t="e">
        <f t="shared" si="55"/>
        <v>#N/A</v>
      </c>
      <c r="AT489" s="139" t="e">
        <f t="shared" si="56"/>
        <v>#N/A</v>
      </c>
      <c r="BB489" s="16" t="s">
        <v>596</v>
      </c>
    </row>
    <row r="490" spans="1:54" ht="114" customHeight="1">
      <c r="A490" s="428">
        <f t="shared" si="50"/>
        <v>482</v>
      </c>
      <c r="B490" s="403"/>
      <c r="C490" s="404"/>
      <c r="D490" s="405"/>
      <c r="E490" s="405"/>
      <c r="F490" s="405"/>
      <c r="G490" s="405"/>
      <c r="H490" s="406"/>
      <c r="I490" s="407"/>
      <c r="J490" s="408"/>
      <c r="K490" s="409"/>
      <c r="L490" s="410"/>
      <c r="M490" s="404"/>
      <c r="N490" s="411" t="str">
        <f>IF($AI490&lt;&gt;"",Master!$N$37,IF($AC490&lt;&gt;"",Master!$N$38,IF($S490&lt;&gt;"",Master!$N$39,IF($C490&lt;&gt;"",Master!$N$40,Master!$N$41))))</f>
        <v>起票</v>
      </c>
      <c r="O490" s="412" t="str">
        <f>IF($N490=Master!$N$37,MAX($S490,$AC490,$AI490),"")</f>
        <v/>
      </c>
      <c r="P490" s="413"/>
      <c r="Q490" s="414"/>
      <c r="R490" s="409"/>
      <c r="S490" s="404"/>
      <c r="T490" s="418"/>
      <c r="U490" s="415"/>
      <c r="V490" s="409"/>
      <c r="W490" s="419"/>
      <c r="X490" s="419"/>
      <c r="Y490" s="416"/>
      <c r="Z490" s="417"/>
      <c r="AA490" s="418"/>
      <c r="AB490" s="419"/>
      <c r="AC490" s="404"/>
      <c r="AD490" s="404"/>
      <c r="AE490" s="420"/>
      <c r="AF490" s="421"/>
      <c r="AG490" s="418"/>
      <c r="AH490" s="409"/>
      <c r="AI490" s="404"/>
      <c r="AJ490" s="416"/>
      <c r="AK490" s="453"/>
      <c r="AL490" s="422"/>
      <c r="AM490" s="423"/>
      <c r="AO490" s="137" t="e">
        <f t="shared" si="51"/>
        <v>#N/A</v>
      </c>
      <c r="AP490" s="138" t="e">
        <f t="shared" si="52"/>
        <v>#N/A</v>
      </c>
      <c r="AQ490" s="138" t="e">
        <f t="shared" si="53"/>
        <v>#N/A</v>
      </c>
      <c r="AR490" s="138" t="e">
        <f t="shared" si="54"/>
        <v>#N/A</v>
      </c>
      <c r="AS490" s="138" t="e">
        <f t="shared" si="55"/>
        <v>#N/A</v>
      </c>
      <c r="AT490" s="139" t="e">
        <f t="shared" si="56"/>
        <v>#N/A</v>
      </c>
      <c r="BB490" s="16" t="s">
        <v>596</v>
      </c>
    </row>
    <row r="491" spans="1:54" ht="114" customHeight="1">
      <c r="A491" s="428">
        <f t="shared" si="50"/>
        <v>483</v>
      </c>
      <c r="B491" s="294"/>
      <c r="C491" s="201"/>
      <c r="D491" s="290"/>
      <c r="E491" s="301"/>
      <c r="F491" s="301"/>
      <c r="G491" s="290"/>
      <c r="H491" s="291"/>
      <c r="I491" s="292"/>
      <c r="J491" s="61"/>
      <c r="K491" s="57"/>
      <c r="L491" s="303"/>
      <c r="M491" s="201"/>
      <c r="N491" s="84" t="str">
        <f>IF($AI491&lt;&gt;"",Master!$N$37,IF($AC491&lt;&gt;"",Master!$N$38,IF($S491&lt;&gt;"",Master!$N$39,IF($C491&lt;&gt;"",Master!$N$40,Master!$N$41))))</f>
        <v>起票</v>
      </c>
      <c r="O491" s="202" t="str">
        <f>IF($N491=Master!$N$37,MAX($S491,$AC491,$AI491),"")</f>
        <v/>
      </c>
      <c r="P491" s="65"/>
      <c r="Q491" s="203"/>
      <c r="R491" s="57"/>
      <c r="S491" s="203"/>
      <c r="T491" s="310"/>
      <c r="U491" s="289"/>
      <c r="V491" s="57"/>
      <c r="W491" s="288"/>
      <c r="X491" s="288"/>
      <c r="Y491" s="296"/>
      <c r="Z491" s="57"/>
      <c r="AA491" s="203"/>
      <c r="AB491" s="288"/>
      <c r="AC491" s="201"/>
      <c r="AD491" s="298"/>
      <c r="AE491" s="297"/>
      <c r="AF491" s="58"/>
      <c r="AG491" s="204"/>
      <c r="AH491" s="57"/>
      <c r="AI491" s="201"/>
      <c r="AJ491" s="287"/>
      <c r="AK491" s="452"/>
      <c r="AL491" s="59"/>
      <c r="AM491" s="60"/>
      <c r="AO491" s="137" t="e">
        <f t="shared" si="51"/>
        <v>#N/A</v>
      </c>
      <c r="AP491" s="138" t="e">
        <f t="shared" si="52"/>
        <v>#N/A</v>
      </c>
      <c r="AQ491" s="138" t="e">
        <f t="shared" si="53"/>
        <v>#N/A</v>
      </c>
      <c r="AR491" s="138" t="e">
        <f t="shared" si="54"/>
        <v>#N/A</v>
      </c>
      <c r="AS491" s="138" t="e">
        <f t="shared" si="55"/>
        <v>#N/A</v>
      </c>
      <c r="AT491" s="139" t="e">
        <f t="shared" si="56"/>
        <v>#N/A</v>
      </c>
      <c r="BB491" s="16" t="s">
        <v>596</v>
      </c>
    </row>
    <row r="492" spans="1:54" ht="114" customHeight="1">
      <c r="A492" s="428">
        <f t="shared" si="50"/>
        <v>484</v>
      </c>
      <c r="B492" s="294"/>
      <c r="C492" s="201"/>
      <c r="D492" s="290"/>
      <c r="E492" s="301"/>
      <c r="F492" s="301"/>
      <c r="G492" s="290"/>
      <c r="H492" s="291"/>
      <c r="I492" s="292"/>
      <c r="J492" s="61"/>
      <c r="K492" s="57"/>
      <c r="L492" s="303"/>
      <c r="M492" s="201"/>
      <c r="N492" s="84" t="str">
        <f>IF($AI492&lt;&gt;"",Master!$N$37,IF($AC492&lt;&gt;"",Master!$N$38,IF($S492&lt;&gt;"",Master!$N$39,IF($C492&lt;&gt;"",Master!$N$40,Master!$N$41))))</f>
        <v>起票</v>
      </c>
      <c r="O492" s="202" t="str">
        <f>IF($N492=Master!$N$37,MAX($S492,$AC492,$AI492),"")</f>
        <v/>
      </c>
      <c r="P492" s="65"/>
      <c r="Q492" s="203"/>
      <c r="R492" s="57"/>
      <c r="S492" s="203"/>
      <c r="T492" s="310"/>
      <c r="U492" s="289"/>
      <c r="V492" s="57"/>
      <c r="W492" s="288"/>
      <c r="X492" s="288"/>
      <c r="Y492" s="296"/>
      <c r="Z492" s="57"/>
      <c r="AA492" s="203"/>
      <c r="AB492" s="288"/>
      <c r="AC492" s="201"/>
      <c r="AD492" s="298"/>
      <c r="AE492" s="297"/>
      <c r="AF492" s="58"/>
      <c r="AG492" s="204"/>
      <c r="AH492" s="57"/>
      <c r="AI492" s="201"/>
      <c r="AJ492" s="287"/>
      <c r="AK492" s="452"/>
      <c r="AL492" s="59"/>
      <c r="AM492" s="60"/>
      <c r="AO492" s="137" t="e">
        <f t="shared" si="51"/>
        <v>#N/A</v>
      </c>
      <c r="AP492" s="138" t="e">
        <f t="shared" si="52"/>
        <v>#N/A</v>
      </c>
      <c r="AQ492" s="138" t="e">
        <f t="shared" si="53"/>
        <v>#N/A</v>
      </c>
      <c r="AR492" s="138" t="e">
        <f t="shared" si="54"/>
        <v>#N/A</v>
      </c>
      <c r="AS492" s="138" t="e">
        <f t="shared" si="55"/>
        <v>#N/A</v>
      </c>
      <c r="AT492" s="139" t="e">
        <f t="shared" si="56"/>
        <v>#N/A</v>
      </c>
      <c r="BB492" s="16" t="s">
        <v>596</v>
      </c>
    </row>
    <row r="493" spans="1:54" ht="114" customHeight="1">
      <c r="A493" s="428">
        <f t="shared" si="50"/>
        <v>485</v>
      </c>
      <c r="B493" s="403"/>
      <c r="C493" s="404"/>
      <c r="D493" s="405"/>
      <c r="E493" s="405"/>
      <c r="F493" s="405"/>
      <c r="G493" s="405"/>
      <c r="H493" s="406"/>
      <c r="I493" s="407"/>
      <c r="J493" s="408"/>
      <c r="K493" s="409"/>
      <c r="L493" s="410"/>
      <c r="M493" s="404"/>
      <c r="N493" s="411" t="str">
        <f>IF($AI493&lt;&gt;"",Master!$N$37,IF($AC493&lt;&gt;"",Master!$N$38,IF($S493&lt;&gt;"",Master!$N$39,IF($C493&lt;&gt;"",Master!$N$40,Master!$N$41))))</f>
        <v>起票</v>
      </c>
      <c r="O493" s="412" t="str">
        <f>IF($N493=Master!$N$37,MAX($S493,$AC493,$AI493),"")</f>
        <v/>
      </c>
      <c r="P493" s="413"/>
      <c r="Q493" s="414"/>
      <c r="R493" s="409"/>
      <c r="S493" s="404"/>
      <c r="T493" s="418"/>
      <c r="U493" s="415"/>
      <c r="V493" s="409"/>
      <c r="W493" s="419"/>
      <c r="X493" s="419"/>
      <c r="Y493" s="416"/>
      <c r="Z493" s="417"/>
      <c r="AA493" s="418"/>
      <c r="AB493" s="419"/>
      <c r="AC493" s="404"/>
      <c r="AD493" s="404"/>
      <c r="AE493" s="420"/>
      <c r="AF493" s="421"/>
      <c r="AG493" s="418"/>
      <c r="AH493" s="409"/>
      <c r="AI493" s="404"/>
      <c r="AJ493" s="416"/>
      <c r="AK493" s="453"/>
      <c r="AL493" s="422"/>
      <c r="AM493" s="423"/>
      <c r="AO493" s="137" t="e">
        <f t="shared" si="51"/>
        <v>#N/A</v>
      </c>
      <c r="AP493" s="138" t="e">
        <f t="shared" si="52"/>
        <v>#N/A</v>
      </c>
      <c r="AQ493" s="138" t="e">
        <f t="shared" si="53"/>
        <v>#N/A</v>
      </c>
      <c r="AR493" s="138" t="e">
        <f t="shared" si="54"/>
        <v>#N/A</v>
      </c>
      <c r="AS493" s="138" t="e">
        <f t="shared" si="55"/>
        <v>#N/A</v>
      </c>
      <c r="AT493" s="139" t="e">
        <f t="shared" si="56"/>
        <v>#N/A</v>
      </c>
      <c r="BB493" s="16" t="s">
        <v>596</v>
      </c>
    </row>
    <row r="494" spans="1:54" ht="114" customHeight="1">
      <c r="A494" s="428">
        <f t="shared" si="50"/>
        <v>486</v>
      </c>
      <c r="B494" s="403"/>
      <c r="C494" s="404"/>
      <c r="D494" s="405"/>
      <c r="E494" s="405"/>
      <c r="F494" s="405"/>
      <c r="G494" s="405"/>
      <c r="H494" s="406"/>
      <c r="I494" s="407"/>
      <c r="J494" s="408"/>
      <c r="K494" s="409"/>
      <c r="L494" s="410"/>
      <c r="M494" s="404"/>
      <c r="N494" s="411" t="str">
        <f>IF($AI494&lt;&gt;"",Master!$N$37,IF($AC494&lt;&gt;"",Master!$N$38,IF($S494&lt;&gt;"",Master!$N$39,IF($C494&lt;&gt;"",Master!$N$40,Master!$N$41))))</f>
        <v>起票</v>
      </c>
      <c r="O494" s="412" t="str">
        <f>IF($N494=Master!$N$37,MAX($S494,$AC494,$AI494),"")</f>
        <v/>
      </c>
      <c r="P494" s="413"/>
      <c r="Q494" s="414"/>
      <c r="R494" s="409"/>
      <c r="S494" s="404"/>
      <c r="T494" s="418"/>
      <c r="U494" s="415"/>
      <c r="V494" s="409"/>
      <c r="W494" s="419"/>
      <c r="X494" s="419"/>
      <c r="Y494" s="416"/>
      <c r="Z494" s="417"/>
      <c r="AA494" s="418"/>
      <c r="AB494" s="419"/>
      <c r="AC494" s="404"/>
      <c r="AD494" s="404"/>
      <c r="AE494" s="420"/>
      <c r="AF494" s="421"/>
      <c r="AG494" s="418"/>
      <c r="AH494" s="409"/>
      <c r="AI494" s="404"/>
      <c r="AJ494" s="416"/>
      <c r="AK494" s="453"/>
      <c r="AL494" s="422"/>
      <c r="AM494" s="423"/>
      <c r="AO494" s="137" t="e">
        <f t="shared" si="51"/>
        <v>#N/A</v>
      </c>
      <c r="AP494" s="138" t="e">
        <f t="shared" si="52"/>
        <v>#N/A</v>
      </c>
      <c r="AQ494" s="138" t="e">
        <f t="shared" si="53"/>
        <v>#N/A</v>
      </c>
      <c r="AR494" s="138" t="e">
        <f t="shared" si="54"/>
        <v>#N/A</v>
      </c>
      <c r="AS494" s="138" t="e">
        <f t="shared" si="55"/>
        <v>#N/A</v>
      </c>
      <c r="AT494" s="139" t="e">
        <f t="shared" si="56"/>
        <v>#N/A</v>
      </c>
      <c r="BB494" s="16" t="s">
        <v>596</v>
      </c>
    </row>
    <row r="495" spans="1:54" ht="114" customHeight="1">
      <c r="A495" s="428">
        <f t="shared" si="50"/>
        <v>487</v>
      </c>
      <c r="B495" s="403"/>
      <c r="C495" s="404"/>
      <c r="D495" s="405"/>
      <c r="E495" s="405"/>
      <c r="F495" s="405"/>
      <c r="G495" s="405"/>
      <c r="H495" s="406"/>
      <c r="I495" s="407"/>
      <c r="J495" s="408"/>
      <c r="K495" s="409"/>
      <c r="L495" s="410"/>
      <c r="M495" s="404"/>
      <c r="N495" s="411" t="str">
        <f>IF($AI495&lt;&gt;"",Master!$N$37,IF($AC495&lt;&gt;"",Master!$N$38,IF($S495&lt;&gt;"",Master!$N$39,IF($C495&lt;&gt;"",Master!$N$40,Master!$N$41))))</f>
        <v>起票</v>
      </c>
      <c r="O495" s="412" t="str">
        <f>IF($N495=Master!$N$37,MAX($S495,$AC495,$AI495),"")</f>
        <v/>
      </c>
      <c r="P495" s="413"/>
      <c r="Q495" s="414"/>
      <c r="R495" s="409"/>
      <c r="S495" s="404"/>
      <c r="T495" s="418"/>
      <c r="U495" s="415"/>
      <c r="V495" s="409"/>
      <c r="W495" s="419"/>
      <c r="X495" s="419"/>
      <c r="Y495" s="416"/>
      <c r="Z495" s="417"/>
      <c r="AA495" s="418"/>
      <c r="AB495" s="419"/>
      <c r="AC495" s="404"/>
      <c r="AD495" s="404"/>
      <c r="AE495" s="420"/>
      <c r="AF495" s="421"/>
      <c r="AG495" s="418"/>
      <c r="AH495" s="409"/>
      <c r="AI495" s="404"/>
      <c r="AJ495" s="416"/>
      <c r="AK495" s="453"/>
      <c r="AL495" s="422"/>
      <c r="AM495" s="423"/>
      <c r="AO495" s="137" t="e">
        <f t="shared" si="51"/>
        <v>#N/A</v>
      </c>
      <c r="AP495" s="138" t="e">
        <f t="shared" si="52"/>
        <v>#N/A</v>
      </c>
      <c r="AQ495" s="138" t="e">
        <f t="shared" si="53"/>
        <v>#N/A</v>
      </c>
      <c r="AR495" s="138" t="e">
        <f t="shared" si="54"/>
        <v>#N/A</v>
      </c>
      <c r="AS495" s="138" t="e">
        <f t="shared" si="55"/>
        <v>#N/A</v>
      </c>
      <c r="AT495" s="139" t="e">
        <f t="shared" si="56"/>
        <v>#N/A</v>
      </c>
      <c r="BB495" s="16" t="s">
        <v>596</v>
      </c>
    </row>
    <row r="496" spans="1:54" ht="114" customHeight="1">
      <c r="A496" s="428">
        <f t="shared" si="50"/>
        <v>488</v>
      </c>
      <c r="B496" s="294"/>
      <c r="C496" s="201"/>
      <c r="D496" s="290"/>
      <c r="E496" s="301"/>
      <c r="F496" s="301"/>
      <c r="G496" s="290"/>
      <c r="H496" s="291"/>
      <c r="I496" s="292"/>
      <c r="J496" s="61"/>
      <c r="K496" s="57"/>
      <c r="L496" s="303"/>
      <c r="M496" s="201"/>
      <c r="N496" s="84" t="str">
        <f>IF($AI496&lt;&gt;"",Master!$N$37,IF($AC496&lt;&gt;"",Master!$N$38,IF($S496&lt;&gt;"",Master!$N$39,IF($C496&lt;&gt;"",Master!$N$40,Master!$N$41))))</f>
        <v>起票</v>
      </c>
      <c r="O496" s="202" t="str">
        <f>IF($N496=Master!$N$37,MAX($S496,$AC496,$AI496),"")</f>
        <v/>
      </c>
      <c r="P496" s="65"/>
      <c r="Q496" s="203"/>
      <c r="R496" s="57"/>
      <c r="S496" s="203"/>
      <c r="T496" s="310"/>
      <c r="U496" s="289"/>
      <c r="V496" s="57"/>
      <c r="W496" s="288"/>
      <c r="X496" s="288"/>
      <c r="Y496" s="296"/>
      <c r="Z496" s="57"/>
      <c r="AA496" s="203"/>
      <c r="AB496" s="288"/>
      <c r="AC496" s="201"/>
      <c r="AD496" s="298"/>
      <c r="AE496" s="297"/>
      <c r="AF496" s="58"/>
      <c r="AG496" s="204"/>
      <c r="AH496" s="57"/>
      <c r="AI496" s="201"/>
      <c r="AJ496" s="287"/>
      <c r="AK496" s="452"/>
      <c r="AL496" s="59"/>
      <c r="AM496" s="60"/>
      <c r="AO496" s="137" t="e">
        <f t="shared" si="35"/>
        <v>#N/A</v>
      </c>
      <c r="AP496" s="138" t="e">
        <f t="shared" si="36"/>
        <v>#N/A</v>
      </c>
      <c r="AQ496" s="138" t="e">
        <f t="shared" si="37"/>
        <v>#N/A</v>
      </c>
      <c r="AR496" s="138" t="e">
        <f t="shared" si="38"/>
        <v>#N/A</v>
      </c>
      <c r="AS496" s="138" t="e">
        <f t="shared" si="39"/>
        <v>#N/A</v>
      </c>
      <c r="AT496" s="139" t="e">
        <f t="shared" si="40"/>
        <v>#N/A</v>
      </c>
      <c r="BB496" s="16" t="s">
        <v>596</v>
      </c>
    </row>
    <row r="497" spans="1:54" ht="114" customHeight="1">
      <c r="A497" s="428">
        <f t="shared" si="50"/>
        <v>489</v>
      </c>
      <c r="B497" s="294"/>
      <c r="C497" s="201"/>
      <c r="D497" s="290"/>
      <c r="E497" s="301"/>
      <c r="F497" s="301"/>
      <c r="G497" s="290"/>
      <c r="H497" s="291"/>
      <c r="I497" s="292"/>
      <c r="J497" s="61"/>
      <c r="K497" s="57"/>
      <c r="L497" s="303"/>
      <c r="M497" s="201"/>
      <c r="N497" s="84" t="str">
        <f>IF($AI497&lt;&gt;"",Master!$N$37,IF($AC497&lt;&gt;"",Master!$N$38,IF($S497&lt;&gt;"",Master!$N$39,IF($C497&lt;&gt;"",Master!$N$40,Master!$N$41))))</f>
        <v>起票</v>
      </c>
      <c r="O497" s="202" t="str">
        <f>IF($N497=Master!$N$37,MAX($S497,$AC497,$AI497),"")</f>
        <v/>
      </c>
      <c r="P497" s="65"/>
      <c r="Q497" s="203"/>
      <c r="R497" s="57"/>
      <c r="S497" s="203"/>
      <c r="T497" s="310"/>
      <c r="U497" s="289"/>
      <c r="V497" s="57"/>
      <c r="W497" s="288"/>
      <c r="X497" s="288"/>
      <c r="Y497" s="296"/>
      <c r="Z497" s="57"/>
      <c r="AA497" s="203"/>
      <c r="AB497" s="288"/>
      <c r="AC497" s="201"/>
      <c r="AD497" s="298"/>
      <c r="AE497" s="297"/>
      <c r="AF497" s="58"/>
      <c r="AG497" s="204"/>
      <c r="AH497" s="57"/>
      <c r="AI497" s="201"/>
      <c r="AJ497" s="287"/>
      <c r="AK497" s="452"/>
      <c r="AL497" s="59"/>
      <c r="AM497" s="60"/>
      <c r="AO497" s="137" t="e">
        <f t="shared" si="35"/>
        <v>#N/A</v>
      </c>
      <c r="AP497" s="138" t="e">
        <f t="shared" si="36"/>
        <v>#N/A</v>
      </c>
      <c r="AQ497" s="138" t="e">
        <f t="shared" si="37"/>
        <v>#N/A</v>
      </c>
      <c r="AR497" s="138" t="e">
        <f t="shared" si="38"/>
        <v>#N/A</v>
      </c>
      <c r="AS497" s="138" t="e">
        <f t="shared" si="39"/>
        <v>#N/A</v>
      </c>
      <c r="AT497" s="139" t="e">
        <f t="shared" si="40"/>
        <v>#N/A</v>
      </c>
      <c r="BB497" s="16" t="s">
        <v>596</v>
      </c>
    </row>
    <row r="498" spans="1:54" ht="114" customHeight="1">
      <c r="A498" s="428">
        <f t="shared" si="50"/>
        <v>490</v>
      </c>
      <c r="B498" s="294"/>
      <c r="C498" s="201"/>
      <c r="D498" s="290"/>
      <c r="E498" s="301"/>
      <c r="F498" s="301"/>
      <c r="G498" s="290"/>
      <c r="H498" s="291"/>
      <c r="I498" s="292"/>
      <c r="J498" s="61"/>
      <c r="K498" s="57"/>
      <c r="L498" s="303"/>
      <c r="M498" s="201"/>
      <c r="N498" s="84" t="str">
        <f>IF($AI498&lt;&gt;"",Master!$N$37,IF($AC498&lt;&gt;"",Master!$N$38,IF($S498&lt;&gt;"",Master!$N$39,IF($C498&lt;&gt;"",Master!$N$40,Master!$N$41))))</f>
        <v>起票</v>
      </c>
      <c r="O498" s="202" t="str">
        <f>IF($N498=Master!$N$37,MAX($S498,$AC498,$AI498),"")</f>
        <v/>
      </c>
      <c r="P498" s="65"/>
      <c r="Q498" s="203"/>
      <c r="R498" s="57"/>
      <c r="S498" s="203"/>
      <c r="T498" s="310"/>
      <c r="U498" s="289"/>
      <c r="V498" s="57"/>
      <c r="W498" s="288"/>
      <c r="X498" s="288"/>
      <c r="Y498" s="296"/>
      <c r="Z498" s="57"/>
      <c r="AA498" s="203"/>
      <c r="AB498" s="288"/>
      <c r="AC498" s="201"/>
      <c r="AD498" s="298"/>
      <c r="AE498" s="297"/>
      <c r="AF498" s="58"/>
      <c r="AG498" s="204"/>
      <c r="AH498" s="57"/>
      <c r="AI498" s="201"/>
      <c r="AJ498" s="287"/>
      <c r="AK498" s="452"/>
      <c r="AL498" s="59"/>
      <c r="AM498" s="60"/>
      <c r="AO498" s="137" t="e">
        <f t="shared" si="35"/>
        <v>#N/A</v>
      </c>
      <c r="AP498" s="138" t="e">
        <f t="shared" si="36"/>
        <v>#N/A</v>
      </c>
      <c r="AQ498" s="138" t="e">
        <f t="shared" si="37"/>
        <v>#N/A</v>
      </c>
      <c r="AR498" s="138" t="e">
        <f t="shared" si="38"/>
        <v>#N/A</v>
      </c>
      <c r="AS498" s="138" t="e">
        <f t="shared" si="39"/>
        <v>#N/A</v>
      </c>
      <c r="AT498" s="139" t="e">
        <f t="shared" si="40"/>
        <v>#N/A</v>
      </c>
      <c r="BB498" s="16" t="s">
        <v>596</v>
      </c>
    </row>
    <row r="499" spans="1:54" ht="87" customHeight="1">
      <c r="A499" s="428">
        <f t="shared" si="50"/>
        <v>491</v>
      </c>
      <c r="B499" s="294"/>
      <c r="C499" s="201"/>
      <c r="D499" s="290"/>
      <c r="E499" s="301"/>
      <c r="F499" s="301"/>
      <c r="G499" s="290"/>
      <c r="H499" s="291"/>
      <c r="I499" s="292"/>
      <c r="J499" s="61"/>
      <c r="K499" s="57"/>
      <c r="L499" s="303"/>
      <c r="M499" s="201"/>
      <c r="N499" s="84" t="str">
        <f>IF($AI499&lt;&gt;"",Master!$N$37,IF($AC499&lt;&gt;"",Master!$N$38,IF($S499&lt;&gt;"",Master!$N$39,IF($C499&lt;&gt;"",Master!$N$40,Master!$N$41))))</f>
        <v>起票</v>
      </c>
      <c r="O499" s="202" t="str">
        <f>IF($N499=Master!$N$37,MAX($S499,$AC499,$AI499),"")</f>
        <v/>
      </c>
      <c r="P499" s="65"/>
      <c r="Q499" s="203"/>
      <c r="R499" s="57"/>
      <c r="S499" s="203"/>
      <c r="T499" s="310"/>
      <c r="U499" s="289"/>
      <c r="V499" s="57"/>
      <c r="W499" s="288"/>
      <c r="X499" s="288"/>
      <c r="Y499" s="296"/>
      <c r="Z499" s="57"/>
      <c r="AA499" s="203"/>
      <c r="AB499" s="288"/>
      <c r="AC499" s="201"/>
      <c r="AD499" s="298"/>
      <c r="AE499" s="297"/>
      <c r="AF499" s="58"/>
      <c r="AG499" s="204"/>
      <c r="AH499" s="57"/>
      <c r="AI499" s="201"/>
      <c r="AJ499" s="287"/>
      <c r="AK499" s="452"/>
      <c r="AL499" s="59"/>
      <c r="AM499" s="60"/>
      <c r="AO499" s="137" t="e">
        <f t="shared" si="35"/>
        <v>#N/A</v>
      </c>
      <c r="AP499" s="138" t="e">
        <f t="shared" si="36"/>
        <v>#N/A</v>
      </c>
      <c r="AQ499" s="138" t="e">
        <f t="shared" si="37"/>
        <v>#N/A</v>
      </c>
      <c r="AR499" s="138" t="e">
        <f t="shared" si="38"/>
        <v>#N/A</v>
      </c>
      <c r="AS499" s="138" t="e">
        <f t="shared" si="39"/>
        <v>#N/A</v>
      </c>
      <c r="AT499" s="139" t="e">
        <f t="shared" si="40"/>
        <v>#N/A</v>
      </c>
      <c r="BB499" s="16" t="s">
        <v>596</v>
      </c>
    </row>
    <row r="500" spans="1:54" ht="87" customHeight="1">
      <c r="A500" s="428">
        <f t="shared" si="50"/>
        <v>492</v>
      </c>
      <c r="B500" s="294"/>
      <c r="C500" s="201"/>
      <c r="D500" s="290"/>
      <c r="E500" s="301"/>
      <c r="F500" s="301"/>
      <c r="G500" s="290"/>
      <c r="H500" s="291"/>
      <c r="I500" s="292"/>
      <c r="J500" s="61"/>
      <c r="K500" s="57"/>
      <c r="L500" s="303"/>
      <c r="M500" s="201"/>
      <c r="N500" s="84" t="str">
        <f>IF($AI500&lt;&gt;"",Master!$N$37,IF($AC500&lt;&gt;"",Master!$N$38,IF($S500&lt;&gt;"",Master!$N$39,IF($C500&lt;&gt;"",Master!$N$40,Master!$N$41))))</f>
        <v>起票</v>
      </c>
      <c r="O500" s="202" t="str">
        <f>IF($N500=Master!$N$37,MAX($S500,$AC500,$AI500),"")</f>
        <v/>
      </c>
      <c r="P500" s="65"/>
      <c r="Q500" s="203"/>
      <c r="R500" s="57"/>
      <c r="S500" s="203"/>
      <c r="T500" s="310"/>
      <c r="U500" s="289"/>
      <c r="V500" s="57"/>
      <c r="W500" s="288"/>
      <c r="X500" s="288"/>
      <c r="Y500" s="296"/>
      <c r="Z500" s="57"/>
      <c r="AA500" s="203"/>
      <c r="AB500" s="288"/>
      <c r="AC500" s="201"/>
      <c r="AD500" s="298"/>
      <c r="AE500" s="297"/>
      <c r="AF500" s="58"/>
      <c r="AG500" s="204"/>
      <c r="AH500" s="57"/>
      <c r="AI500" s="201"/>
      <c r="AJ500" s="287"/>
      <c r="AK500" s="452"/>
      <c r="AL500" s="59"/>
      <c r="AM500" s="60"/>
      <c r="AO500" s="137" t="e">
        <f t="shared" si="35"/>
        <v>#N/A</v>
      </c>
      <c r="AP500" s="138" t="e">
        <f t="shared" si="36"/>
        <v>#N/A</v>
      </c>
      <c r="AQ500" s="138" t="e">
        <f t="shared" si="37"/>
        <v>#N/A</v>
      </c>
      <c r="AR500" s="138" t="e">
        <f t="shared" si="38"/>
        <v>#N/A</v>
      </c>
      <c r="AS500" s="138" t="e">
        <f t="shared" si="39"/>
        <v>#N/A</v>
      </c>
      <c r="AT500" s="139" t="e">
        <f t="shared" si="40"/>
        <v>#N/A</v>
      </c>
      <c r="BB500" s="16" t="s">
        <v>596</v>
      </c>
    </row>
    <row r="501" spans="1:54" ht="87" customHeight="1">
      <c r="A501" s="428">
        <f t="shared" si="50"/>
        <v>493</v>
      </c>
      <c r="B501" s="403"/>
      <c r="C501" s="404"/>
      <c r="D501" s="405"/>
      <c r="E501" s="405"/>
      <c r="F501" s="405"/>
      <c r="G501" s="405"/>
      <c r="H501" s="406"/>
      <c r="I501" s="407"/>
      <c r="J501" s="408"/>
      <c r="K501" s="409"/>
      <c r="L501" s="410"/>
      <c r="M501" s="404"/>
      <c r="N501" s="411" t="str">
        <f>IF($AI501&lt;&gt;"",Master!$N$37,IF($AC501&lt;&gt;"",Master!$N$38,IF($S501&lt;&gt;"",Master!$N$39,IF($C501&lt;&gt;"",Master!$N$40,Master!$N$41))))</f>
        <v>起票</v>
      </c>
      <c r="O501" s="412" t="str">
        <f>IF($N501=Master!$N$37,MAX($S501,$AC501,$AI501),"")</f>
        <v/>
      </c>
      <c r="P501" s="413"/>
      <c r="Q501" s="414"/>
      <c r="R501" s="409"/>
      <c r="S501" s="404"/>
      <c r="T501" s="418"/>
      <c r="U501" s="415"/>
      <c r="V501" s="409"/>
      <c r="W501" s="419"/>
      <c r="X501" s="419"/>
      <c r="Y501" s="416"/>
      <c r="Z501" s="417"/>
      <c r="AA501" s="418"/>
      <c r="AB501" s="419"/>
      <c r="AC501" s="404"/>
      <c r="AD501" s="404"/>
      <c r="AE501" s="420"/>
      <c r="AF501" s="421"/>
      <c r="AG501" s="418"/>
      <c r="AH501" s="409"/>
      <c r="AI501" s="404"/>
      <c r="AJ501" s="416"/>
      <c r="AK501" s="453"/>
      <c r="AL501" s="422"/>
      <c r="AM501" s="423"/>
      <c r="AO501" s="137" t="e">
        <f t="shared" si="35"/>
        <v>#N/A</v>
      </c>
      <c r="AP501" s="138" t="e">
        <f t="shared" si="36"/>
        <v>#N/A</v>
      </c>
      <c r="AQ501" s="138" t="e">
        <f t="shared" si="37"/>
        <v>#N/A</v>
      </c>
      <c r="AR501" s="138" t="e">
        <f t="shared" si="38"/>
        <v>#N/A</v>
      </c>
      <c r="AS501" s="138" t="e">
        <f t="shared" si="39"/>
        <v>#N/A</v>
      </c>
      <c r="AT501" s="139" t="e">
        <f t="shared" si="40"/>
        <v>#N/A</v>
      </c>
      <c r="BB501" s="16" t="s">
        <v>596</v>
      </c>
    </row>
    <row r="502" spans="1:54" ht="87" customHeight="1">
      <c r="A502" s="428">
        <f t="shared" si="50"/>
        <v>494</v>
      </c>
      <c r="B502" s="403"/>
      <c r="C502" s="404"/>
      <c r="D502" s="405"/>
      <c r="E502" s="405"/>
      <c r="F502" s="405"/>
      <c r="G502" s="405"/>
      <c r="H502" s="406"/>
      <c r="I502" s="407"/>
      <c r="J502" s="408"/>
      <c r="K502" s="409"/>
      <c r="L502" s="410"/>
      <c r="M502" s="404"/>
      <c r="N502" s="411" t="str">
        <f>IF($AI502&lt;&gt;"",Master!$N$37,IF($AC502&lt;&gt;"",Master!$N$38,IF($S502&lt;&gt;"",Master!$N$39,IF($C502&lt;&gt;"",Master!$N$40,Master!$N$41))))</f>
        <v>起票</v>
      </c>
      <c r="O502" s="412" t="str">
        <f>IF($N502=Master!$N$37,MAX($S502,$AC502,$AI502),"")</f>
        <v/>
      </c>
      <c r="P502" s="413"/>
      <c r="Q502" s="414"/>
      <c r="R502" s="409"/>
      <c r="S502" s="404"/>
      <c r="T502" s="418"/>
      <c r="U502" s="415"/>
      <c r="V502" s="409"/>
      <c r="W502" s="419"/>
      <c r="X502" s="419"/>
      <c r="Y502" s="416"/>
      <c r="Z502" s="417"/>
      <c r="AA502" s="418"/>
      <c r="AB502" s="419"/>
      <c r="AC502" s="404"/>
      <c r="AD502" s="404"/>
      <c r="AE502" s="420"/>
      <c r="AF502" s="421"/>
      <c r="AG502" s="418"/>
      <c r="AH502" s="409"/>
      <c r="AI502" s="404"/>
      <c r="AJ502" s="416"/>
      <c r="AK502" s="453"/>
      <c r="AL502" s="422"/>
      <c r="AM502" s="423"/>
      <c r="AO502" s="137" t="e">
        <f t="shared" si="35"/>
        <v>#N/A</v>
      </c>
      <c r="AP502" s="138" t="e">
        <f t="shared" si="36"/>
        <v>#N/A</v>
      </c>
      <c r="AQ502" s="138" t="e">
        <f t="shared" si="37"/>
        <v>#N/A</v>
      </c>
      <c r="AR502" s="138" t="e">
        <f t="shared" si="38"/>
        <v>#N/A</v>
      </c>
      <c r="AS502" s="138" t="e">
        <f t="shared" si="39"/>
        <v>#N/A</v>
      </c>
      <c r="AT502" s="139" t="e">
        <f t="shared" si="40"/>
        <v>#N/A</v>
      </c>
      <c r="BB502" s="16" t="s">
        <v>596</v>
      </c>
    </row>
    <row r="503" spans="1:54" ht="87" customHeight="1">
      <c r="A503" s="428">
        <f t="shared" si="50"/>
        <v>495</v>
      </c>
      <c r="B503" s="403"/>
      <c r="C503" s="404"/>
      <c r="D503" s="405"/>
      <c r="E503" s="405"/>
      <c r="F503" s="405"/>
      <c r="G503" s="405"/>
      <c r="H503" s="406"/>
      <c r="I503" s="407"/>
      <c r="J503" s="408"/>
      <c r="K503" s="409"/>
      <c r="L503" s="410"/>
      <c r="M503" s="404"/>
      <c r="N503" s="411" t="str">
        <f>IF($AI503&lt;&gt;"",Master!$N$37,IF($AC503&lt;&gt;"",Master!$N$38,IF($S503&lt;&gt;"",Master!$N$39,IF($C503&lt;&gt;"",Master!$N$40,Master!$N$41))))</f>
        <v>起票</v>
      </c>
      <c r="O503" s="412" t="str">
        <f>IF($N503=Master!$N$37,MAX($S503,$AC503,$AI503),"")</f>
        <v/>
      </c>
      <c r="P503" s="413"/>
      <c r="Q503" s="414"/>
      <c r="R503" s="409"/>
      <c r="S503" s="404"/>
      <c r="T503" s="418"/>
      <c r="U503" s="415"/>
      <c r="V503" s="409"/>
      <c r="W503" s="419"/>
      <c r="X503" s="419"/>
      <c r="Y503" s="416"/>
      <c r="Z503" s="417"/>
      <c r="AA503" s="418"/>
      <c r="AB503" s="419"/>
      <c r="AC503" s="404"/>
      <c r="AD503" s="404"/>
      <c r="AE503" s="420"/>
      <c r="AF503" s="421"/>
      <c r="AG503" s="418"/>
      <c r="AH503" s="409"/>
      <c r="AI503" s="404"/>
      <c r="AJ503" s="416"/>
      <c r="AK503" s="453"/>
      <c r="AL503" s="422"/>
      <c r="AM503" s="423"/>
      <c r="AO503" s="137" t="e">
        <f t="shared" si="35"/>
        <v>#N/A</v>
      </c>
      <c r="AP503" s="138" t="e">
        <f t="shared" si="36"/>
        <v>#N/A</v>
      </c>
      <c r="AQ503" s="138" t="e">
        <f t="shared" si="37"/>
        <v>#N/A</v>
      </c>
      <c r="AR503" s="138" t="e">
        <f t="shared" si="38"/>
        <v>#N/A</v>
      </c>
      <c r="AS503" s="138" t="e">
        <f t="shared" si="39"/>
        <v>#N/A</v>
      </c>
      <c r="AT503" s="139" t="e">
        <f t="shared" si="40"/>
        <v>#N/A</v>
      </c>
      <c r="BB503" s="16" t="s">
        <v>596</v>
      </c>
    </row>
    <row r="504" spans="1:54" ht="87" customHeight="1">
      <c r="A504" s="428">
        <f t="shared" si="50"/>
        <v>496</v>
      </c>
      <c r="B504" s="294"/>
      <c r="C504" s="201"/>
      <c r="D504" s="290"/>
      <c r="E504" s="301"/>
      <c r="F504" s="301"/>
      <c r="G504" s="290"/>
      <c r="H504" s="291"/>
      <c r="I504" s="292"/>
      <c r="J504" s="61"/>
      <c r="K504" s="57"/>
      <c r="L504" s="303"/>
      <c r="M504" s="201"/>
      <c r="N504" s="84" t="str">
        <f>IF($AI504&lt;&gt;"",Master!$N$37,IF($AC504&lt;&gt;"",Master!$N$38,IF($S504&lt;&gt;"",Master!$N$39,IF($C504&lt;&gt;"",Master!$N$40,Master!$N$41))))</f>
        <v>起票</v>
      </c>
      <c r="O504" s="202" t="str">
        <f>IF($N504=Master!$N$37,MAX($S504,$AC504,$AI504),"")</f>
        <v/>
      </c>
      <c r="P504" s="65"/>
      <c r="Q504" s="203"/>
      <c r="R504" s="57"/>
      <c r="S504" s="203"/>
      <c r="T504" s="310"/>
      <c r="U504" s="289"/>
      <c r="V504" s="57"/>
      <c r="W504" s="288"/>
      <c r="X504" s="288"/>
      <c r="Y504" s="296"/>
      <c r="Z504" s="57"/>
      <c r="AA504" s="203"/>
      <c r="AB504" s="288"/>
      <c r="AC504" s="201"/>
      <c r="AD504" s="298"/>
      <c r="AE504" s="297"/>
      <c r="AF504" s="58"/>
      <c r="AG504" s="204"/>
      <c r="AH504" s="57"/>
      <c r="AI504" s="201"/>
      <c r="AJ504" s="287"/>
      <c r="AK504" s="452"/>
      <c r="AL504" s="59"/>
      <c r="AM504" s="60"/>
      <c r="AO504" s="137" t="e">
        <f t="shared" si="35"/>
        <v>#N/A</v>
      </c>
      <c r="AP504" s="138" t="e">
        <f t="shared" si="36"/>
        <v>#N/A</v>
      </c>
      <c r="AQ504" s="138" t="e">
        <f t="shared" si="37"/>
        <v>#N/A</v>
      </c>
      <c r="AR504" s="138" t="e">
        <f t="shared" si="38"/>
        <v>#N/A</v>
      </c>
      <c r="AS504" s="138" t="e">
        <f t="shared" si="39"/>
        <v>#N/A</v>
      </c>
      <c r="AT504" s="139" t="e">
        <f t="shared" si="40"/>
        <v>#N/A</v>
      </c>
      <c r="BB504" s="16" t="s">
        <v>596</v>
      </c>
    </row>
    <row r="505" spans="1:54" ht="87" customHeight="1">
      <c r="A505" s="428">
        <f t="shared" si="50"/>
        <v>497</v>
      </c>
      <c r="B505" s="294"/>
      <c r="C505" s="201"/>
      <c r="D505" s="290"/>
      <c r="E505" s="301"/>
      <c r="F505" s="301"/>
      <c r="G505" s="290"/>
      <c r="H505" s="291"/>
      <c r="I505" s="292"/>
      <c r="J505" s="61"/>
      <c r="K505" s="57"/>
      <c r="L505" s="303"/>
      <c r="M505" s="201"/>
      <c r="N505" s="84" t="str">
        <f>IF($AI505&lt;&gt;"",Master!$N$37,IF($AC505&lt;&gt;"",Master!$N$38,IF($S505&lt;&gt;"",Master!$N$39,IF($C505&lt;&gt;"",Master!$N$40,Master!$N$41))))</f>
        <v>起票</v>
      </c>
      <c r="O505" s="202" t="str">
        <f>IF($N505=Master!$N$37,MAX($S505,$AC505,$AI505),"")</f>
        <v/>
      </c>
      <c r="P505" s="65"/>
      <c r="Q505" s="203"/>
      <c r="R505" s="57"/>
      <c r="S505" s="203"/>
      <c r="T505" s="310"/>
      <c r="U505" s="289"/>
      <c r="V505" s="57"/>
      <c r="W505" s="288"/>
      <c r="X505" s="288"/>
      <c r="Y505" s="296"/>
      <c r="Z505" s="57"/>
      <c r="AA505" s="203"/>
      <c r="AB505" s="288"/>
      <c r="AC505" s="201"/>
      <c r="AD505" s="298"/>
      <c r="AE505" s="297"/>
      <c r="AF505" s="58"/>
      <c r="AG505" s="204"/>
      <c r="AH505" s="57"/>
      <c r="AI505" s="201"/>
      <c r="AJ505" s="287"/>
      <c r="AK505" s="452"/>
      <c r="AL505" s="59"/>
      <c r="AM505" s="60"/>
      <c r="AO505" s="137" t="e">
        <f t="shared" si="35"/>
        <v>#N/A</v>
      </c>
      <c r="AP505" s="138" t="e">
        <f t="shared" si="36"/>
        <v>#N/A</v>
      </c>
      <c r="AQ505" s="138" t="e">
        <f t="shared" si="37"/>
        <v>#N/A</v>
      </c>
      <c r="AR505" s="138" t="e">
        <f t="shared" si="38"/>
        <v>#N/A</v>
      </c>
      <c r="AS505" s="138" t="e">
        <f t="shared" si="39"/>
        <v>#N/A</v>
      </c>
      <c r="AT505" s="139" t="e">
        <f t="shared" si="40"/>
        <v>#N/A</v>
      </c>
      <c r="BB505" s="16" t="s">
        <v>596</v>
      </c>
    </row>
    <row r="506" spans="1:54" ht="87" customHeight="1">
      <c r="A506" s="428">
        <f t="shared" si="50"/>
        <v>498</v>
      </c>
      <c r="B506" s="403"/>
      <c r="C506" s="404"/>
      <c r="D506" s="405"/>
      <c r="E506" s="405"/>
      <c r="F506" s="405"/>
      <c r="G506" s="405"/>
      <c r="H506" s="406"/>
      <c r="I506" s="407"/>
      <c r="J506" s="408"/>
      <c r="K506" s="409"/>
      <c r="L506" s="410"/>
      <c r="M506" s="404"/>
      <c r="N506" s="411" t="str">
        <f>IF($AI506&lt;&gt;"",Master!$N$37,IF($AC506&lt;&gt;"",Master!$N$38,IF($S506&lt;&gt;"",Master!$N$39,IF($C506&lt;&gt;"",Master!$N$40,Master!$N$41))))</f>
        <v>起票</v>
      </c>
      <c r="O506" s="412" t="str">
        <f>IF($N506=Master!$N$37,MAX($S506,$AC506,$AI506),"")</f>
        <v/>
      </c>
      <c r="P506" s="413"/>
      <c r="Q506" s="414"/>
      <c r="R506" s="409"/>
      <c r="S506" s="404"/>
      <c r="T506" s="418"/>
      <c r="U506" s="415"/>
      <c r="V506" s="409"/>
      <c r="W506" s="419"/>
      <c r="X506" s="419"/>
      <c r="Y506" s="416"/>
      <c r="Z506" s="417"/>
      <c r="AA506" s="418"/>
      <c r="AB506" s="419"/>
      <c r="AC506" s="404"/>
      <c r="AD506" s="404"/>
      <c r="AE506" s="420"/>
      <c r="AF506" s="421"/>
      <c r="AG506" s="418"/>
      <c r="AH506" s="409"/>
      <c r="AI506" s="404"/>
      <c r="AJ506" s="416"/>
      <c r="AK506" s="453"/>
      <c r="AL506" s="422"/>
      <c r="AM506" s="423"/>
      <c r="AO506" s="137" t="e">
        <f t="shared" si="35"/>
        <v>#N/A</v>
      </c>
      <c r="AP506" s="138" t="e">
        <f t="shared" si="36"/>
        <v>#N/A</v>
      </c>
      <c r="AQ506" s="138" t="e">
        <f t="shared" si="37"/>
        <v>#N/A</v>
      </c>
      <c r="AR506" s="138" t="e">
        <f t="shared" si="38"/>
        <v>#N/A</v>
      </c>
      <c r="AS506" s="138" t="e">
        <f t="shared" si="39"/>
        <v>#N/A</v>
      </c>
      <c r="AT506" s="139" t="e">
        <f t="shared" si="40"/>
        <v>#N/A</v>
      </c>
      <c r="BB506" s="16" t="s">
        <v>596</v>
      </c>
    </row>
    <row r="507" spans="1:54" ht="87" customHeight="1">
      <c r="A507" s="428">
        <f t="shared" si="50"/>
        <v>499</v>
      </c>
      <c r="B507" s="403"/>
      <c r="C507" s="404"/>
      <c r="D507" s="405"/>
      <c r="E507" s="405"/>
      <c r="F507" s="405"/>
      <c r="G507" s="405"/>
      <c r="H507" s="406"/>
      <c r="I507" s="407"/>
      <c r="J507" s="408"/>
      <c r="K507" s="409"/>
      <c r="L507" s="410"/>
      <c r="M507" s="404"/>
      <c r="N507" s="411" t="str">
        <f>IF($AI507&lt;&gt;"",Master!$N$37,IF($AC507&lt;&gt;"",Master!$N$38,IF($S507&lt;&gt;"",Master!$N$39,IF($C507&lt;&gt;"",Master!$N$40,Master!$N$41))))</f>
        <v>起票</v>
      </c>
      <c r="O507" s="412" t="str">
        <f>IF($N507=Master!$N$37,MAX($S507,$AC507,$AI507),"")</f>
        <v/>
      </c>
      <c r="P507" s="413"/>
      <c r="Q507" s="414"/>
      <c r="R507" s="409"/>
      <c r="S507" s="404"/>
      <c r="T507" s="418"/>
      <c r="U507" s="415"/>
      <c r="V507" s="409"/>
      <c r="W507" s="419"/>
      <c r="X507" s="419"/>
      <c r="Y507" s="416"/>
      <c r="Z507" s="417"/>
      <c r="AA507" s="418"/>
      <c r="AB507" s="419"/>
      <c r="AC507" s="404"/>
      <c r="AD507" s="404"/>
      <c r="AE507" s="420"/>
      <c r="AF507" s="421"/>
      <c r="AG507" s="418"/>
      <c r="AH507" s="409"/>
      <c r="AI507" s="404"/>
      <c r="AJ507" s="416"/>
      <c r="AK507" s="453"/>
      <c r="AL507" s="422"/>
      <c r="AM507" s="423"/>
      <c r="AO507" s="137" t="e">
        <f t="shared" si="35"/>
        <v>#N/A</v>
      </c>
      <c r="AP507" s="138" t="e">
        <f t="shared" si="36"/>
        <v>#N/A</v>
      </c>
      <c r="AQ507" s="138" t="e">
        <f t="shared" si="37"/>
        <v>#N/A</v>
      </c>
      <c r="AR507" s="138" t="e">
        <f t="shared" si="38"/>
        <v>#N/A</v>
      </c>
      <c r="AS507" s="138" t="e">
        <f t="shared" si="39"/>
        <v>#N/A</v>
      </c>
      <c r="AT507" s="139" t="e">
        <f t="shared" si="40"/>
        <v>#N/A</v>
      </c>
      <c r="BB507" s="16" t="s">
        <v>596</v>
      </c>
    </row>
    <row r="508" spans="1:54" ht="87" customHeight="1">
      <c r="A508" s="428">
        <f t="shared" si="50"/>
        <v>500</v>
      </c>
      <c r="B508" s="403"/>
      <c r="C508" s="404"/>
      <c r="D508" s="405"/>
      <c r="E508" s="405"/>
      <c r="F508" s="405"/>
      <c r="G508" s="405"/>
      <c r="H508" s="406"/>
      <c r="I508" s="407"/>
      <c r="J508" s="408"/>
      <c r="K508" s="409"/>
      <c r="L508" s="410"/>
      <c r="M508" s="404"/>
      <c r="N508" s="411" t="str">
        <f>IF($AI508&lt;&gt;"",Master!$N$37,IF($AC508&lt;&gt;"",Master!$N$38,IF($S508&lt;&gt;"",Master!$N$39,IF($C508&lt;&gt;"",Master!$N$40,Master!$N$41))))</f>
        <v>起票</v>
      </c>
      <c r="O508" s="412" t="str">
        <f>IF($N508=Master!$N$37,MAX($S508,$AC508,$AI508),"")</f>
        <v/>
      </c>
      <c r="P508" s="413"/>
      <c r="Q508" s="414"/>
      <c r="R508" s="409"/>
      <c r="S508" s="404"/>
      <c r="T508" s="418"/>
      <c r="U508" s="415"/>
      <c r="V508" s="409"/>
      <c r="W508" s="419"/>
      <c r="X508" s="419"/>
      <c r="Y508" s="416"/>
      <c r="Z508" s="417"/>
      <c r="AA508" s="418"/>
      <c r="AB508" s="419"/>
      <c r="AC508" s="404"/>
      <c r="AD508" s="404"/>
      <c r="AE508" s="420"/>
      <c r="AF508" s="421"/>
      <c r="AG508" s="418"/>
      <c r="AH508" s="409"/>
      <c r="AI508" s="404"/>
      <c r="AJ508" s="416"/>
      <c r="AK508" s="453"/>
      <c r="AL508" s="422"/>
      <c r="AM508" s="423"/>
      <c r="AO508" s="137" t="e">
        <f t="shared" si="35"/>
        <v>#N/A</v>
      </c>
      <c r="AP508" s="138" t="e">
        <f t="shared" si="36"/>
        <v>#N/A</v>
      </c>
      <c r="AQ508" s="138" t="e">
        <f t="shared" si="37"/>
        <v>#N/A</v>
      </c>
      <c r="AR508" s="138" t="e">
        <f t="shared" si="38"/>
        <v>#N/A</v>
      </c>
      <c r="AS508" s="138" t="e">
        <f t="shared" si="39"/>
        <v>#N/A</v>
      </c>
      <c r="AT508" s="139" t="e">
        <f t="shared" si="40"/>
        <v>#N/A</v>
      </c>
      <c r="BB508" s="16" t="s">
        <v>596</v>
      </c>
    </row>
    <row r="509" spans="1:54" ht="87" customHeight="1">
      <c r="A509" s="428">
        <f t="shared" si="50"/>
        <v>501</v>
      </c>
      <c r="B509" s="294"/>
      <c r="C509" s="201"/>
      <c r="D509" s="290"/>
      <c r="E509" s="301"/>
      <c r="F509" s="301"/>
      <c r="G509" s="290"/>
      <c r="H509" s="291"/>
      <c r="I509" s="292"/>
      <c r="J509" s="61"/>
      <c r="K509" s="57"/>
      <c r="L509" s="303"/>
      <c r="M509" s="201"/>
      <c r="N509" s="84" t="str">
        <f>IF($AI509&lt;&gt;"",Master!$N$37,IF($AC509&lt;&gt;"",Master!$N$38,IF($S509&lt;&gt;"",Master!$N$39,IF($C509&lt;&gt;"",Master!$N$40,Master!$N$41))))</f>
        <v>起票</v>
      </c>
      <c r="O509" s="202" t="str">
        <f>IF($N509=Master!$N$37,MAX($S509,$AC509,$AI509),"")</f>
        <v/>
      </c>
      <c r="P509" s="65"/>
      <c r="Q509" s="203"/>
      <c r="R509" s="57"/>
      <c r="S509" s="203"/>
      <c r="T509" s="310"/>
      <c r="U509" s="289"/>
      <c r="V509" s="57"/>
      <c r="W509" s="288"/>
      <c r="X509" s="288"/>
      <c r="Y509" s="296"/>
      <c r="Z509" s="57"/>
      <c r="AA509" s="203"/>
      <c r="AB509" s="288"/>
      <c r="AC509" s="201"/>
      <c r="AD509" s="298"/>
      <c r="AE509" s="297"/>
      <c r="AF509" s="58"/>
      <c r="AG509" s="204"/>
      <c r="AH509" s="57"/>
      <c r="AI509" s="201"/>
      <c r="AJ509" s="287"/>
      <c r="AK509" s="452"/>
      <c r="AL509" s="59"/>
      <c r="AM509" s="60"/>
      <c r="AO509" s="137" t="e">
        <f t="shared" si="35"/>
        <v>#N/A</v>
      </c>
      <c r="AP509" s="138" t="e">
        <f t="shared" si="36"/>
        <v>#N/A</v>
      </c>
      <c r="AQ509" s="138" t="e">
        <f t="shared" si="37"/>
        <v>#N/A</v>
      </c>
      <c r="AR509" s="138" t="e">
        <f t="shared" si="38"/>
        <v>#N/A</v>
      </c>
      <c r="AS509" s="138" t="e">
        <f t="shared" si="39"/>
        <v>#N/A</v>
      </c>
      <c r="AT509" s="139" t="e">
        <f t="shared" si="40"/>
        <v>#N/A</v>
      </c>
      <c r="BB509" s="16" t="s">
        <v>596</v>
      </c>
    </row>
    <row r="510" spans="1:54" ht="87" customHeight="1">
      <c r="A510" s="428">
        <f t="shared" si="50"/>
        <v>502</v>
      </c>
      <c r="B510" s="294"/>
      <c r="C510" s="201"/>
      <c r="D510" s="290"/>
      <c r="E510" s="301"/>
      <c r="F510" s="301"/>
      <c r="G510" s="290"/>
      <c r="H510" s="291"/>
      <c r="I510" s="292"/>
      <c r="J510" s="61"/>
      <c r="K510" s="57"/>
      <c r="L510" s="303"/>
      <c r="M510" s="201"/>
      <c r="N510" s="84" t="str">
        <f>IF($AI510&lt;&gt;"",Master!$N$37,IF($AC510&lt;&gt;"",Master!$N$38,IF($S510&lt;&gt;"",Master!$N$39,IF($C510&lt;&gt;"",Master!$N$40,Master!$N$41))))</f>
        <v>起票</v>
      </c>
      <c r="O510" s="202" t="str">
        <f>IF($N510=Master!$N$37,MAX($S510,$AC510,$AI510),"")</f>
        <v/>
      </c>
      <c r="P510" s="65"/>
      <c r="Q510" s="203"/>
      <c r="R510" s="57"/>
      <c r="S510" s="203"/>
      <c r="T510" s="310"/>
      <c r="U510" s="289"/>
      <c r="V510" s="57"/>
      <c r="W510" s="288"/>
      <c r="X510" s="288"/>
      <c r="Y510" s="296"/>
      <c r="Z510" s="57"/>
      <c r="AA510" s="203"/>
      <c r="AB510" s="288"/>
      <c r="AC510" s="201"/>
      <c r="AD510" s="298"/>
      <c r="AE510" s="297"/>
      <c r="AF510" s="58"/>
      <c r="AG510" s="204"/>
      <c r="AH510" s="57"/>
      <c r="AI510" s="201"/>
      <c r="AJ510" s="287"/>
      <c r="AK510" s="452"/>
      <c r="AL510" s="59"/>
      <c r="AM510" s="60"/>
      <c r="AO510" s="137" t="e">
        <f t="shared" si="35"/>
        <v>#N/A</v>
      </c>
      <c r="AP510" s="138" t="e">
        <f t="shared" si="36"/>
        <v>#N/A</v>
      </c>
      <c r="AQ510" s="138" t="e">
        <f t="shared" si="37"/>
        <v>#N/A</v>
      </c>
      <c r="AR510" s="138" t="e">
        <f t="shared" si="38"/>
        <v>#N/A</v>
      </c>
      <c r="AS510" s="138" t="e">
        <f t="shared" si="39"/>
        <v>#N/A</v>
      </c>
      <c r="AT510" s="139" t="e">
        <f t="shared" si="40"/>
        <v>#N/A</v>
      </c>
      <c r="BB510" s="16" t="s">
        <v>596</v>
      </c>
    </row>
    <row r="511" spans="1:54" ht="87" customHeight="1">
      <c r="A511" s="428">
        <f t="shared" si="50"/>
        <v>503</v>
      </c>
      <c r="B511" s="294"/>
      <c r="C511" s="201"/>
      <c r="D511" s="290"/>
      <c r="E511" s="301"/>
      <c r="F511" s="301"/>
      <c r="G511" s="290"/>
      <c r="H511" s="291"/>
      <c r="I511" s="292"/>
      <c r="J511" s="61"/>
      <c r="K511" s="57"/>
      <c r="L511" s="303"/>
      <c r="M511" s="201"/>
      <c r="N511" s="84" t="str">
        <f>IF($AI511&lt;&gt;"",Master!$N$37,IF($AC511&lt;&gt;"",Master!$N$38,IF($S511&lt;&gt;"",Master!$N$39,IF($C511&lt;&gt;"",Master!$N$40,Master!$N$41))))</f>
        <v>起票</v>
      </c>
      <c r="O511" s="202" t="str">
        <f>IF($N511=Master!$N$37,MAX($S511,$AC511,$AI511),"")</f>
        <v/>
      </c>
      <c r="P511" s="65"/>
      <c r="Q511" s="203"/>
      <c r="R511" s="57"/>
      <c r="S511" s="203"/>
      <c r="T511" s="310"/>
      <c r="U511" s="289"/>
      <c r="V511" s="57"/>
      <c r="W511" s="288"/>
      <c r="X511" s="288"/>
      <c r="Y511" s="296"/>
      <c r="Z511" s="57"/>
      <c r="AA511" s="203"/>
      <c r="AB511" s="288"/>
      <c r="AC511" s="201"/>
      <c r="AD511" s="298"/>
      <c r="AE511" s="297"/>
      <c r="AF511" s="58"/>
      <c r="AG511" s="204"/>
      <c r="AH511" s="57"/>
      <c r="AI511" s="201"/>
      <c r="AJ511" s="287"/>
      <c r="AK511" s="452"/>
      <c r="AL511" s="59"/>
      <c r="AM511" s="60"/>
      <c r="AO511" s="137" t="e">
        <f t="shared" si="35"/>
        <v>#N/A</v>
      </c>
      <c r="AP511" s="138" t="e">
        <f t="shared" si="36"/>
        <v>#N/A</v>
      </c>
      <c r="AQ511" s="138" t="e">
        <f t="shared" si="37"/>
        <v>#N/A</v>
      </c>
      <c r="AR511" s="138" t="e">
        <f t="shared" si="38"/>
        <v>#N/A</v>
      </c>
      <c r="AS511" s="138" t="e">
        <f t="shared" si="39"/>
        <v>#N/A</v>
      </c>
      <c r="AT511" s="139" t="e">
        <f t="shared" si="40"/>
        <v>#N/A</v>
      </c>
      <c r="BB511" s="16" t="s">
        <v>596</v>
      </c>
    </row>
    <row r="512" spans="1:54" ht="87" customHeight="1">
      <c r="A512" s="428">
        <f t="shared" si="50"/>
        <v>504</v>
      </c>
      <c r="B512" s="294"/>
      <c r="C512" s="201"/>
      <c r="D512" s="290"/>
      <c r="E512" s="301"/>
      <c r="F512" s="301"/>
      <c r="G512" s="290"/>
      <c r="H512" s="291"/>
      <c r="I512" s="292"/>
      <c r="J512" s="61"/>
      <c r="K512" s="57"/>
      <c r="L512" s="303"/>
      <c r="M512" s="201"/>
      <c r="N512" s="84" t="str">
        <f>IF($AI512&lt;&gt;"",Master!$N$37,IF($AC512&lt;&gt;"",Master!$N$38,IF($S512&lt;&gt;"",Master!$N$39,IF($C512&lt;&gt;"",Master!$N$40,Master!$N$41))))</f>
        <v>起票</v>
      </c>
      <c r="O512" s="202" t="str">
        <f>IF($N512=Master!$N$37,MAX($S512,$AC512,$AI512),"")</f>
        <v/>
      </c>
      <c r="P512" s="65"/>
      <c r="Q512" s="203"/>
      <c r="R512" s="57"/>
      <c r="S512" s="203"/>
      <c r="T512" s="310"/>
      <c r="U512" s="289"/>
      <c r="V512" s="57"/>
      <c r="W512" s="288"/>
      <c r="X512" s="288"/>
      <c r="Y512" s="296"/>
      <c r="Z512" s="57"/>
      <c r="AA512" s="203"/>
      <c r="AB512" s="288"/>
      <c r="AC512" s="201"/>
      <c r="AD512" s="298"/>
      <c r="AE512" s="297"/>
      <c r="AF512" s="58"/>
      <c r="AG512" s="204"/>
      <c r="AH512" s="57"/>
      <c r="AI512" s="201"/>
      <c r="AJ512" s="287"/>
      <c r="AK512" s="452"/>
      <c r="AL512" s="59"/>
      <c r="AM512" s="60"/>
      <c r="AO512" s="137" t="e">
        <f t="shared" si="35"/>
        <v>#N/A</v>
      </c>
      <c r="AP512" s="138" t="e">
        <f t="shared" si="36"/>
        <v>#N/A</v>
      </c>
      <c r="AQ512" s="138" t="e">
        <f t="shared" si="37"/>
        <v>#N/A</v>
      </c>
      <c r="AR512" s="138" t="e">
        <f t="shared" si="38"/>
        <v>#N/A</v>
      </c>
      <c r="AS512" s="138" t="e">
        <f t="shared" si="39"/>
        <v>#N/A</v>
      </c>
      <c r="AT512" s="139" t="e">
        <f t="shared" si="40"/>
        <v>#N/A</v>
      </c>
      <c r="BB512" s="16" t="s">
        <v>596</v>
      </c>
    </row>
    <row r="513" spans="1:54" ht="87" customHeight="1">
      <c r="A513" s="428">
        <f t="shared" si="50"/>
        <v>505</v>
      </c>
      <c r="B513" s="294"/>
      <c r="C513" s="201"/>
      <c r="D513" s="290"/>
      <c r="E513" s="301"/>
      <c r="F513" s="301"/>
      <c r="G513" s="290"/>
      <c r="H513" s="291"/>
      <c r="I513" s="292"/>
      <c r="J513" s="61"/>
      <c r="K513" s="57"/>
      <c r="L513" s="303"/>
      <c r="M513" s="201"/>
      <c r="N513" s="84" t="str">
        <f>IF($AI513&lt;&gt;"",Master!$N$37,IF($AC513&lt;&gt;"",Master!$N$38,IF($S513&lt;&gt;"",Master!$N$39,IF($C513&lt;&gt;"",Master!$N$40,Master!$N$41))))</f>
        <v>起票</v>
      </c>
      <c r="O513" s="202" t="str">
        <f>IF($N513=Master!$N$37,MAX($S513,$AC513,$AI513),"")</f>
        <v/>
      </c>
      <c r="P513" s="65"/>
      <c r="Q513" s="203"/>
      <c r="R513" s="57"/>
      <c r="S513" s="203"/>
      <c r="T513" s="310"/>
      <c r="U513" s="289"/>
      <c r="V513" s="57"/>
      <c r="W513" s="288"/>
      <c r="X513" s="288"/>
      <c r="Y513" s="296"/>
      <c r="Z513" s="57"/>
      <c r="AA513" s="203"/>
      <c r="AB513" s="288"/>
      <c r="AC513" s="201"/>
      <c r="AD513" s="298"/>
      <c r="AE513" s="297"/>
      <c r="AF513" s="58"/>
      <c r="AG513" s="204"/>
      <c r="AH513" s="57"/>
      <c r="AI513" s="201"/>
      <c r="AJ513" s="287"/>
      <c r="AK513" s="452"/>
      <c r="AL513" s="59"/>
      <c r="AM513" s="60"/>
      <c r="AO513" s="137" t="e">
        <f t="shared" si="35"/>
        <v>#N/A</v>
      </c>
      <c r="AP513" s="138" t="e">
        <f t="shared" si="36"/>
        <v>#N/A</v>
      </c>
      <c r="AQ513" s="138" t="e">
        <f t="shared" si="37"/>
        <v>#N/A</v>
      </c>
      <c r="AR513" s="138" t="e">
        <f t="shared" si="38"/>
        <v>#N/A</v>
      </c>
      <c r="AS513" s="138" t="e">
        <f t="shared" si="39"/>
        <v>#N/A</v>
      </c>
      <c r="AT513" s="139" t="e">
        <f t="shared" si="40"/>
        <v>#N/A</v>
      </c>
      <c r="BB513" s="16" t="s">
        <v>596</v>
      </c>
    </row>
    <row r="514" spans="1:54" ht="105" customHeight="1">
      <c r="A514" s="428">
        <f t="shared" si="50"/>
        <v>506</v>
      </c>
      <c r="B514" s="403"/>
      <c r="C514" s="404"/>
      <c r="D514" s="405"/>
      <c r="E514" s="405"/>
      <c r="F514" s="405"/>
      <c r="G514" s="405"/>
      <c r="H514" s="406"/>
      <c r="I514" s="407"/>
      <c r="J514" s="408"/>
      <c r="K514" s="409"/>
      <c r="L514" s="410"/>
      <c r="M514" s="404"/>
      <c r="N514" s="411" t="str">
        <f>IF($AI514&lt;&gt;"",Master!$N$37,IF($AC514&lt;&gt;"",Master!$N$38,IF($S514&lt;&gt;"",Master!$N$39,IF($C514&lt;&gt;"",Master!$N$40,Master!$N$41))))</f>
        <v>起票</v>
      </c>
      <c r="O514" s="412" t="str">
        <f>IF($N514=Master!$N$37,MAX($S514,$AC514,$AI514),"")</f>
        <v/>
      </c>
      <c r="P514" s="413"/>
      <c r="Q514" s="414"/>
      <c r="R514" s="409"/>
      <c r="S514" s="404"/>
      <c r="T514" s="418"/>
      <c r="U514" s="415"/>
      <c r="V514" s="409"/>
      <c r="W514" s="419"/>
      <c r="X514" s="419"/>
      <c r="Y514" s="416"/>
      <c r="Z514" s="417"/>
      <c r="AA514" s="418"/>
      <c r="AB514" s="419"/>
      <c r="AC514" s="404"/>
      <c r="AD514" s="404"/>
      <c r="AE514" s="420"/>
      <c r="AF514" s="421"/>
      <c r="AG514" s="418"/>
      <c r="AH514" s="409"/>
      <c r="AI514" s="404"/>
      <c r="AJ514" s="416"/>
      <c r="AK514" s="453"/>
      <c r="AL514" s="422"/>
      <c r="AM514" s="423"/>
      <c r="AO514" s="137" t="e">
        <f t="shared" si="35"/>
        <v>#N/A</v>
      </c>
      <c r="AP514" s="138" t="e">
        <f t="shared" si="36"/>
        <v>#N/A</v>
      </c>
      <c r="AQ514" s="138" t="e">
        <f t="shared" si="37"/>
        <v>#N/A</v>
      </c>
      <c r="AR514" s="138" t="e">
        <f t="shared" si="38"/>
        <v>#N/A</v>
      </c>
      <c r="AS514" s="138" t="e">
        <f t="shared" si="39"/>
        <v>#N/A</v>
      </c>
      <c r="AT514" s="139" t="e">
        <f t="shared" si="40"/>
        <v>#N/A</v>
      </c>
      <c r="BB514" s="16" t="s">
        <v>596</v>
      </c>
    </row>
    <row r="515" spans="1:54" ht="105" customHeight="1">
      <c r="A515" s="428">
        <f t="shared" si="50"/>
        <v>507</v>
      </c>
      <c r="B515" s="403"/>
      <c r="C515" s="404"/>
      <c r="D515" s="405"/>
      <c r="E515" s="405"/>
      <c r="F515" s="405"/>
      <c r="G515" s="405"/>
      <c r="H515" s="406"/>
      <c r="I515" s="407"/>
      <c r="J515" s="408"/>
      <c r="K515" s="409"/>
      <c r="L515" s="410"/>
      <c r="M515" s="404"/>
      <c r="N515" s="411" t="str">
        <f>IF($AI515&lt;&gt;"",Master!$N$37,IF($AC515&lt;&gt;"",Master!$N$38,IF($S515&lt;&gt;"",Master!$N$39,IF($C515&lt;&gt;"",Master!$N$40,Master!$N$41))))</f>
        <v>起票</v>
      </c>
      <c r="O515" s="412" t="str">
        <f>IF($N515=Master!$N$37,MAX($S515,$AC515,$AI515),"")</f>
        <v/>
      </c>
      <c r="P515" s="413"/>
      <c r="Q515" s="414"/>
      <c r="R515" s="409"/>
      <c r="S515" s="404"/>
      <c r="T515" s="418"/>
      <c r="U515" s="415"/>
      <c r="V515" s="409"/>
      <c r="W515" s="419"/>
      <c r="X515" s="419"/>
      <c r="Y515" s="416"/>
      <c r="Z515" s="417"/>
      <c r="AA515" s="418"/>
      <c r="AB515" s="419"/>
      <c r="AC515" s="404"/>
      <c r="AD515" s="404"/>
      <c r="AE515" s="420"/>
      <c r="AF515" s="421"/>
      <c r="AG515" s="418"/>
      <c r="AH515" s="409"/>
      <c r="AI515" s="404"/>
      <c r="AJ515" s="416"/>
      <c r="AK515" s="453"/>
      <c r="AL515" s="422"/>
      <c r="AM515" s="423"/>
      <c r="AO515" s="137" t="e">
        <f t="shared" si="35"/>
        <v>#N/A</v>
      </c>
      <c r="AP515" s="138" t="e">
        <f t="shared" si="36"/>
        <v>#N/A</v>
      </c>
      <c r="AQ515" s="138" t="e">
        <f t="shared" si="37"/>
        <v>#N/A</v>
      </c>
      <c r="AR515" s="138" t="e">
        <f t="shared" si="38"/>
        <v>#N/A</v>
      </c>
      <c r="AS515" s="138" t="e">
        <f t="shared" si="39"/>
        <v>#N/A</v>
      </c>
      <c r="AT515" s="139" t="e">
        <f t="shared" si="40"/>
        <v>#N/A</v>
      </c>
      <c r="BB515" s="16" t="s">
        <v>596</v>
      </c>
    </row>
    <row r="516" spans="1:54" ht="105" customHeight="1">
      <c r="A516" s="428">
        <f t="shared" si="50"/>
        <v>508</v>
      </c>
      <c r="B516" s="403"/>
      <c r="C516" s="404"/>
      <c r="D516" s="405"/>
      <c r="E516" s="405"/>
      <c r="F516" s="405"/>
      <c r="G516" s="405"/>
      <c r="H516" s="406"/>
      <c r="I516" s="407"/>
      <c r="J516" s="408"/>
      <c r="K516" s="409"/>
      <c r="L516" s="410"/>
      <c r="M516" s="404"/>
      <c r="N516" s="411" t="str">
        <f>IF($AI516&lt;&gt;"",Master!$N$37,IF($AC516&lt;&gt;"",Master!$N$38,IF($S516&lt;&gt;"",Master!$N$39,IF($C516&lt;&gt;"",Master!$N$40,Master!$N$41))))</f>
        <v>起票</v>
      </c>
      <c r="O516" s="412" t="str">
        <f>IF($N516=Master!$N$37,MAX($S516,$AC516,$AI516),"")</f>
        <v/>
      </c>
      <c r="P516" s="413"/>
      <c r="Q516" s="414"/>
      <c r="R516" s="409"/>
      <c r="S516" s="404"/>
      <c r="T516" s="418"/>
      <c r="U516" s="415"/>
      <c r="V516" s="409"/>
      <c r="W516" s="419"/>
      <c r="X516" s="419"/>
      <c r="Y516" s="416"/>
      <c r="Z516" s="417"/>
      <c r="AA516" s="418"/>
      <c r="AB516" s="419"/>
      <c r="AC516" s="404"/>
      <c r="AD516" s="404"/>
      <c r="AE516" s="420"/>
      <c r="AF516" s="421"/>
      <c r="AG516" s="418"/>
      <c r="AH516" s="409"/>
      <c r="AI516" s="404"/>
      <c r="AJ516" s="416"/>
      <c r="AK516" s="453"/>
      <c r="AL516" s="422"/>
      <c r="AM516" s="423"/>
      <c r="AO516" s="137" t="e">
        <f t="shared" si="35"/>
        <v>#N/A</v>
      </c>
      <c r="AP516" s="138" t="e">
        <f t="shared" si="36"/>
        <v>#N/A</v>
      </c>
      <c r="AQ516" s="138" t="e">
        <f t="shared" si="37"/>
        <v>#N/A</v>
      </c>
      <c r="AR516" s="138" t="e">
        <f t="shared" si="38"/>
        <v>#N/A</v>
      </c>
      <c r="AS516" s="138" t="e">
        <f t="shared" si="39"/>
        <v>#N/A</v>
      </c>
      <c r="AT516" s="139" t="e">
        <f t="shared" si="40"/>
        <v>#N/A</v>
      </c>
      <c r="BB516" s="16" t="s">
        <v>596</v>
      </c>
    </row>
    <row r="517" spans="1:54" ht="42" customHeight="1">
      <c r="A517" s="428">
        <f t="shared" si="50"/>
        <v>509</v>
      </c>
      <c r="B517" s="294"/>
      <c r="C517" s="201"/>
      <c r="D517" s="290"/>
      <c r="E517" s="301"/>
      <c r="F517" s="301"/>
      <c r="G517" s="290"/>
      <c r="H517" s="291"/>
      <c r="I517" s="292"/>
      <c r="J517" s="61"/>
      <c r="K517" s="57"/>
      <c r="L517" s="303"/>
      <c r="M517" s="201"/>
      <c r="N517" s="84" t="str">
        <f>IF($AI517&lt;&gt;"",Master!$N$37,IF($AC517&lt;&gt;"",Master!$N$38,IF($S517&lt;&gt;"",Master!$N$39,IF($C517&lt;&gt;"",Master!$N$40,Master!$N$41))))</f>
        <v>起票</v>
      </c>
      <c r="O517" s="202" t="str">
        <f>IF($N517=Master!$N$37,MAX($S517,$AC517,$AI517),"")</f>
        <v/>
      </c>
      <c r="P517" s="65"/>
      <c r="Q517" s="203"/>
      <c r="R517" s="57"/>
      <c r="S517" s="203"/>
      <c r="T517" s="310"/>
      <c r="U517" s="289"/>
      <c r="V517" s="57"/>
      <c r="W517" s="288"/>
      <c r="X517" s="288"/>
      <c r="Y517" s="296"/>
      <c r="Z517" s="57"/>
      <c r="AA517" s="203"/>
      <c r="AB517" s="288"/>
      <c r="AC517" s="201"/>
      <c r="AD517" s="298"/>
      <c r="AE517" s="297"/>
      <c r="AF517" s="58"/>
      <c r="AG517" s="204"/>
      <c r="AH517" s="57"/>
      <c r="AI517" s="201"/>
      <c r="AJ517" s="287"/>
      <c r="AK517" s="452"/>
      <c r="AL517" s="59"/>
      <c r="AM517" s="60"/>
      <c r="AO517" s="137" t="e">
        <f t="shared" si="35"/>
        <v>#N/A</v>
      </c>
      <c r="AP517" s="138" t="e">
        <f t="shared" si="36"/>
        <v>#N/A</v>
      </c>
      <c r="AQ517" s="138" t="e">
        <f t="shared" si="37"/>
        <v>#N/A</v>
      </c>
      <c r="AR517" s="138" t="e">
        <f t="shared" si="38"/>
        <v>#N/A</v>
      </c>
      <c r="AS517" s="138" t="e">
        <f t="shared" si="39"/>
        <v>#N/A</v>
      </c>
      <c r="AT517" s="139" t="e">
        <f t="shared" si="40"/>
        <v>#N/A</v>
      </c>
      <c r="BB517" s="16" t="s">
        <v>596</v>
      </c>
    </row>
    <row r="518" spans="1:54" ht="42" customHeight="1">
      <c r="A518" s="428">
        <f t="shared" si="50"/>
        <v>510</v>
      </c>
      <c r="B518" s="294"/>
      <c r="C518" s="201"/>
      <c r="D518" s="290"/>
      <c r="E518" s="301"/>
      <c r="F518" s="301"/>
      <c r="G518" s="290"/>
      <c r="H518" s="291"/>
      <c r="I518" s="292"/>
      <c r="J518" s="61"/>
      <c r="K518" s="57"/>
      <c r="L518" s="303"/>
      <c r="M518" s="201"/>
      <c r="N518" s="84" t="str">
        <f>IF($AI518&lt;&gt;"",Master!$N$37,IF($AC518&lt;&gt;"",Master!$N$38,IF($S518&lt;&gt;"",Master!$N$39,IF($C518&lt;&gt;"",Master!$N$40,Master!$N$41))))</f>
        <v>起票</v>
      </c>
      <c r="O518" s="202" t="str">
        <f>IF($N518=Master!$N$37,MAX($S518,$AC518,$AI518),"")</f>
        <v/>
      </c>
      <c r="P518" s="65"/>
      <c r="Q518" s="203"/>
      <c r="R518" s="57"/>
      <c r="S518" s="203"/>
      <c r="T518" s="310"/>
      <c r="U518" s="289"/>
      <c r="V518" s="57"/>
      <c r="W518" s="288"/>
      <c r="X518" s="288"/>
      <c r="Y518" s="296"/>
      <c r="Z518" s="57"/>
      <c r="AA518" s="203"/>
      <c r="AB518" s="288"/>
      <c r="AC518" s="201"/>
      <c r="AD518" s="298"/>
      <c r="AE518" s="297"/>
      <c r="AF518" s="58"/>
      <c r="AG518" s="204"/>
      <c r="AH518" s="57"/>
      <c r="AI518" s="201"/>
      <c r="AJ518" s="287"/>
      <c r="AK518" s="452"/>
      <c r="AL518" s="59"/>
      <c r="AM518" s="60"/>
      <c r="AO518" s="137" t="e">
        <f t="shared" si="35"/>
        <v>#N/A</v>
      </c>
      <c r="AP518" s="138" t="e">
        <f t="shared" si="36"/>
        <v>#N/A</v>
      </c>
      <c r="AQ518" s="138" t="e">
        <f t="shared" si="37"/>
        <v>#N/A</v>
      </c>
      <c r="AR518" s="138" t="e">
        <f t="shared" si="38"/>
        <v>#N/A</v>
      </c>
      <c r="AS518" s="138" t="e">
        <f t="shared" si="39"/>
        <v>#N/A</v>
      </c>
      <c r="AT518" s="139" t="e">
        <f t="shared" si="40"/>
        <v>#N/A</v>
      </c>
      <c r="BB518" s="16" t="s">
        <v>596</v>
      </c>
    </row>
    <row r="519" spans="1:54" ht="99.75" customHeight="1">
      <c r="A519" s="428">
        <f t="shared" si="50"/>
        <v>511</v>
      </c>
      <c r="B519" s="403"/>
      <c r="C519" s="404"/>
      <c r="D519" s="405"/>
      <c r="E519" s="405"/>
      <c r="F519" s="405"/>
      <c r="G519" s="405"/>
      <c r="H519" s="406"/>
      <c r="I519" s="407"/>
      <c r="J519" s="408"/>
      <c r="K519" s="409"/>
      <c r="L519" s="410"/>
      <c r="M519" s="404"/>
      <c r="N519" s="411" t="str">
        <f>IF($AI519&lt;&gt;"",Master!$N$37,IF($AC519&lt;&gt;"",Master!$N$38,IF($S519&lt;&gt;"",Master!$N$39,IF($C519&lt;&gt;"",Master!$N$40,Master!$N$41))))</f>
        <v>起票</v>
      </c>
      <c r="O519" s="412" t="str">
        <f>IF($N519=Master!$N$37,MAX($S519,$AC519,$AI519),"")</f>
        <v/>
      </c>
      <c r="P519" s="413"/>
      <c r="Q519" s="414"/>
      <c r="R519" s="409"/>
      <c r="S519" s="404"/>
      <c r="T519" s="418"/>
      <c r="U519" s="415"/>
      <c r="V519" s="409"/>
      <c r="W519" s="419"/>
      <c r="X519" s="419"/>
      <c r="Y519" s="416"/>
      <c r="Z519" s="417"/>
      <c r="AA519" s="418"/>
      <c r="AB519" s="419"/>
      <c r="AC519" s="404"/>
      <c r="AD519" s="404"/>
      <c r="AE519" s="420"/>
      <c r="AF519" s="421"/>
      <c r="AG519" s="418"/>
      <c r="AH519" s="409"/>
      <c r="AI519" s="404"/>
      <c r="AJ519" s="416"/>
      <c r="AK519" s="453"/>
      <c r="AL519" s="422"/>
      <c r="AM519" s="423"/>
      <c r="AO519" s="137" t="e">
        <f t="shared" si="35"/>
        <v>#N/A</v>
      </c>
      <c r="AP519" s="138" t="e">
        <f t="shared" si="36"/>
        <v>#N/A</v>
      </c>
      <c r="AQ519" s="138" t="e">
        <f t="shared" si="37"/>
        <v>#N/A</v>
      </c>
      <c r="AR519" s="138" t="e">
        <f t="shared" si="38"/>
        <v>#N/A</v>
      </c>
      <c r="AS519" s="138" t="e">
        <f t="shared" si="39"/>
        <v>#N/A</v>
      </c>
      <c r="AT519" s="139" t="e">
        <f t="shared" si="40"/>
        <v>#N/A</v>
      </c>
      <c r="BB519" s="16" t="s">
        <v>596</v>
      </c>
    </row>
    <row r="520" spans="1:54" ht="99.75" customHeight="1">
      <c r="A520" s="428">
        <f t="shared" si="50"/>
        <v>512</v>
      </c>
      <c r="B520" s="403"/>
      <c r="C520" s="404"/>
      <c r="D520" s="405"/>
      <c r="E520" s="405"/>
      <c r="F520" s="405"/>
      <c r="G520" s="405"/>
      <c r="H520" s="406"/>
      <c r="I520" s="407"/>
      <c r="J520" s="408"/>
      <c r="K520" s="409"/>
      <c r="L520" s="410"/>
      <c r="M520" s="404"/>
      <c r="N520" s="411" t="str">
        <f>IF($AI520&lt;&gt;"",Master!$N$37,IF($AC520&lt;&gt;"",Master!$N$38,IF($S520&lt;&gt;"",Master!$N$39,IF($C520&lt;&gt;"",Master!$N$40,Master!$N$41))))</f>
        <v>起票</v>
      </c>
      <c r="O520" s="412" t="str">
        <f>IF($N520=Master!$N$37,MAX($S520,$AC520,$AI520),"")</f>
        <v/>
      </c>
      <c r="P520" s="413"/>
      <c r="Q520" s="414"/>
      <c r="R520" s="409"/>
      <c r="S520" s="404"/>
      <c r="T520" s="418"/>
      <c r="U520" s="415"/>
      <c r="V520" s="409"/>
      <c r="W520" s="419"/>
      <c r="X520" s="419"/>
      <c r="Y520" s="416"/>
      <c r="Z520" s="417"/>
      <c r="AA520" s="418"/>
      <c r="AB520" s="419"/>
      <c r="AC520" s="404"/>
      <c r="AD520" s="404"/>
      <c r="AE520" s="420"/>
      <c r="AF520" s="421"/>
      <c r="AG520" s="418"/>
      <c r="AH520" s="409"/>
      <c r="AI520" s="404"/>
      <c r="AJ520" s="416"/>
      <c r="AK520" s="453"/>
      <c r="AL520" s="422"/>
      <c r="AM520" s="423"/>
      <c r="AO520" s="137" t="e">
        <f t="shared" si="35"/>
        <v>#N/A</v>
      </c>
      <c r="AP520" s="138" t="e">
        <f t="shared" si="36"/>
        <v>#N/A</v>
      </c>
      <c r="AQ520" s="138" t="e">
        <f t="shared" si="37"/>
        <v>#N/A</v>
      </c>
      <c r="AR520" s="138" t="e">
        <f t="shared" si="38"/>
        <v>#N/A</v>
      </c>
      <c r="AS520" s="138" t="e">
        <f t="shared" si="39"/>
        <v>#N/A</v>
      </c>
      <c r="AT520" s="139" t="e">
        <f t="shared" si="40"/>
        <v>#N/A</v>
      </c>
      <c r="BB520" s="16" t="s">
        <v>596</v>
      </c>
    </row>
    <row r="521" spans="1:54" ht="99.75" customHeight="1">
      <c r="A521" s="428">
        <f t="shared" si="50"/>
        <v>513</v>
      </c>
      <c r="B521" s="403"/>
      <c r="C521" s="404"/>
      <c r="D521" s="405"/>
      <c r="E521" s="405"/>
      <c r="F521" s="405"/>
      <c r="G521" s="405"/>
      <c r="H521" s="406"/>
      <c r="I521" s="407"/>
      <c r="J521" s="408"/>
      <c r="K521" s="409"/>
      <c r="L521" s="410"/>
      <c r="M521" s="404"/>
      <c r="N521" s="411" t="str">
        <f>IF($AI521&lt;&gt;"",Master!$N$37,IF($AC521&lt;&gt;"",Master!$N$38,IF($S521&lt;&gt;"",Master!$N$39,IF($C521&lt;&gt;"",Master!$N$40,Master!$N$41))))</f>
        <v>起票</v>
      </c>
      <c r="O521" s="412" t="str">
        <f>IF($N521=Master!$N$37,MAX($S521,$AC521,$AI521),"")</f>
        <v/>
      </c>
      <c r="P521" s="413"/>
      <c r="Q521" s="414"/>
      <c r="R521" s="409"/>
      <c r="S521" s="404"/>
      <c r="T521" s="418"/>
      <c r="U521" s="415"/>
      <c r="V521" s="409"/>
      <c r="W521" s="419"/>
      <c r="X521" s="419"/>
      <c r="Y521" s="416"/>
      <c r="Z521" s="417"/>
      <c r="AA521" s="418"/>
      <c r="AB521" s="419"/>
      <c r="AC521" s="404"/>
      <c r="AD521" s="404"/>
      <c r="AE521" s="420"/>
      <c r="AF521" s="421"/>
      <c r="AG521" s="418"/>
      <c r="AH521" s="409"/>
      <c r="AI521" s="404"/>
      <c r="AJ521" s="416"/>
      <c r="AK521" s="453"/>
      <c r="AL521" s="422"/>
      <c r="AM521" s="423"/>
      <c r="AO521" s="137" t="e">
        <f t="shared" si="35"/>
        <v>#N/A</v>
      </c>
      <c r="AP521" s="138" t="e">
        <f t="shared" si="36"/>
        <v>#N/A</v>
      </c>
      <c r="AQ521" s="138" t="e">
        <f t="shared" si="37"/>
        <v>#N/A</v>
      </c>
      <c r="AR521" s="138" t="e">
        <f t="shared" si="38"/>
        <v>#N/A</v>
      </c>
      <c r="AS521" s="138" t="e">
        <f t="shared" si="39"/>
        <v>#N/A</v>
      </c>
      <c r="AT521" s="139" t="e">
        <f t="shared" si="40"/>
        <v>#N/A</v>
      </c>
      <c r="BB521" s="16" t="s">
        <v>596</v>
      </c>
    </row>
    <row r="522" spans="1:54" ht="99.75" customHeight="1">
      <c r="A522" s="428">
        <f t="shared" si="50"/>
        <v>514</v>
      </c>
      <c r="B522" s="294"/>
      <c r="C522" s="201"/>
      <c r="D522" s="290"/>
      <c r="E522" s="301"/>
      <c r="F522" s="301"/>
      <c r="G522" s="290"/>
      <c r="H522" s="291"/>
      <c r="I522" s="292"/>
      <c r="J522" s="61"/>
      <c r="K522" s="57"/>
      <c r="L522" s="303"/>
      <c r="M522" s="201"/>
      <c r="N522" s="84" t="str">
        <f>IF($AI522&lt;&gt;"",Master!$N$37,IF($AC522&lt;&gt;"",Master!$N$38,IF($S522&lt;&gt;"",Master!$N$39,IF($C522&lt;&gt;"",Master!$N$40,Master!$N$41))))</f>
        <v>起票</v>
      </c>
      <c r="O522" s="202" t="str">
        <f>IF($N522=Master!$N$37,MAX($S522,$AC522,$AI522),"")</f>
        <v/>
      </c>
      <c r="P522" s="65"/>
      <c r="Q522" s="203"/>
      <c r="R522" s="57"/>
      <c r="S522" s="203"/>
      <c r="T522" s="310"/>
      <c r="U522" s="289"/>
      <c r="V522" s="57"/>
      <c r="W522" s="288"/>
      <c r="X522" s="288"/>
      <c r="Y522" s="296"/>
      <c r="Z522" s="57"/>
      <c r="AA522" s="203"/>
      <c r="AB522" s="288"/>
      <c r="AC522" s="201"/>
      <c r="AD522" s="298"/>
      <c r="AE522" s="297"/>
      <c r="AF522" s="58"/>
      <c r="AG522" s="204"/>
      <c r="AH522" s="57"/>
      <c r="AI522" s="201"/>
      <c r="AJ522" s="287"/>
      <c r="AK522" s="452"/>
      <c r="AL522" s="59"/>
      <c r="AM522" s="60"/>
      <c r="AO522" s="137" t="e">
        <f t="shared" ref="AO522:AO547" si="57">IF(AND(C522&lt;&gt;"",C522&lt;=$AI$3),IF(E522="","",E522),NA())</f>
        <v>#N/A</v>
      </c>
      <c r="AP522" s="138" t="e">
        <f t="shared" ref="AP522:AP547" si="58">IF(AND(C522&lt;&gt;"",C522&lt;=$AI$3),IF(F522="","",F522),NA())</f>
        <v>#N/A</v>
      </c>
      <c r="AQ522" s="138" t="e">
        <f t="shared" ref="AQ522:AQ547" si="59">IF(AND(C522&lt;&gt;"",C522&lt;=$AI$3),IF(H522="","",H522),NA())</f>
        <v>#N/A</v>
      </c>
      <c r="AR522" s="138" t="e">
        <f t="shared" ref="AR522:AR547" si="60">IF(AND(C522&lt;&gt;"",C522&lt;=$AI$3),IF(U522="","",U522),NA())</f>
        <v>#N/A</v>
      </c>
      <c r="AS522" s="138" t="e">
        <f t="shared" ref="AS522:AS547" si="61">IF(AND(C522&lt;&gt;"",C522&lt;=$AI$3),IF(V522="","",V522),NA())</f>
        <v>#N/A</v>
      </c>
      <c r="AT522" s="139" t="e">
        <f t="shared" ref="AT522:AT547" si="62">IF(AND(C522&lt;&gt;"",C522&lt;=$AI$3),IF(AB522="","",AB522),NA())</f>
        <v>#N/A</v>
      </c>
      <c r="BB522" s="16" t="s">
        <v>596</v>
      </c>
    </row>
    <row r="523" spans="1:54" ht="99.75" customHeight="1">
      <c r="A523" s="428">
        <f t="shared" si="50"/>
        <v>515</v>
      </c>
      <c r="B523" s="294"/>
      <c r="C523" s="201"/>
      <c r="D523" s="290"/>
      <c r="E523" s="301"/>
      <c r="F523" s="301"/>
      <c r="G523" s="290"/>
      <c r="H523" s="291"/>
      <c r="I523" s="292"/>
      <c r="J523" s="61"/>
      <c r="K523" s="57"/>
      <c r="L523" s="303"/>
      <c r="M523" s="201"/>
      <c r="N523" s="84" t="str">
        <f>IF($AI523&lt;&gt;"",Master!$N$37,IF($AC523&lt;&gt;"",Master!$N$38,IF($S523&lt;&gt;"",Master!$N$39,IF($C523&lt;&gt;"",Master!$N$40,Master!$N$41))))</f>
        <v>起票</v>
      </c>
      <c r="O523" s="202" t="str">
        <f>IF($N523=Master!$N$37,MAX($S523,$AC523,$AI523),"")</f>
        <v/>
      </c>
      <c r="P523" s="65"/>
      <c r="Q523" s="203"/>
      <c r="R523" s="57"/>
      <c r="S523" s="203"/>
      <c r="T523" s="310"/>
      <c r="U523" s="289"/>
      <c r="V523" s="57"/>
      <c r="W523" s="288"/>
      <c r="X523" s="288"/>
      <c r="Y523" s="296"/>
      <c r="Z523" s="57"/>
      <c r="AA523" s="203"/>
      <c r="AB523" s="288"/>
      <c r="AC523" s="201"/>
      <c r="AD523" s="298"/>
      <c r="AE523" s="297"/>
      <c r="AF523" s="58"/>
      <c r="AG523" s="204"/>
      <c r="AH523" s="57"/>
      <c r="AI523" s="201"/>
      <c r="AJ523" s="287"/>
      <c r="AK523" s="452"/>
      <c r="AL523" s="59"/>
      <c r="AM523" s="60"/>
      <c r="AO523" s="137" t="e">
        <f t="shared" si="57"/>
        <v>#N/A</v>
      </c>
      <c r="AP523" s="138" t="e">
        <f t="shared" si="58"/>
        <v>#N/A</v>
      </c>
      <c r="AQ523" s="138" t="e">
        <f t="shared" si="59"/>
        <v>#N/A</v>
      </c>
      <c r="AR523" s="138" t="e">
        <f t="shared" si="60"/>
        <v>#N/A</v>
      </c>
      <c r="AS523" s="138" t="e">
        <f t="shared" si="61"/>
        <v>#N/A</v>
      </c>
      <c r="AT523" s="139" t="e">
        <f t="shared" si="62"/>
        <v>#N/A</v>
      </c>
      <c r="BB523" s="16" t="s">
        <v>596</v>
      </c>
    </row>
    <row r="524" spans="1:54" ht="99.75" customHeight="1">
      <c r="A524" s="428">
        <f t="shared" ref="A524:A587" si="63">A523+1</f>
        <v>516</v>
      </c>
      <c r="B524" s="294"/>
      <c r="C524" s="201"/>
      <c r="D524" s="290"/>
      <c r="E524" s="301"/>
      <c r="F524" s="301"/>
      <c r="G524" s="290"/>
      <c r="H524" s="291"/>
      <c r="I524" s="292"/>
      <c r="J524" s="61"/>
      <c r="K524" s="57"/>
      <c r="L524" s="303"/>
      <c r="M524" s="201"/>
      <c r="N524" s="84" t="str">
        <f>IF($AI524&lt;&gt;"",Master!$N$37,IF($AC524&lt;&gt;"",Master!$N$38,IF($S524&lt;&gt;"",Master!$N$39,IF($C524&lt;&gt;"",Master!$N$40,Master!$N$41))))</f>
        <v>起票</v>
      </c>
      <c r="O524" s="202" t="str">
        <f>IF($N524=Master!$N$37,MAX($S524,$AC524,$AI524),"")</f>
        <v/>
      </c>
      <c r="P524" s="65"/>
      <c r="Q524" s="203"/>
      <c r="R524" s="57"/>
      <c r="S524" s="203"/>
      <c r="T524" s="310"/>
      <c r="U524" s="289"/>
      <c r="V524" s="57"/>
      <c r="W524" s="288"/>
      <c r="X524" s="288"/>
      <c r="Y524" s="296"/>
      <c r="Z524" s="57"/>
      <c r="AA524" s="203"/>
      <c r="AB524" s="288"/>
      <c r="AC524" s="201"/>
      <c r="AD524" s="298"/>
      <c r="AE524" s="297"/>
      <c r="AF524" s="58"/>
      <c r="AG524" s="204"/>
      <c r="AH524" s="57"/>
      <c r="AI524" s="201"/>
      <c r="AJ524" s="287"/>
      <c r="AK524" s="452"/>
      <c r="AL524" s="59"/>
      <c r="AM524" s="60"/>
      <c r="AO524" s="137" t="e">
        <f t="shared" si="57"/>
        <v>#N/A</v>
      </c>
      <c r="AP524" s="138" t="e">
        <f t="shared" si="58"/>
        <v>#N/A</v>
      </c>
      <c r="AQ524" s="138" t="e">
        <f t="shared" si="59"/>
        <v>#N/A</v>
      </c>
      <c r="AR524" s="138" t="e">
        <f t="shared" si="60"/>
        <v>#N/A</v>
      </c>
      <c r="AS524" s="138" t="e">
        <f t="shared" si="61"/>
        <v>#N/A</v>
      </c>
      <c r="AT524" s="139" t="e">
        <f t="shared" si="62"/>
        <v>#N/A</v>
      </c>
      <c r="BB524" s="16" t="s">
        <v>596</v>
      </c>
    </row>
    <row r="525" spans="1:54" ht="99.75" customHeight="1">
      <c r="A525" s="428">
        <f t="shared" si="63"/>
        <v>517</v>
      </c>
      <c r="B525" s="294"/>
      <c r="C525" s="201"/>
      <c r="D525" s="290"/>
      <c r="E525" s="301"/>
      <c r="F525" s="301"/>
      <c r="G525" s="290"/>
      <c r="H525" s="291"/>
      <c r="I525" s="292"/>
      <c r="J525" s="61"/>
      <c r="K525" s="57"/>
      <c r="L525" s="303"/>
      <c r="M525" s="201"/>
      <c r="N525" s="84" t="str">
        <f>IF($AI525&lt;&gt;"",Master!$N$37,IF($AC525&lt;&gt;"",Master!$N$38,IF($S525&lt;&gt;"",Master!$N$39,IF($C525&lt;&gt;"",Master!$N$40,Master!$N$41))))</f>
        <v>起票</v>
      </c>
      <c r="O525" s="202" t="str">
        <f>IF($N525=Master!$N$37,MAX($S525,$AC525,$AI525),"")</f>
        <v/>
      </c>
      <c r="P525" s="65"/>
      <c r="Q525" s="203"/>
      <c r="R525" s="57"/>
      <c r="S525" s="203"/>
      <c r="T525" s="310"/>
      <c r="U525" s="289"/>
      <c r="V525" s="57"/>
      <c r="W525" s="288"/>
      <c r="X525" s="288"/>
      <c r="Y525" s="296"/>
      <c r="Z525" s="57"/>
      <c r="AA525" s="203"/>
      <c r="AB525" s="288"/>
      <c r="AC525" s="201"/>
      <c r="AD525" s="298"/>
      <c r="AE525" s="297"/>
      <c r="AF525" s="58"/>
      <c r="AG525" s="204"/>
      <c r="AH525" s="57"/>
      <c r="AI525" s="201"/>
      <c r="AJ525" s="287"/>
      <c r="AK525" s="452"/>
      <c r="AL525" s="59"/>
      <c r="AM525" s="60"/>
      <c r="AO525" s="137" t="e">
        <f t="shared" si="57"/>
        <v>#N/A</v>
      </c>
      <c r="AP525" s="138" t="e">
        <f t="shared" si="58"/>
        <v>#N/A</v>
      </c>
      <c r="AQ525" s="138" t="e">
        <f t="shared" si="59"/>
        <v>#N/A</v>
      </c>
      <c r="AR525" s="138" t="e">
        <f t="shared" si="60"/>
        <v>#N/A</v>
      </c>
      <c r="AS525" s="138" t="e">
        <f t="shared" si="61"/>
        <v>#N/A</v>
      </c>
      <c r="AT525" s="139" t="e">
        <f t="shared" si="62"/>
        <v>#N/A</v>
      </c>
      <c r="BB525" s="16" t="s">
        <v>596</v>
      </c>
    </row>
    <row r="526" spans="1:54" ht="99.75" customHeight="1">
      <c r="A526" s="428">
        <f t="shared" si="63"/>
        <v>518</v>
      </c>
      <c r="B526" s="294"/>
      <c r="C526" s="201"/>
      <c r="D526" s="290"/>
      <c r="E526" s="301"/>
      <c r="F526" s="301"/>
      <c r="G526" s="290"/>
      <c r="H526" s="291"/>
      <c r="I526" s="292"/>
      <c r="J526" s="61"/>
      <c r="K526" s="57"/>
      <c r="L526" s="303"/>
      <c r="M526" s="201"/>
      <c r="N526" s="84" t="str">
        <f>IF($AI526&lt;&gt;"",Master!$N$37,IF($AC526&lt;&gt;"",Master!$N$38,IF($S526&lt;&gt;"",Master!$N$39,IF($C526&lt;&gt;"",Master!$N$40,Master!$N$41))))</f>
        <v>起票</v>
      </c>
      <c r="O526" s="202" t="str">
        <f>IF($N526=Master!$N$37,MAX($S526,$AC526,$AI526),"")</f>
        <v/>
      </c>
      <c r="P526" s="65"/>
      <c r="Q526" s="203"/>
      <c r="R526" s="57"/>
      <c r="S526" s="203"/>
      <c r="T526" s="310"/>
      <c r="U526" s="289"/>
      <c r="V526" s="57"/>
      <c r="W526" s="288"/>
      <c r="X526" s="288"/>
      <c r="Y526" s="296"/>
      <c r="Z526" s="57"/>
      <c r="AA526" s="203"/>
      <c r="AB526" s="288"/>
      <c r="AC526" s="201"/>
      <c r="AD526" s="298"/>
      <c r="AE526" s="297"/>
      <c r="AF526" s="58"/>
      <c r="AG526" s="204"/>
      <c r="AH526" s="57"/>
      <c r="AI526" s="201"/>
      <c r="AJ526" s="287"/>
      <c r="AK526" s="452"/>
      <c r="AL526" s="59"/>
      <c r="AM526" s="60"/>
      <c r="AO526" s="137" t="e">
        <f t="shared" si="57"/>
        <v>#N/A</v>
      </c>
      <c r="AP526" s="138" t="e">
        <f t="shared" si="58"/>
        <v>#N/A</v>
      </c>
      <c r="AQ526" s="138" t="e">
        <f t="shared" si="59"/>
        <v>#N/A</v>
      </c>
      <c r="AR526" s="138" t="e">
        <f t="shared" si="60"/>
        <v>#N/A</v>
      </c>
      <c r="AS526" s="138" t="e">
        <f t="shared" si="61"/>
        <v>#N/A</v>
      </c>
      <c r="AT526" s="139" t="e">
        <f t="shared" si="62"/>
        <v>#N/A</v>
      </c>
      <c r="BB526" s="16" t="s">
        <v>596</v>
      </c>
    </row>
    <row r="527" spans="1:54" ht="99.75" customHeight="1">
      <c r="A527" s="428">
        <f t="shared" si="63"/>
        <v>519</v>
      </c>
      <c r="B527" s="403"/>
      <c r="C527" s="404"/>
      <c r="D527" s="405"/>
      <c r="E527" s="405"/>
      <c r="F527" s="405"/>
      <c r="G527" s="405"/>
      <c r="H527" s="406"/>
      <c r="I527" s="407"/>
      <c r="J527" s="408"/>
      <c r="K527" s="409"/>
      <c r="L527" s="410"/>
      <c r="M527" s="404"/>
      <c r="N527" s="411" t="str">
        <f>IF($AI527&lt;&gt;"",Master!$N$37,IF($AC527&lt;&gt;"",Master!$N$38,IF($S527&lt;&gt;"",Master!$N$39,IF($C527&lt;&gt;"",Master!$N$40,Master!$N$41))))</f>
        <v>起票</v>
      </c>
      <c r="O527" s="412" t="str">
        <f>IF($N527=Master!$N$37,MAX($S527,$AC527,$AI527),"")</f>
        <v/>
      </c>
      <c r="P527" s="413"/>
      <c r="Q527" s="414"/>
      <c r="R527" s="409"/>
      <c r="S527" s="404"/>
      <c r="T527" s="418"/>
      <c r="U527" s="415"/>
      <c r="V527" s="409"/>
      <c r="W527" s="419"/>
      <c r="X527" s="419"/>
      <c r="Y527" s="416"/>
      <c r="Z527" s="417"/>
      <c r="AA527" s="418"/>
      <c r="AB527" s="419"/>
      <c r="AC527" s="404"/>
      <c r="AD527" s="404"/>
      <c r="AE527" s="420"/>
      <c r="AF527" s="421"/>
      <c r="AG527" s="418"/>
      <c r="AH527" s="409"/>
      <c r="AI527" s="404"/>
      <c r="AJ527" s="416"/>
      <c r="AK527" s="453"/>
      <c r="AL527" s="422"/>
      <c r="AM527" s="423"/>
      <c r="AO527" s="137" t="e">
        <f t="shared" si="57"/>
        <v>#N/A</v>
      </c>
      <c r="AP527" s="138" t="e">
        <f t="shared" si="58"/>
        <v>#N/A</v>
      </c>
      <c r="AQ527" s="138" t="e">
        <f t="shared" si="59"/>
        <v>#N/A</v>
      </c>
      <c r="AR527" s="138" t="e">
        <f t="shared" si="60"/>
        <v>#N/A</v>
      </c>
      <c r="AS527" s="138" t="e">
        <f t="shared" si="61"/>
        <v>#N/A</v>
      </c>
      <c r="AT527" s="139" t="e">
        <f t="shared" si="62"/>
        <v>#N/A</v>
      </c>
      <c r="BB527" s="16" t="s">
        <v>596</v>
      </c>
    </row>
    <row r="528" spans="1:54" ht="99.75" customHeight="1">
      <c r="A528" s="428">
        <f t="shared" si="63"/>
        <v>520</v>
      </c>
      <c r="B528" s="403"/>
      <c r="C528" s="404"/>
      <c r="D528" s="405"/>
      <c r="E528" s="405"/>
      <c r="F528" s="405"/>
      <c r="G528" s="405"/>
      <c r="H528" s="406"/>
      <c r="I528" s="407"/>
      <c r="J528" s="408"/>
      <c r="K528" s="409"/>
      <c r="L528" s="410"/>
      <c r="M528" s="404"/>
      <c r="N528" s="411" t="str">
        <f>IF($AI528&lt;&gt;"",Master!$N$37,IF($AC528&lt;&gt;"",Master!$N$38,IF($S528&lt;&gt;"",Master!$N$39,IF($C528&lt;&gt;"",Master!$N$40,Master!$N$41))))</f>
        <v>起票</v>
      </c>
      <c r="O528" s="412" t="str">
        <f>IF($N528=Master!$N$37,MAX($S528,$AC528,$AI528),"")</f>
        <v/>
      </c>
      <c r="P528" s="413"/>
      <c r="Q528" s="414"/>
      <c r="R528" s="409"/>
      <c r="S528" s="404"/>
      <c r="T528" s="418"/>
      <c r="U528" s="415"/>
      <c r="V528" s="409"/>
      <c r="W528" s="419"/>
      <c r="X528" s="419"/>
      <c r="Y528" s="416"/>
      <c r="Z528" s="417"/>
      <c r="AA528" s="418"/>
      <c r="AB528" s="419"/>
      <c r="AC528" s="404"/>
      <c r="AD528" s="404"/>
      <c r="AE528" s="420"/>
      <c r="AF528" s="421"/>
      <c r="AG528" s="418"/>
      <c r="AH528" s="409"/>
      <c r="AI528" s="404"/>
      <c r="AJ528" s="416"/>
      <c r="AK528" s="453"/>
      <c r="AL528" s="422"/>
      <c r="AM528" s="423"/>
      <c r="AO528" s="137" t="e">
        <f t="shared" si="57"/>
        <v>#N/A</v>
      </c>
      <c r="AP528" s="138" t="e">
        <f t="shared" si="58"/>
        <v>#N/A</v>
      </c>
      <c r="AQ528" s="138" t="e">
        <f t="shared" si="59"/>
        <v>#N/A</v>
      </c>
      <c r="AR528" s="138" t="e">
        <f t="shared" si="60"/>
        <v>#N/A</v>
      </c>
      <c r="AS528" s="138" t="e">
        <f t="shared" si="61"/>
        <v>#N/A</v>
      </c>
      <c r="AT528" s="139" t="e">
        <f t="shared" si="62"/>
        <v>#N/A</v>
      </c>
      <c r="BB528" s="16" t="s">
        <v>596</v>
      </c>
    </row>
    <row r="529" spans="1:54" ht="99.75" customHeight="1">
      <c r="A529" s="428">
        <f t="shared" si="63"/>
        <v>521</v>
      </c>
      <c r="B529" s="403"/>
      <c r="C529" s="404"/>
      <c r="D529" s="405"/>
      <c r="E529" s="405"/>
      <c r="F529" s="405"/>
      <c r="G529" s="405"/>
      <c r="H529" s="406"/>
      <c r="I529" s="407"/>
      <c r="J529" s="408"/>
      <c r="K529" s="409"/>
      <c r="L529" s="410"/>
      <c r="M529" s="404"/>
      <c r="N529" s="411" t="str">
        <f>IF($AI529&lt;&gt;"",Master!$N$37,IF($AC529&lt;&gt;"",Master!$N$38,IF($S529&lt;&gt;"",Master!$N$39,IF($C529&lt;&gt;"",Master!$N$40,Master!$N$41))))</f>
        <v>起票</v>
      </c>
      <c r="O529" s="412" t="str">
        <f>IF($N529=Master!$N$37,MAX($S529,$AC529,$AI529),"")</f>
        <v/>
      </c>
      <c r="P529" s="413"/>
      <c r="Q529" s="414"/>
      <c r="R529" s="409"/>
      <c r="S529" s="404"/>
      <c r="T529" s="418"/>
      <c r="U529" s="415"/>
      <c r="V529" s="409"/>
      <c r="W529" s="419"/>
      <c r="X529" s="419"/>
      <c r="Y529" s="416"/>
      <c r="Z529" s="417"/>
      <c r="AA529" s="418"/>
      <c r="AB529" s="419"/>
      <c r="AC529" s="404"/>
      <c r="AD529" s="404"/>
      <c r="AE529" s="420"/>
      <c r="AF529" s="421"/>
      <c r="AG529" s="418"/>
      <c r="AH529" s="409"/>
      <c r="AI529" s="404"/>
      <c r="AJ529" s="416"/>
      <c r="AK529" s="453"/>
      <c r="AL529" s="422"/>
      <c r="AM529" s="423"/>
      <c r="AO529" s="137" t="e">
        <f t="shared" si="57"/>
        <v>#N/A</v>
      </c>
      <c r="AP529" s="138" t="e">
        <f t="shared" si="58"/>
        <v>#N/A</v>
      </c>
      <c r="AQ529" s="138" t="e">
        <f t="shared" si="59"/>
        <v>#N/A</v>
      </c>
      <c r="AR529" s="138" t="e">
        <f t="shared" si="60"/>
        <v>#N/A</v>
      </c>
      <c r="AS529" s="138" t="e">
        <f t="shared" si="61"/>
        <v>#N/A</v>
      </c>
      <c r="AT529" s="139" t="e">
        <f t="shared" si="62"/>
        <v>#N/A</v>
      </c>
      <c r="BB529" s="16" t="s">
        <v>596</v>
      </c>
    </row>
    <row r="530" spans="1:54" ht="99.75" customHeight="1">
      <c r="A530" s="428">
        <f t="shared" si="63"/>
        <v>522</v>
      </c>
      <c r="B530" s="294"/>
      <c r="C530" s="201"/>
      <c r="D530" s="290"/>
      <c r="E530" s="301"/>
      <c r="F530" s="301"/>
      <c r="G530" s="290"/>
      <c r="H530" s="291"/>
      <c r="I530" s="292"/>
      <c r="J530" s="61"/>
      <c r="K530" s="57"/>
      <c r="L530" s="303"/>
      <c r="M530" s="201"/>
      <c r="N530" s="84" t="str">
        <f>IF($AI530&lt;&gt;"",Master!$N$37,IF($AC530&lt;&gt;"",Master!$N$38,IF($S530&lt;&gt;"",Master!$N$39,IF($C530&lt;&gt;"",Master!$N$40,Master!$N$41))))</f>
        <v>起票</v>
      </c>
      <c r="O530" s="202" t="str">
        <f>IF($N530=Master!$N$37,MAX($S530,$AC530,$AI530),"")</f>
        <v/>
      </c>
      <c r="P530" s="65"/>
      <c r="Q530" s="203"/>
      <c r="R530" s="57"/>
      <c r="S530" s="203"/>
      <c r="T530" s="310"/>
      <c r="U530" s="289"/>
      <c r="V530" s="57"/>
      <c r="W530" s="288"/>
      <c r="X530" s="288"/>
      <c r="Y530" s="296"/>
      <c r="Z530" s="57"/>
      <c r="AA530" s="203"/>
      <c r="AB530" s="288"/>
      <c r="AC530" s="201"/>
      <c r="AD530" s="298"/>
      <c r="AE530" s="297"/>
      <c r="AF530" s="58"/>
      <c r="AG530" s="204"/>
      <c r="AH530" s="57"/>
      <c r="AI530" s="201"/>
      <c r="AJ530" s="287"/>
      <c r="AK530" s="452"/>
      <c r="AL530" s="59"/>
      <c r="AM530" s="60"/>
      <c r="AO530" s="137" t="e">
        <f t="shared" si="57"/>
        <v>#N/A</v>
      </c>
      <c r="AP530" s="138" t="e">
        <f t="shared" si="58"/>
        <v>#N/A</v>
      </c>
      <c r="AQ530" s="138" t="e">
        <f t="shared" si="59"/>
        <v>#N/A</v>
      </c>
      <c r="AR530" s="138" t="e">
        <f t="shared" si="60"/>
        <v>#N/A</v>
      </c>
      <c r="AS530" s="138" t="e">
        <f t="shared" si="61"/>
        <v>#N/A</v>
      </c>
      <c r="AT530" s="139" t="e">
        <f t="shared" si="62"/>
        <v>#N/A</v>
      </c>
      <c r="BB530" s="16" t="s">
        <v>596</v>
      </c>
    </row>
    <row r="531" spans="1:54" ht="99.75" customHeight="1">
      <c r="A531" s="428">
        <f t="shared" si="63"/>
        <v>523</v>
      </c>
      <c r="B531" s="294"/>
      <c r="C531" s="201"/>
      <c r="D531" s="290"/>
      <c r="E531" s="301"/>
      <c r="F531" s="301"/>
      <c r="G531" s="290"/>
      <c r="H531" s="291"/>
      <c r="I531" s="292"/>
      <c r="J531" s="61"/>
      <c r="K531" s="57"/>
      <c r="L531" s="303"/>
      <c r="M531" s="201"/>
      <c r="N531" s="84" t="str">
        <f>IF($AI531&lt;&gt;"",Master!$N$37,IF($AC531&lt;&gt;"",Master!$N$38,IF($S531&lt;&gt;"",Master!$N$39,IF($C531&lt;&gt;"",Master!$N$40,Master!$N$41))))</f>
        <v>起票</v>
      </c>
      <c r="O531" s="202" t="str">
        <f>IF($N531=Master!$N$37,MAX($S531,$AC531,$AI531),"")</f>
        <v/>
      </c>
      <c r="P531" s="65"/>
      <c r="Q531" s="203"/>
      <c r="R531" s="57"/>
      <c r="S531" s="203"/>
      <c r="T531" s="310"/>
      <c r="U531" s="289"/>
      <c r="V531" s="57"/>
      <c r="W531" s="288"/>
      <c r="X531" s="288"/>
      <c r="Y531" s="296"/>
      <c r="Z531" s="57"/>
      <c r="AA531" s="203"/>
      <c r="AB531" s="288"/>
      <c r="AC531" s="201"/>
      <c r="AD531" s="298"/>
      <c r="AE531" s="297"/>
      <c r="AF531" s="58"/>
      <c r="AG531" s="204"/>
      <c r="AH531" s="57"/>
      <c r="AI531" s="201"/>
      <c r="AJ531" s="287"/>
      <c r="AK531" s="452"/>
      <c r="AL531" s="59"/>
      <c r="AM531" s="60"/>
      <c r="AO531" s="137" t="e">
        <f t="shared" si="57"/>
        <v>#N/A</v>
      </c>
      <c r="AP531" s="138" t="e">
        <f t="shared" si="58"/>
        <v>#N/A</v>
      </c>
      <c r="AQ531" s="138" t="e">
        <f t="shared" si="59"/>
        <v>#N/A</v>
      </c>
      <c r="AR531" s="138" t="e">
        <f t="shared" si="60"/>
        <v>#N/A</v>
      </c>
      <c r="AS531" s="138" t="e">
        <f t="shared" si="61"/>
        <v>#N/A</v>
      </c>
      <c r="AT531" s="139" t="e">
        <f t="shared" si="62"/>
        <v>#N/A</v>
      </c>
      <c r="BB531" s="16" t="s">
        <v>596</v>
      </c>
    </row>
    <row r="532" spans="1:54" ht="70.5" customHeight="1">
      <c r="A532" s="428">
        <f t="shared" si="63"/>
        <v>524</v>
      </c>
      <c r="B532" s="403"/>
      <c r="C532" s="404"/>
      <c r="D532" s="405"/>
      <c r="E532" s="405"/>
      <c r="F532" s="405"/>
      <c r="G532" s="405"/>
      <c r="H532" s="406"/>
      <c r="I532" s="407"/>
      <c r="J532" s="408"/>
      <c r="K532" s="409"/>
      <c r="L532" s="410"/>
      <c r="M532" s="404"/>
      <c r="N532" s="411" t="str">
        <f>IF($AI532&lt;&gt;"",Master!$N$37,IF($AC532&lt;&gt;"",Master!$N$38,IF($S532&lt;&gt;"",Master!$N$39,IF($C532&lt;&gt;"",Master!$N$40,Master!$N$41))))</f>
        <v>起票</v>
      </c>
      <c r="O532" s="412" t="str">
        <f>IF($N532=Master!$N$37,MAX($S532,$AC532,$AI532),"")</f>
        <v/>
      </c>
      <c r="P532" s="413"/>
      <c r="Q532" s="414"/>
      <c r="R532" s="409"/>
      <c r="S532" s="404"/>
      <c r="T532" s="418"/>
      <c r="U532" s="415"/>
      <c r="V532" s="409"/>
      <c r="W532" s="419"/>
      <c r="X532" s="419"/>
      <c r="Y532" s="416"/>
      <c r="Z532" s="417"/>
      <c r="AA532" s="418"/>
      <c r="AB532" s="419"/>
      <c r="AC532" s="404"/>
      <c r="AD532" s="404"/>
      <c r="AE532" s="420"/>
      <c r="AF532" s="421"/>
      <c r="AG532" s="418"/>
      <c r="AH532" s="409"/>
      <c r="AI532" s="404"/>
      <c r="AJ532" s="416"/>
      <c r="AK532" s="453"/>
      <c r="AL532" s="422"/>
      <c r="AM532" s="423"/>
      <c r="AO532" s="137" t="e">
        <f t="shared" si="57"/>
        <v>#N/A</v>
      </c>
      <c r="AP532" s="138" t="e">
        <f t="shared" si="58"/>
        <v>#N/A</v>
      </c>
      <c r="AQ532" s="138" t="e">
        <f t="shared" si="59"/>
        <v>#N/A</v>
      </c>
      <c r="AR532" s="138" t="e">
        <f t="shared" si="60"/>
        <v>#N/A</v>
      </c>
      <c r="AS532" s="138" t="e">
        <f t="shared" si="61"/>
        <v>#N/A</v>
      </c>
      <c r="AT532" s="139" t="e">
        <f t="shared" si="62"/>
        <v>#N/A</v>
      </c>
      <c r="BB532" s="16" t="s">
        <v>596</v>
      </c>
    </row>
    <row r="533" spans="1:54" ht="70.5" customHeight="1">
      <c r="A533" s="428">
        <f t="shared" si="63"/>
        <v>525</v>
      </c>
      <c r="B533" s="403"/>
      <c r="C533" s="404"/>
      <c r="D533" s="405"/>
      <c r="E533" s="405"/>
      <c r="F533" s="405"/>
      <c r="G533" s="405"/>
      <c r="H533" s="406"/>
      <c r="I533" s="407"/>
      <c r="J533" s="408"/>
      <c r="K533" s="409"/>
      <c r="L533" s="410"/>
      <c r="M533" s="404"/>
      <c r="N533" s="411" t="str">
        <f>IF($AI533&lt;&gt;"",Master!$N$37,IF($AC533&lt;&gt;"",Master!$N$38,IF($S533&lt;&gt;"",Master!$N$39,IF($C533&lt;&gt;"",Master!$N$40,Master!$N$41))))</f>
        <v>起票</v>
      </c>
      <c r="O533" s="412" t="str">
        <f>IF($N533=Master!$N$37,MAX($S533,$AC533,$AI533),"")</f>
        <v/>
      </c>
      <c r="P533" s="413"/>
      <c r="Q533" s="414"/>
      <c r="R533" s="409"/>
      <c r="S533" s="404"/>
      <c r="T533" s="418"/>
      <c r="U533" s="415"/>
      <c r="V533" s="409"/>
      <c r="W533" s="419"/>
      <c r="X533" s="419"/>
      <c r="Y533" s="416"/>
      <c r="Z533" s="417"/>
      <c r="AA533" s="418"/>
      <c r="AB533" s="419"/>
      <c r="AC533" s="404"/>
      <c r="AD533" s="404"/>
      <c r="AE533" s="420"/>
      <c r="AF533" s="421"/>
      <c r="AG533" s="418"/>
      <c r="AH533" s="409"/>
      <c r="AI533" s="404"/>
      <c r="AJ533" s="416"/>
      <c r="AK533" s="453"/>
      <c r="AL533" s="422"/>
      <c r="AM533" s="423"/>
      <c r="AO533" s="137" t="e">
        <f t="shared" si="57"/>
        <v>#N/A</v>
      </c>
      <c r="AP533" s="138" t="e">
        <f t="shared" si="58"/>
        <v>#N/A</v>
      </c>
      <c r="AQ533" s="138" t="e">
        <f t="shared" si="59"/>
        <v>#N/A</v>
      </c>
      <c r="AR533" s="138" t="e">
        <f t="shared" si="60"/>
        <v>#N/A</v>
      </c>
      <c r="AS533" s="138" t="e">
        <f t="shared" si="61"/>
        <v>#N/A</v>
      </c>
      <c r="AT533" s="139" t="e">
        <f t="shared" si="62"/>
        <v>#N/A</v>
      </c>
      <c r="BB533" s="16" t="s">
        <v>596</v>
      </c>
    </row>
    <row r="534" spans="1:54" ht="70.5" customHeight="1">
      <c r="A534" s="428">
        <f t="shared" si="63"/>
        <v>526</v>
      </c>
      <c r="B534" s="403"/>
      <c r="C534" s="404"/>
      <c r="D534" s="405"/>
      <c r="E534" s="405"/>
      <c r="F534" s="405"/>
      <c r="G534" s="405"/>
      <c r="H534" s="406"/>
      <c r="I534" s="407"/>
      <c r="J534" s="408"/>
      <c r="K534" s="409"/>
      <c r="L534" s="410"/>
      <c r="M534" s="404"/>
      <c r="N534" s="411" t="str">
        <f>IF($AI534&lt;&gt;"",Master!$N$37,IF($AC534&lt;&gt;"",Master!$N$38,IF($S534&lt;&gt;"",Master!$N$39,IF($C534&lt;&gt;"",Master!$N$40,Master!$N$41))))</f>
        <v>起票</v>
      </c>
      <c r="O534" s="412" t="str">
        <f>IF($N534=Master!$N$37,MAX($S534,$AC534,$AI534),"")</f>
        <v/>
      </c>
      <c r="P534" s="413"/>
      <c r="Q534" s="414"/>
      <c r="R534" s="409"/>
      <c r="S534" s="404"/>
      <c r="T534" s="418"/>
      <c r="U534" s="415"/>
      <c r="V534" s="409"/>
      <c r="W534" s="419"/>
      <c r="X534" s="419"/>
      <c r="Y534" s="416"/>
      <c r="Z534" s="417"/>
      <c r="AA534" s="418"/>
      <c r="AB534" s="419"/>
      <c r="AC534" s="404"/>
      <c r="AD534" s="404"/>
      <c r="AE534" s="420"/>
      <c r="AF534" s="421"/>
      <c r="AG534" s="418"/>
      <c r="AH534" s="409"/>
      <c r="AI534" s="404"/>
      <c r="AJ534" s="416"/>
      <c r="AK534" s="453"/>
      <c r="AL534" s="422"/>
      <c r="AM534" s="423"/>
      <c r="AO534" s="137" t="e">
        <f t="shared" si="57"/>
        <v>#N/A</v>
      </c>
      <c r="AP534" s="138" t="e">
        <f t="shared" si="58"/>
        <v>#N/A</v>
      </c>
      <c r="AQ534" s="138" t="e">
        <f t="shared" si="59"/>
        <v>#N/A</v>
      </c>
      <c r="AR534" s="138" t="e">
        <f t="shared" si="60"/>
        <v>#N/A</v>
      </c>
      <c r="AS534" s="138" t="e">
        <f t="shared" si="61"/>
        <v>#N/A</v>
      </c>
      <c r="AT534" s="139" t="e">
        <f t="shared" si="62"/>
        <v>#N/A</v>
      </c>
      <c r="BB534" s="16" t="s">
        <v>596</v>
      </c>
    </row>
    <row r="535" spans="1:54" ht="70.5" customHeight="1">
      <c r="A535" s="428">
        <f t="shared" si="63"/>
        <v>527</v>
      </c>
      <c r="B535" s="294"/>
      <c r="C535" s="201"/>
      <c r="D535" s="290"/>
      <c r="E535" s="301"/>
      <c r="F535" s="301"/>
      <c r="G535" s="290"/>
      <c r="H535" s="291"/>
      <c r="I535" s="292"/>
      <c r="J535" s="61"/>
      <c r="K535" s="57"/>
      <c r="L535" s="303"/>
      <c r="M535" s="201"/>
      <c r="N535" s="84" t="str">
        <f>IF($AI535&lt;&gt;"",Master!$N$37,IF($AC535&lt;&gt;"",Master!$N$38,IF($S535&lt;&gt;"",Master!$N$39,IF($C535&lt;&gt;"",Master!$N$40,Master!$N$41))))</f>
        <v>起票</v>
      </c>
      <c r="O535" s="202" t="str">
        <f>IF($N535=Master!$N$37,MAX($S535,$AC535,$AI535),"")</f>
        <v/>
      </c>
      <c r="P535" s="65"/>
      <c r="Q535" s="203"/>
      <c r="R535" s="57"/>
      <c r="S535" s="203"/>
      <c r="T535" s="310"/>
      <c r="U535" s="289"/>
      <c r="V535" s="57"/>
      <c r="W535" s="288"/>
      <c r="X535" s="288"/>
      <c r="Y535" s="296"/>
      <c r="Z535" s="57"/>
      <c r="AA535" s="203"/>
      <c r="AB535" s="288"/>
      <c r="AC535" s="201"/>
      <c r="AD535" s="298"/>
      <c r="AE535" s="297"/>
      <c r="AF535" s="58"/>
      <c r="AG535" s="204"/>
      <c r="AH535" s="57"/>
      <c r="AI535" s="201"/>
      <c r="AJ535" s="287"/>
      <c r="AK535" s="452"/>
      <c r="AL535" s="59"/>
      <c r="AM535" s="60"/>
      <c r="AO535" s="137" t="e">
        <f t="shared" si="57"/>
        <v>#N/A</v>
      </c>
      <c r="AP535" s="138" t="e">
        <f t="shared" si="58"/>
        <v>#N/A</v>
      </c>
      <c r="AQ535" s="138" t="e">
        <f t="shared" si="59"/>
        <v>#N/A</v>
      </c>
      <c r="AR535" s="138" t="e">
        <f t="shared" si="60"/>
        <v>#N/A</v>
      </c>
      <c r="AS535" s="138" t="e">
        <f t="shared" si="61"/>
        <v>#N/A</v>
      </c>
      <c r="AT535" s="139" t="e">
        <f t="shared" si="62"/>
        <v>#N/A</v>
      </c>
      <c r="BB535" s="16" t="s">
        <v>596</v>
      </c>
    </row>
    <row r="536" spans="1:54" ht="70.5" customHeight="1">
      <c r="A536" s="428">
        <f t="shared" si="63"/>
        <v>528</v>
      </c>
      <c r="B536" s="294"/>
      <c r="C536" s="201"/>
      <c r="D536" s="290"/>
      <c r="E536" s="301"/>
      <c r="F536" s="301"/>
      <c r="G536" s="290"/>
      <c r="H536" s="291"/>
      <c r="I536" s="292"/>
      <c r="J536" s="61"/>
      <c r="K536" s="57"/>
      <c r="L536" s="303"/>
      <c r="M536" s="201"/>
      <c r="N536" s="84" t="str">
        <f>IF($AI536&lt;&gt;"",Master!$N$37,IF($AC536&lt;&gt;"",Master!$N$38,IF($S536&lt;&gt;"",Master!$N$39,IF($C536&lt;&gt;"",Master!$N$40,Master!$N$41))))</f>
        <v>起票</v>
      </c>
      <c r="O536" s="202" t="str">
        <f>IF($N536=Master!$N$37,MAX($S536,$AC536,$AI536),"")</f>
        <v/>
      </c>
      <c r="P536" s="65"/>
      <c r="Q536" s="203"/>
      <c r="R536" s="57"/>
      <c r="S536" s="203"/>
      <c r="T536" s="310"/>
      <c r="U536" s="289"/>
      <c r="V536" s="57"/>
      <c r="W536" s="288"/>
      <c r="X536" s="288"/>
      <c r="Y536" s="296"/>
      <c r="Z536" s="57"/>
      <c r="AA536" s="203"/>
      <c r="AB536" s="288"/>
      <c r="AC536" s="201"/>
      <c r="AD536" s="298"/>
      <c r="AE536" s="297"/>
      <c r="AF536" s="58"/>
      <c r="AG536" s="204"/>
      <c r="AH536" s="57"/>
      <c r="AI536" s="201"/>
      <c r="AJ536" s="287"/>
      <c r="AK536" s="452"/>
      <c r="AL536" s="59"/>
      <c r="AM536" s="60"/>
      <c r="AO536" s="137" t="e">
        <f t="shared" si="57"/>
        <v>#N/A</v>
      </c>
      <c r="AP536" s="138" t="e">
        <f t="shared" si="58"/>
        <v>#N/A</v>
      </c>
      <c r="AQ536" s="138" t="e">
        <f t="shared" si="59"/>
        <v>#N/A</v>
      </c>
      <c r="AR536" s="138" t="e">
        <f t="shared" si="60"/>
        <v>#N/A</v>
      </c>
      <c r="AS536" s="138" t="e">
        <f t="shared" si="61"/>
        <v>#N/A</v>
      </c>
      <c r="AT536" s="139" t="e">
        <f t="shared" si="62"/>
        <v>#N/A</v>
      </c>
      <c r="BB536" s="16" t="s">
        <v>596</v>
      </c>
    </row>
    <row r="537" spans="1:54" ht="70.5" customHeight="1">
      <c r="A537" s="428">
        <f t="shared" si="63"/>
        <v>529</v>
      </c>
      <c r="B537" s="294"/>
      <c r="C537" s="201"/>
      <c r="D537" s="290"/>
      <c r="E537" s="301"/>
      <c r="F537" s="301"/>
      <c r="G537" s="290"/>
      <c r="H537" s="291"/>
      <c r="I537" s="292"/>
      <c r="J537" s="61"/>
      <c r="K537" s="57"/>
      <c r="L537" s="303"/>
      <c r="M537" s="201"/>
      <c r="N537" s="84" t="str">
        <f>IF($AI537&lt;&gt;"",Master!$N$37,IF($AC537&lt;&gt;"",Master!$N$38,IF($S537&lt;&gt;"",Master!$N$39,IF($C537&lt;&gt;"",Master!$N$40,Master!$N$41))))</f>
        <v>起票</v>
      </c>
      <c r="O537" s="202" t="str">
        <f>IF($N537=Master!$N$37,MAX($S537,$AC537,$AI537),"")</f>
        <v/>
      </c>
      <c r="P537" s="65"/>
      <c r="Q537" s="203"/>
      <c r="R537" s="57"/>
      <c r="S537" s="203"/>
      <c r="T537" s="310"/>
      <c r="U537" s="289"/>
      <c r="V537" s="57"/>
      <c r="W537" s="288"/>
      <c r="X537" s="288"/>
      <c r="Y537" s="296"/>
      <c r="Z537" s="57"/>
      <c r="AA537" s="203"/>
      <c r="AB537" s="288"/>
      <c r="AC537" s="201"/>
      <c r="AD537" s="298"/>
      <c r="AE537" s="297"/>
      <c r="AF537" s="58"/>
      <c r="AG537" s="204"/>
      <c r="AH537" s="57"/>
      <c r="AI537" s="201"/>
      <c r="AJ537" s="287"/>
      <c r="AK537" s="452"/>
      <c r="AL537" s="59"/>
      <c r="AM537" s="60"/>
      <c r="AO537" s="137" t="e">
        <f t="shared" si="57"/>
        <v>#N/A</v>
      </c>
      <c r="AP537" s="138" t="e">
        <f t="shared" si="58"/>
        <v>#N/A</v>
      </c>
      <c r="AQ537" s="138" t="e">
        <f t="shared" si="59"/>
        <v>#N/A</v>
      </c>
      <c r="AR537" s="138" t="e">
        <f t="shared" si="60"/>
        <v>#N/A</v>
      </c>
      <c r="AS537" s="138" t="e">
        <f t="shared" si="61"/>
        <v>#N/A</v>
      </c>
      <c r="AT537" s="139" t="e">
        <f t="shared" si="62"/>
        <v>#N/A</v>
      </c>
      <c r="BB537" s="16" t="s">
        <v>596</v>
      </c>
    </row>
    <row r="538" spans="1:54" ht="70.5" customHeight="1">
      <c r="A538" s="428">
        <f t="shared" si="63"/>
        <v>530</v>
      </c>
      <c r="B538" s="294"/>
      <c r="C538" s="201"/>
      <c r="D538" s="290"/>
      <c r="E538" s="301"/>
      <c r="F538" s="301"/>
      <c r="G538" s="290"/>
      <c r="H538" s="291"/>
      <c r="I538" s="292"/>
      <c r="J538" s="61"/>
      <c r="K538" s="57"/>
      <c r="L538" s="303"/>
      <c r="M538" s="201"/>
      <c r="N538" s="84" t="str">
        <f>IF($AI538&lt;&gt;"",Master!$N$37,IF($AC538&lt;&gt;"",Master!$N$38,IF($S538&lt;&gt;"",Master!$N$39,IF($C538&lt;&gt;"",Master!$N$40,Master!$N$41))))</f>
        <v>起票</v>
      </c>
      <c r="O538" s="202" t="str">
        <f>IF($N538=Master!$N$37,MAX($S538,$AC538,$AI538),"")</f>
        <v/>
      </c>
      <c r="P538" s="65"/>
      <c r="Q538" s="203"/>
      <c r="R538" s="57"/>
      <c r="S538" s="203"/>
      <c r="T538" s="310"/>
      <c r="U538" s="289"/>
      <c r="V538" s="57"/>
      <c r="W538" s="288"/>
      <c r="X538" s="288"/>
      <c r="Y538" s="296"/>
      <c r="Z538" s="57"/>
      <c r="AA538" s="203"/>
      <c r="AB538" s="288"/>
      <c r="AC538" s="201"/>
      <c r="AD538" s="298"/>
      <c r="AE538" s="297"/>
      <c r="AF538" s="58"/>
      <c r="AG538" s="204"/>
      <c r="AH538" s="57"/>
      <c r="AI538" s="201"/>
      <c r="AJ538" s="287"/>
      <c r="AK538" s="452"/>
      <c r="AL538" s="59"/>
      <c r="AM538" s="60"/>
      <c r="AO538" s="137" t="e">
        <f t="shared" si="57"/>
        <v>#N/A</v>
      </c>
      <c r="AP538" s="138" t="e">
        <f t="shared" si="58"/>
        <v>#N/A</v>
      </c>
      <c r="AQ538" s="138" t="e">
        <f t="shared" si="59"/>
        <v>#N/A</v>
      </c>
      <c r="AR538" s="138" t="e">
        <f t="shared" si="60"/>
        <v>#N/A</v>
      </c>
      <c r="AS538" s="138" t="e">
        <f t="shared" si="61"/>
        <v>#N/A</v>
      </c>
      <c r="AT538" s="139" t="e">
        <f t="shared" si="62"/>
        <v>#N/A</v>
      </c>
      <c r="BB538" s="16" t="s">
        <v>596</v>
      </c>
    </row>
    <row r="539" spans="1:54" ht="70.5" customHeight="1">
      <c r="A539" s="428">
        <f t="shared" si="63"/>
        <v>531</v>
      </c>
      <c r="B539" s="294"/>
      <c r="C539" s="201"/>
      <c r="D539" s="290"/>
      <c r="E539" s="301"/>
      <c r="F539" s="301"/>
      <c r="G539" s="290"/>
      <c r="H539" s="291"/>
      <c r="I539" s="292"/>
      <c r="J539" s="61"/>
      <c r="K539" s="57"/>
      <c r="L539" s="303"/>
      <c r="M539" s="201"/>
      <c r="N539" s="84" t="str">
        <f>IF($AI539&lt;&gt;"",Master!$N$37,IF($AC539&lt;&gt;"",Master!$N$38,IF($S539&lt;&gt;"",Master!$N$39,IF($C539&lt;&gt;"",Master!$N$40,Master!$N$41))))</f>
        <v>起票</v>
      </c>
      <c r="O539" s="202" t="str">
        <f>IF($N539=Master!$N$37,MAX($S539,$AC539,$AI539),"")</f>
        <v/>
      </c>
      <c r="P539" s="65"/>
      <c r="Q539" s="203"/>
      <c r="R539" s="57"/>
      <c r="S539" s="203"/>
      <c r="T539" s="310"/>
      <c r="U539" s="289"/>
      <c r="V539" s="57"/>
      <c r="W539" s="288"/>
      <c r="X539" s="288"/>
      <c r="Y539" s="296"/>
      <c r="Z539" s="57"/>
      <c r="AA539" s="203"/>
      <c r="AB539" s="288"/>
      <c r="AC539" s="201"/>
      <c r="AD539" s="298"/>
      <c r="AE539" s="297"/>
      <c r="AF539" s="58"/>
      <c r="AG539" s="204"/>
      <c r="AH539" s="57"/>
      <c r="AI539" s="201"/>
      <c r="AJ539" s="287"/>
      <c r="AK539" s="452"/>
      <c r="AL539" s="59"/>
      <c r="AM539" s="60"/>
      <c r="AO539" s="137" t="e">
        <f t="shared" si="57"/>
        <v>#N/A</v>
      </c>
      <c r="AP539" s="138" t="e">
        <f t="shared" si="58"/>
        <v>#N/A</v>
      </c>
      <c r="AQ539" s="138" t="e">
        <f t="shared" si="59"/>
        <v>#N/A</v>
      </c>
      <c r="AR539" s="138" t="e">
        <f t="shared" si="60"/>
        <v>#N/A</v>
      </c>
      <c r="AS539" s="138" t="e">
        <f t="shared" si="61"/>
        <v>#N/A</v>
      </c>
      <c r="AT539" s="139" t="e">
        <f t="shared" si="62"/>
        <v>#N/A</v>
      </c>
      <c r="BB539" s="16" t="s">
        <v>596</v>
      </c>
    </row>
    <row r="540" spans="1:54" ht="70.5" customHeight="1">
      <c r="A540" s="428">
        <f t="shared" si="63"/>
        <v>532</v>
      </c>
      <c r="B540" s="403"/>
      <c r="C540" s="404"/>
      <c r="D540" s="405"/>
      <c r="E540" s="405"/>
      <c r="F540" s="405"/>
      <c r="G540" s="405"/>
      <c r="H540" s="406"/>
      <c r="I540" s="407"/>
      <c r="J540" s="408"/>
      <c r="K540" s="409"/>
      <c r="L540" s="410"/>
      <c r="M540" s="404"/>
      <c r="N540" s="411" t="str">
        <f>IF($AI540&lt;&gt;"",Master!$N$37,IF($AC540&lt;&gt;"",Master!$N$38,IF($S540&lt;&gt;"",Master!$N$39,IF($C540&lt;&gt;"",Master!$N$40,Master!$N$41))))</f>
        <v>起票</v>
      </c>
      <c r="O540" s="412" t="str">
        <f>IF($N540=Master!$N$37,MAX($S540,$AC540,$AI540),"")</f>
        <v/>
      </c>
      <c r="P540" s="413"/>
      <c r="Q540" s="414"/>
      <c r="R540" s="409"/>
      <c r="S540" s="404"/>
      <c r="T540" s="418"/>
      <c r="U540" s="415"/>
      <c r="V540" s="409"/>
      <c r="W540" s="419"/>
      <c r="X540" s="419"/>
      <c r="Y540" s="416"/>
      <c r="Z540" s="417"/>
      <c r="AA540" s="418"/>
      <c r="AB540" s="419"/>
      <c r="AC540" s="404"/>
      <c r="AD540" s="404"/>
      <c r="AE540" s="420"/>
      <c r="AF540" s="421"/>
      <c r="AG540" s="418"/>
      <c r="AH540" s="409"/>
      <c r="AI540" s="404"/>
      <c r="AJ540" s="416"/>
      <c r="AK540" s="453"/>
      <c r="AL540" s="422"/>
      <c r="AM540" s="423"/>
      <c r="AO540" s="137" t="e">
        <f t="shared" si="57"/>
        <v>#N/A</v>
      </c>
      <c r="AP540" s="138" t="e">
        <f t="shared" si="58"/>
        <v>#N/A</v>
      </c>
      <c r="AQ540" s="138" t="e">
        <f t="shared" si="59"/>
        <v>#N/A</v>
      </c>
      <c r="AR540" s="138" t="e">
        <f t="shared" si="60"/>
        <v>#N/A</v>
      </c>
      <c r="AS540" s="138" t="e">
        <f t="shared" si="61"/>
        <v>#N/A</v>
      </c>
      <c r="AT540" s="139" t="e">
        <f t="shared" si="62"/>
        <v>#N/A</v>
      </c>
      <c r="BB540" s="16" t="s">
        <v>596</v>
      </c>
    </row>
    <row r="541" spans="1:54" ht="70.5" customHeight="1">
      <c r="A541" s="428">
        <f t="shared" si="63"/>
        <v>533</v>
      </c>
      <c r="B541" s="403"/>
      <c r="C541" s="404"/>
      <c r="D541" s="405"/>
      <c r="E541" s="405"/>
      <c r="F541" s="405"/>
      <c r="G541" s="405"/>
      <c r="H541" s="406"/>
      <c r="I541" s="407"/>
      <c r="J541" s="408"/>
      <c r="K541" s="409"/>
      <c r="L541" s="410"/>
      <c r="M541" s="404"/>
      <c r="N541" s="411" t="str">
        <f>IF($AI541&lt;&gt;"",Master!$N$37,IF($AC541&lt;&gt;"",Master!$N$38,IF($S541&lt;&gt;"",Master!$N$39,IF($C541&lt;&gt;"",Master!$N$40,Master!$N$41))))</f>
        <v>起票</v>
      </c>
      <c r="O541" s="412" t="str">
        <f>IF($N541=Master!$N$37,MAX($S541,$AC541,$AI541),"")</f>
        <v/>
      </c>
      <c r="P541" s="413"/>
      <c r="Q541" s="414"/>
      <c r="R541" s="409"/>
      <c r="S541" s="404"/>
      <c r="T541" s="418"/>
      <c r="U541" s="415"/>
      <c r="V541" s="409"/>
      <c r="W541" s="419"/>
      <c r="X541" s="419"/>
      <c r="Y541" s="416"/>
      <c r="Z541" s="417"/>
      <c r="AA541" s="418"/>
      <c r="AB541" s="419"/>
      <c r="AC541" s="404"/>
      <c r="AD541" s="404"/>
      <c r="AE541" s="420"/>
      <c r="AF541" s="421"/>
      <c r="AG541" s="418"/>
      <c r="AH541" s="409"/>
      <c r="AI541" s="404"/>
      <c r="AJ541" s="416"/>
      <c r="AK541" s="453"/>
      <c r="AL541" s="422"/>
      <c r="AM541" s="423"/>
      <c r="AO541" s="137" t="e">
        <f t="shared" si="57"/>
        <v>#N/A</v>
      </c>
      <c r="AP541" s="138" t="e">
        <f t="shared" si="58"/>
        <v>#N/A</v>
      </c>
      <c r="AQ541" s="138" t="e">
        <f t="shared" si="59"/>
        <v>#N/A</v>
      </c>
      <c r="AR541" s="138" t="e">
        <f t="shared" si="60"/>
        <v>#N/A</v>
      </c>
      <c r="AS541" s="138" t="e">
        <f t="shared" si="61"/>
        <v>#N/A</v>
      </c>
      <c r="AT541" s="139" t="e">
        <f t="shared" si="62"/>
        <v>#N/A</v>
      </c>
      <c r="BB541" s="16" t="s">
        <v>596</v>
      </c>
    </row>
    <row r="542" spans="1:54" ht="70.5" customHeight="1">
      <c r="A542" s="428">
        <f t="shared" si="63"/>
        <v>534</v>
      </c>
      <c r="B542" s="403"/>
      <c r="C542" s="404"/>
      <c r="D542" s="405"/>
      <c r="E542" s="405"/>
      <c r="F542" s="405"/>
      <c r="G542" s="405"/>
      <c r="H542" s="406"/>
      <c r="I542" s="407"/>
      <c r="J542" s="408"/>
      <c r="K542" s="409"/>
      <c r="L542" s="410"/>
      <c r="M542" s="404"/>
      <c r="N542" s="411" t="str">
        <f>IF($AI542&lt;&gt;"",Master!$N$37,IF($AC542&lt;&gt;"",Master!$N$38,IF($S542&lt;&gt;"",Master!$N$39,IF($C542&lt;&gt;"",Master!$N$40,Master!$N$41))))</f>
        <v>起票</v>
      </c>
      <c r="O542" s="412" t="str">
        <f>IF($N542=Master!$N$37,MAX($S542,$AC542,$AI542),"")</f>
        <v/>
      </c>
      <c r="P542" s="413"/>
      <c r="Q542" s="414"/>
      <c r="R542" s="409"/>
      <c r="S542" s="404"/>
      <c r="T542" s="418"/>
      <c r="U542" s="415"/>
      <c r="V542" s="409"/>
      <c r="W542" s="419"/>
      <c r="X542" s="419"/>
      <c r="Y542" s="416"/>
      <c r="Z542" s="417"/>
      <c r="AA542" s="418"/>
      <c r="AB542" s="419"/>
      <c r="AC542" s="404"/>
      <c r="AD542" s="404"/>
      <c r="AE542" s="420"/>
      <c r="AF542" s="421"/>
      <c r="AG542" s="418"/>
      <c r="AH542" s="409"/>
      <c r="AI542" s="404"/>
      <c r="AJ542" s="416"/>
      <c r="AK542" s="453"/>
      <c r="AL542" s="422"/>
      <c r="AM542" s="423"/>
      <c r="AO542" s="137" t="e">
        <f t="shared" si="57"/>
        <v>#N/A</v>
      </c>
      <c r="AP542" s="138" t="e">
        <f t="shared" si="58"/>
        <v>#N/A</v>
      </c>
      <c r="AQ542" s="138" t="e">
        <f t="shared" si="59"/>
        <v>#N/A</v>
      </c>
      <c r="AR542" s="138" t="e">
        <f t="shared" si="60"/>
        <v>#N/A</v>
      </c>
      <c r="AS542" s="138" t="e">
        <f t="shared" si="61"/>
        <v>#N/A</v>
      </c>
      <c r="AT542" s="139" t="e">
        <f t="shared" si="62"/>
        <v>#N/A</v>
      </c>
      <c r="BB542" s="16" t="s">
        <v>596</v>
      </c>
    </row>
    <row r="543" spans="1:54" ht="70.5" customHeight="1">
      <c r="A543" s="428">
        <f t="shared" si="63"/>
        <v>535</v>
      </c>
      <c r="B543" s="294"/>
      <c r="C543" s="201"/>
      <c r="D543" s="290"/>
      <c r="E543" s="301"/>
      <c r="F543" s="301"/>
      <c r="G543" s="290"/>
      <c r="H543" s="291"/>
      <c r="I543" s="292"/>
      <c r="J543" s="61"/>
      <c r="K543" s="57"/>
      <c r="L543" s="303"/>
      <c r="M543" s="201"/>
      <c r="N543" s="84" t="str">
        <f>IF($AI543&lt;&gt;"",Master!$N$37,IF($AC543&lt;&gt;"",Master!$N$38,IF($S543&lt;&gt;"",Master!$N$39,IF($C543&lt;&gt;"",Master!$N$40,Master!$N$41))))</f>
        <v>起票</v>
      </c>
      <c r="O543" s="202" t="str">
        <f>IF($N543=Master!$N$37,MAX($S543,$AC543,$AI543),"")</f>
        <v/>
      </c>
      <c r="P543" s="65"/>
      <c r="Q543" s="203"/>
      <c r="R543" s="57"/>
      <c r="S543" s="203"/>
      <c r="T543" s="310"/>
      <c r="U543" s="289"/>
      <c r="V543" s="57"/>
      <c r="W543" s="288"/>
      <c r="X543" s="288"/>
      <c r="Y543" s="296"/>
      <c r="Z543" s="57"/>
      <c r="AA543" s="203"/>
      <c r="AB543" s="288"/>
      <c r="AC543" s="201"/>
      <c r="AD543" s="298"/>
      <c r="AE543" s="297"/>
      <c r="AF543" s="58"/>
      <c r="AG543" s="204"/>
      <c r="AH543" s="57"/>
      <c r="AI543" s="201"/>
      <c r="AJ543" s="287"/>
      <c r="AK543" s="452"/>
      <c r="AL543" s="59"/>
      <c r="AM543" s="60"/>
      <c r="AO543" s="137" t="e">
        <f t="shared" si="57"/>
        <v>#N/A</v>
      </c>
      <c r="AP543" s="138" t="e">
        <f t="shared" si="58"/>
        <v>#N/A</v>
      </c>
      <c r="AQ543" s="138" t="e">
        <f t="shared" si="59"/>
        <v>#N/A</v>
      </c>
      <c r="AR543" s="138" t="e">
        <f t="shared" si="60"/>
        <v>#N/A</v>
      </c>
      <c r="AS543" s="138" t="e">
        <f t="shared" si="61"/>
        <v>#N/A</v>
      </c>
      <c r="AT543" s="139" t="e">
        <f t="shared" si="62"/>
        <v>#N/A</v>
      </c>
      <c r="BB543" s="16" t="s">
        <v>596</v>
      </c>
    </row>
    <row r="544" spans="1:54" ht="70.5" customHeight="1">
      <c r="A544" s="428">
        <f t="shared" si="63"/>
        <v>536</v>
      </c>
      <c r="B544" s="294"/>
      <c r="C544" s="201"/>
      <c r="D544" s="290"/>
      <c r="E544" s="301"/>
      <c r="F544" s="301"/>
      <c r="G544" s="290"/>
      <c r="H544" s="291"/>
      <c r="I544" s="292"/>
      <c r="J544" s="61"/>
      <c r="K544" s="57"/>
      <c r="L544" s="303"/>
      <c r="M544" s="201"/>
      <c r="N544" s="84" t="str">
        <f>IF($AI544&lt;&gt;"",Master!$N$37,IF($AC544&lt;&gt;"",Master!$N$38,IF($S544&lt;&gt;"",Master!$N$39,IF($C544&lt;&gt;"",Master!$N$40,Master!$N$41))))</f>
        <v>起票</v>
      </c>
      <c r="O544" s="202" t="str">
        <f>IF($N544=Master!$N$37,MAX($S544,$AC544,$AI544),"")</f>
        <v/>
      </c>
      <c r="P544" s="65"/>
      <c r="Q544" s="203"/>
      <c r="R544" s="57"/>
      <c r="S544" s="203"/>
      <c r="T544" s="310"/>
      <c r="U544" s="289"/>
      <c r="V544" s="57"/>
      <c r="W544" s="288"/>
      <c r="X544" s="288"/>
      <c r="Y544" s="296"/>
      <c r="Z544" s="57"/>
      <c r="AA544" s="203"/>
      <c r="AB544" s="288"/>
      <c r="AC544" s="201"/>
      <c r="AD544" s="298"/>
      <c r="AE544" s="297"/>
      <c r="AF544" s="58"/>
      <c r="AG544" s="204"/>
      <c r="AH544" s="57"/>
      <c r="AI544" s="201"/>
      <c r="AJ544" s="287"/>
      <c r="AK544" s="452"/>
      <c r="AL544" s="59"/>
      <c r="AM544" s="60"/>
      <c r="AO544" s="137" t="e">
        <f t="shared" si="57"/>
        <v>#N/A</v>
      </c>
      <c r="AP544" s="138" t="e">
        <f t="shared" si="58"/>
        <v>#N/A</v>
      </c>
      <c r="AQ544" s="138" t="e">
        <f t="shared" si="59"/>
        <v>#N/A</v>
      </c>
      <c r="AR544" s="138" t="e">
        <f t="shared" si="60"/>
        <v>#N/A</v>
      </c>
      <c r="AS544" s="138" t="e">
        <f t="shared" si="61"/>
        <v>#N/A</v>
      </c>
      <c r="AT544" s="139" t="e">
        <f t="shared" si="62"/>
        <v>#N/A</v>
      </c>
      <c r="BB544" s="16" t="s">
        <v>596</v>
      </c>
    </row>
    <row r="545" spans="1:54" ht="70.5" customHeight="1">
      <c r="A545" s="428">
        <f t="shared" si="63"/>
        <v>537</v>
      </c>
      <c r="B545" s="403"/>
      <c r="C545" s="404"/>
      <c r="D545" s="405"/>
      <c r="E545" s="405"/>
      <c r="F545" s="405"/>
      <c r="G545" s="405"/>
      <c r="H545" s="406"/>
      <c r="I545" s="407"/>
      <c r="J545" s="408"/>
      <c r="K545" s="409"/>
      <c r="L545" s="410"/>
      <c r="M545" s="404"/>
      <c r="N545" s="411" t="str">
        <f>IF($AI545&lt;&gt;"",Master!$N$37,IF($AC545&lt;&gt;"",Master!$N$38,IF($S545&lt;&gt;"",Master!$N$39,IF($C545&lt;&gt;"",Master!$N$40,Master!$N$41))))</f>
        <v>起票</v>
      </c>
      <c r="O545" s="412" t="str">
        <f>IF($N545=Master!$N$37,MAX($S545,$AC545,$AI545),"")</f>
        <v/>
      </c>
      <c r="P545" s="413"/>
      <c r="Q545" s="414"/>
      <c r="R545" s="409"/>
      <c r="S545" s="404"/>
      <c r="T545" s="418"/>
      <c r="U545" s="415"/>
      <c r="V545" s="409"/>
      <c r="W545" s="419"/>
      <c r="X545" s="419"/>
      <c r="Y545" s="416"/>
      <c r="Z545" s="417"/>
      <c r="AA545" s="418"/>
      <c r="AB545" s="419"/>
      <c r="AC545" s="404"/>
      <c r="AD545" s="404"/>
      <c r="AE545" s="420"/>
      <c r="AF545" s="421"/>
      <c r="AG545" s="418"/>
      <c r="AH545" s="409"/>
      <c r="AI545" s="404"/>
      <c r="AJ545" s="416"/>
      <c r="AK545" s="453"/>
      <c r="AL545" s="422"/>
      <c r="AM545" s="423"/>
      <c r="AO545" s="137" t="e">
        <f t="shared" si="57"/>
        <v>#N/A</v>
      </c>
      <c r="AP545" s="138" t="e">
        <f t="shared" si="58"/>
        <v>#N/A</v>
      </c>
      <c r="AQ545" s="138" t="e">
        <f t="shared" si="59"/>
        <v>#N/A</v>
      </c>
      <c r="AR545" s="138" t="e">
        <f t="shared" si="60"/>
        <v>#N/A</v>
      </c>
      <c r="AS545" s="138" t="e">
        <f t="shared" si="61"/>
        <v>#N/A</v>
      </c>
      <c r="AT545" s="139" t="e">
        <f t="shared" si="62"/>
        <v>#N/A</v>
      </c>
      <c r="BB545" s="16" t="s">
        <v>596</v>
      </c>
    </row>
    <row r="546" spans="1:54" ht="70.5" customHeight="1">
      <c r="A546" s="428">
        <f t="shared" si="63"/>
        <v>538</v>
      </c>
      <c r="B546" s="403"/>
      <c r="C546" s="404"/>
      <c r="D546" s="405"/>
      <c r="E546" s="405"/>
      <c r="F546" s="405"/>
      <c r="G546" s="405"/>
      <c r="H546" s="406"/>
      <c r="I546" s="407"/>
      <c r="J546" s="408"/>
      <c r="K546" s="409"/>
      <c r="L546" s="410"/>
      <c r="M546" s="404"/>
      <c r="N546" s="411" t="str">
        <f>IF($AI546&lt;&gt;"",Master!$N$37,IF($AC546&lt;&gt;"",Master!$N$38,IF($S546&lt;&gt;"",Master!$N$39,IF($C546&lt;&gt;"",Master!$N$40,Master!$N$41))))</f>
        <v>起票</v>
      </c>
      <c r="O546" s="412" t="str">
        <f>IF($N546=Master!$N$37,MAX($S546,$AC546,$AI546),"")</f>
        <v/>
      </c>
      <c r="P546" s="413"/>
      <c r="Q546" s="414"/>
      <c r="R546" s="409"/>
      <c r="S546" s="404"/>
      <c r="T546" s="418"/>
      <c r="U546" s="415"/>
      <c r="V546" s="409"/>
      <c r="W546" s="419"/>
      <c r="X546" s="419"/>
      <c r="Y546" s="416"/>
      <c r="Z546" s="417"/>
      <c r="AA546" s="418"/>
      <c r="AB546" s="419"/>
      <c r="AC546" s="404"/>
      <c r="AD546" s="404"/>
      <c r="AE546" s="420"/>
      <c r="AF546" s="421"/>
      <c r="AG546" s="418"/>
      <c r="AH546" s="409"/>
      <c r="AI546" s="404"/>
      <c r="AJ546" s="416"/>
      <c r="AK546" s="453"/>
      <c r="AL546" s="422"/>
      <c r="AM546" s="423"/>
      <c r="AO546" s="137" t="e">
        <f t="shared" si="57"/>
        <v>#N/A</v>
      </c>
      <c r="AP546" s="138" t="e">
        <f t="shared" si="58"/>
        <v>#N/A</v>
      </c>
      <c r="AQ546" s="138" t="e">
        <f t="shared" si="59"/>
        <v>#N/A</v>
      </c>
      <c r="AR546" s="138" t="e">
        <f t="shared" si="60"/>
        <v>#N/A</v>
      </c>
      <c r="AS546" s="138" t="e">
        <f t="shared" si="61"/>
        <v>#N/A</v>
      </c>
      <c r="AT546" s="139" t="e">
        <f t="shared" si="62"/>
        <v>#N/A</v>
      </c>
      <c r="BB546" s="16" t="s">
        <v>596</v>
      </c>
    </row>
    <row r="547" spans="1:54" ht="70.5" customHeight="1">
      <c r="A547" s="428">
        <f t="shared" si="63"/>
        <v>539</v>
      </c>
      <c r="B547" s="403"/>
      <c r="C547" s="404"/>
      <c r="D547" s="405"/>
      <c r="E547" s="405"/>
      <c r="F547" s="405"/>
      <c r="G547" s="405"/>
      <c r="H547" s="406"/>
      <c r="I547" s="407"/>
      <c r="J547" s="408"/>
      <c r="K547" s="409"/>
      <c r="L547" s="410"/>
      <c r="M547" s="404"/>
      <c r="N547" s="411" t="str">
        <f>IF($AI547&lt;&gt;"",Master!$N$37,IF($AC547&lt;&gt;"",Master!$N$38,IF($S547&lt;&gt;"",Master!$N$39,IF($C547&lt;&gt;"",Master!$N$40,Master!$N$41))))</f>
        <v>起票</v>
      </c>
      <c r="O547" s="412" t="str">
        <f>IF($N547=Master!$N$37,MAX($S547,$AC547,$AI547),"")</f>
        <v/>
      </c>
      <c r="P547" s="413"/>
      <c r="Q547" s="414"/>
      <c r="R547" s="409"/>
      <c r="S547" s="404"/>
      <c r="T547" s="418"/>
      <c r="U547" s="415"/>
      <c r="V547" s="409"/>
      <c r="W547" s="419"/>
      <c r="X547" s="419"/>
      <c r="Y547" s="416"/>
      <c r="Z547" s="417"/>
      <c r="AA547" s="418"/>
      <c r="AB547" s="419"/>
      <c r="AC547" s="404"/>
      <c r="AD547" s="404"/>
      <c r="AE547" s="420"/>
      <c r="AF547" s="421"/>
      <c r="AG547" s="418"/>
      <c r="AH547" s="409"/>
      <c r="AI547" s="404"/>
      <c r="AJ547" s="416"/>
      <c r="AK547" s="453"/>
      <c r="AL547" s="422"/>
      <c r="AM547" s="423"/>
      <c r="AO547" s="137" t="e">
        <f t="shared" si="57"/>
        <v>#N/A</v>
      </c>
      <c r="AP547" s="138" t="e">
        <f t="shared" si="58"/>
        <v>#N/A</v>
      </c>
      <c r="AQ547" s="138" t="e">
        <f t="shared" si="59"/>
        <v>#N/A</v>
      </c>
      <c r="AR547" s="138" t="e">
        <f t="shared" si="60"/>
        <v>#N/A</v>
      </c>
      <c r="AS547" s="138" t="e">
        <f t="shared" si="61"/>
        <v>#N/A</v>
      </c>
      <c r="AT547" s="139" t="e">
        <f t="shared" si="62"/>
        <v>#N/A</v>
      </c>
      <c r="BB547" s="16" t="s">
        <v>596</v>
      </c>
    </row>
    <row r="548" spans="1:54" ht="70.5" customHeight="1">
      <c r="A548" s="428">
        <f t="shared" si="63"/>
        <v>540</v>
      </c>
      <c r="B548" s="294"/>
      <c r="C548" s="201"/>
      <c r="D548" s="290"/>
      <c r="E548" s="301"/>
      <c r="F548" s="301"/>
      <c r="G548" s="290"/>
      <c r="H548" s="291"/>
      <c r="I548" s="292"/>
      <c r="J548" s="61"/>
      <c r="K548" s="57"/>
      <c r="L548" s="303"/>
      <c r="M548" s="201"/>
      <c r="N548" s="84" t="str">
        <f>IF($AI548&lt;&gt;"",Master!$N$37,IF($AC548&lt;&gt;"",Master!$N$38,IF($S548&lt;&gt;"",Master!$N$39,IF($C548&lt;&gt;"",Master!$N$40,Master!$N$41))))</f>
        <v>起票</v>
      </c>
      <c r="O548" s="202" t="str">
        <f>IF($N548=Master!$N$37,MAX($S548,$AC548,$AI548),"")</f>
        <v/>
      </c>
      <c r="P548" s="65"/>
      <c r="Q548" s="203"/>
      <c r="R548" s="57"/>
      <c r="S548" s="203"/>
      <c r="T548" s="310"/>
      <c r="U548" s="289"/>
      <c r="V548" s="57"/>
      <c r="W548" s="288"/>
      <c r="X548" s="288"/>
      <c r="Y548" s="296"/>
      <c r="Z548" s="57"/>
      <c r="AA548" s="203"/>
      <c r="AB548" s="288"/>
      <c r="AC548" s="201"/>
      <c r="AD548" s="298"/>
      <c r="AE548" s="297"/>
      <c r="AF548" s="58"/>
      <c r="AG548" s="204"/>
      <c r="AH548" s="57"/>
      <c r="AI548" s="201"/>
      <c r="AJ548" s="287"/>
      <c r="AK548" s="452"/>
      <c r="AL548" s="59"/>
      <c r="AM548" s="60"/>
      <c r="AO548" s="137" t="e">
        <f t="shared" si="35"/>
        <v>#N/A</v>
      </c>
      <c r="AP548" s="138" t="e">
        <f t="shared" si="36"/>
        <v>#N/A</v>
      </c>
      <c r="AQ548" s="138" t="e">
        <f t="shared" si="37"/>
        <v>#N/A</v>
      </c>
      <c r="AR548" s="138" t="e">
        <f t="shared" si="38"/>
        <v>#N/A</v>
      </c>
      <c r="AS548" s="138" t="e">
        <f t="shared" si="39"/>
        <v>#N/A</v>
      </c>
      <c r="AT548" s="139" t="e">
        <f t="shared" si="40"/>
        <v>#N/A</v>
      </c>
      <c r="BB548" s="16" t="s">
        <v>596</v>
      </c>
    </row>
    <row r="549" spans="1:54" ht="70.5" customHeight="1">
      <c r="A549" s="428">
        <f t="shared" si="63"/>
        <v>541</v>
      </c>
      <c r="B549" s="294"/>
      <c r="C549" s="201"/>
      <c r="D549" s="290"/>
      <c r="E549" s="301"/>
      <c r="F549" s="301"/>
      <c r="G549" s="290"/>
      <c r="H549" s="291"/>
      <c r="I549" s="292"/>
      <c r="J549" s="61"/>
      <c r="K549" s="57"/>
      <c r="L549" s="303"/>
      <c r="M549" s="201"/>
      <c r="N549" s="84" t="str">
        <f>IF($AI549&lt;&gt;"",Master!$N$37,IF($AC549&lt;&gt;"",Master!$N$38,IF($S549&lt;&gt;"",Master!$N$39,IF($C549&lt;&gt;"",Master!$N$40,Master!$N$41))))</f>
        <v>起票</v>
      </c>
      <c r="O549" s="202" t="str">
        <f>IF($N549=Master!$N$37,MAX($S549,$AC549,$AI549),"")</f>
        <v/>
      </c>
      <c r="P549" s="65"/>
      <c r="Q549" s="203"/>
      <c r="R549" s="57"/>
      <c r="S549" s="203"/>
      <c r="T549" s="310"/>
      <c r="U549" s="289"/>
      <c r="V549" s="57"/>
      <c r="W549" s="288"/>
      <c r="X549" s="288"/>
      <c r="Y549" s="296"/>
      <c r="Z549" s="57"/>
      <c r="AA549" s="203"/>
      <c r="AB549" s="288"/>
      <c r="AC549" s="201"/>
      <c r="AD549" s="298"/>
      <c r="AE549" s="297"/>
      <c r="AF549" s="58"/>
      <c r="AG549" s="204"/>
      <c r="AH549" s="57"/>
      <c r="AI549" s="201"/>
      <c r="AJ549" s="287"/>
      <c r="AK549" s="452"/>
      <c r="AL549" s="59"/>
      <c r="AM549" s="60"/>
      <c r="AO549" s="137" t="e">
        <f t="shared" si="35"/>
        <v>#N/A</v>
      </c>
      <c r="AP549" s="138" t="e">
        <f t="shared" si="36"/>
        <v>#N/A</v>
      </c>
      <c r="AQ549" s="138" t="e">
        <f t="shared" si="37"/>
        <v>#N/A</v>
      </c>
      <c r="AR549" s="138" t="e">
        <f t="shared" si="38"/>
        <v>#N/A</v>
      </c>
      <c r="AS549" s="138" t="e">
        <f t="shared" si="39"/>
        <v>#N/A</v>
      </c>
      <c r="AT549" s="139" t="e">
        <f t="shared" si="40"/>
        <v>#N/A</v>
      </c>
      <c r="BB549" s="16" t="s">
        <v>596</v>
      </c>
    </row>
    <row r="550" spans="1:54" ht="70.5" customHeight="1">
      <c r="A550" s="428">
        <f t="shared" si="63"/>
        <v>542</v>
      </c>
      <c r="B550" s="294"/>
      <c r="C550" s="201"/>
      <c r="D550" s="290"/>
      <c r="E550" s="301"/>
      <c r="F550" s="301"/>
      <c r="G550" s="290"/>
      <c r="H550" s="291"/>
      <c r="I550" s="292"/>
      <c r="J550" s="61"/>
      <c r="K550" s="57"/>
      <c r="L550" s="303"/>
      <c r="M550" s="201"/>
      <c r="N550" s="84" t="str">
        <f>IF($AI550&lt;&gt;"",Master!$N$37,IF($AC550&lt;&gt;"",Master!$N$38,IF($S550&lt;&gt;"",Master!$N$39,IF($C550&lt;&gt;"",Master!$N$40,Master!$N$41))))</f>
        <v>起票</v>
      </c>
      <c r="O550" s="202" t="str">
        <f>IF($N550=Master!$N$37,MAX($S550,$AC550,$AI550),"")</f>
        <v/>
      </c>
      <c r="P550" s="65"/>
      <c r="Q550" s="203"/>
      <c r="R550" s="57"/>
      <c r="S550" s="203"/>
      <c r="T550" s="310"/>
      <c r="U550" s="289"/>
      <c r="V550" s="57"/>
      <c r="W550" s="288"/>
      <c r="X550" s="288"/>
      <c r="Y550" s="296"/>
      <c r="Z550" s="57"/>
      <c r="AA550" s="203"/>
      <c r="AB550" s="288"/>
      <c r="AC550" s="201"/>
      <c r="AD550" s="298"/>
      <c r="AE550" s="297"/>
      <c r="AF550" s="58"/>
      <c r="AG550" s="204"/>
      <c r="AH550" s="57"/>
      <c r="AI550" s="201"/>
      <c r="AJ550" s="287"/>
      <c r="AK550" s="452"/>
      <c r="AL550" s="59"/>
      <c r="AM550" s="60"/>
      <c r="AO550" s="137" t="e">
        <f t="shared" si="35"/>
        <v>#N/A</v>
      </c>
      <c r="AP550" s="138" t="e">
        <f t="shared" si="36"/>
        <v>#N/A</v>
      </c>
      <c r="AQ550" s="138" t="e">
        <f t="shared" si="37"/>
        <v>#N/A</v>
      </c>
      <c r="AR550" s="138" t="e">
        <f t="shared" si="38"/>
        <v>#N/A</v>
      </c>
      <c r="AS550" s="138" t="e">
        <f t="shared" si="39"/>
        <v>#N/A</v>
      </c>
      <c r="AT550" s="139" t="e">
        <f t="shared" si="40"/>
        <v>#N/A</v>
      </c>
      <c r="BB550" s="16" t="s">
        <v>596</v>
      </c>
    </row>
    <row r="551" spans="1:54" ht="70.5" customHeight="1">
      <c r="A551" s="428">
        <f t="shared" si="63"/>
        <v>543</v>
      </c>
      <c r="B551" s="294"/>
      <c r="C551" s="201"/>
      <c r="D551" s="290"/>
      <c r="E551" s="301"/>
      <c r="F551" s="301"/>
      <c r="G551" s="290"/>
      <c r="H551" s="291"/>
      <c r="I551" s="292"/>
      <c r="J551" s="61"/>
      <c r="K551" s="57"/>
      <c r="L551" s="303"/>
      <c r="M551" s="201"/>
      <c r="N551" s="84" t="str">
        <f>IF($AI551&lt;&gt;"",Master!$N$37,IF($AC551&lt;&gt;"",Master!$N$38,IF($S551&lt;&gt;"",Master!$N$39,IF($C551&lt;&gt;"",Master!$N$40,Master!$N$41))))</f>
        <v>起票</v>
      </c>
      <c r="O551" s="202" t="str">
        <f>IF($N551=Master!$N$37,MAX($S551,$AC551,$AI551),"")</f>
        <v/>
      </c>
      <c r="P551" s="65"/>
      <c r="Q551" s="203"/>
      <c r="R551" s="57"/>
      <c r="S551" s="203"/>
      <c r="T551" s="310"/>
      <c r="U551" s="289"/>
      <c r="V551" s="57"/>
      <c r="W551" s="288"/>
      <c r="X551" s="288"/>
      <c r="Y551" s="296"/>
      <c r="Z551" s="57"/>
      <c r="AA551" s="203"/>
      <c r="AB551" s="288"/>
      <c r="AC551" s="201"/>
      <c r="AD551" s="298"/>
      <c r="AE551" s="297"/>
      <c r="AF551" s="58"/>
      <c r="AG551" s="204"/>
      <c r="AH551" s="57"/>
      <c r="AI551" s="201"/>
      <c r="AJ551" s="287"/>
      <c r="AK551" s="452"/>
      <c r="AL551" s="59"/>
      <c r="AM551" s="60"/>
      <c r="AO551" s="137" t="e">
        <f t="shared" si="35"/>
        <v>#N/A</v>
      </c>
      <c r="AP551" s="138" t="e">
        <f t="shared" si="36"/>
        <v>#N/A</v>
      </c>
      <c r="AQ551" s="138" t="e">
        <f t="shared" si="37"/>
        <v>#N/A</v>
      </c>
      <c r="AR551" s="138" t="e">
        <f t="shared" si="38"/>
        <v>#N/A</v>
      </c>
      <c r="AS551" s="138" t="e">
        <f t="shared" si="39"/>
        <v>#N/A</v>
      </c>
      <c r="AT551" s="139" t="e">
        <f t="shared" si="40"/>
        <v>#N/A</v>
      </c>
      <c r="BB551" s="16" t="s">
        <v>596</v>
      </c>
    </row>
    <row r="552" spans="1:54" ht="70.5" customHeight="1">
      <c r="A552" s="428">
        <f t="shared" si="63"/>
        <v>544</v>
      </c>
      <c r="B552" s="294"/>
      <c r="C552" s="201"/>
      <c r="D552" s="290"/>
      <c r="E552" s="301"/>
      <c r="F552" s="301"/>
      <c r="G552" s="290"/>
      <c r="H552" s="291"/>
      <c r="I552" s="292"/>
      <c r="J552" s="61"/>
      <c r="K552" s="57"/>
      <c r="L552" s="303"/>
      <c r="M552" s="201"/>
      <c r="N552" s="84" t="str">
        <f>IF($AI552&lt;&gt;"",Master!$N$37,IF($AC552&lt;&gt;"",Master!$N$38,IF($S552&lt;&gt;"",Master!$N$39,IF($C552&lt;&gt;"",Master!$N$40,Master!$N$41))))</f>
        <v>起票</v>
      </c>
      <c r="O552" s="202" t="str">
        <f>IF($N552=Master!$N$37,MAX($S552,$AC552,$AI552),"")</f>
        <v/>
      </c>
      <c r="P552" s="65"/>
      <c r="Q552" s="203"/>
      <c r="R552" s="57"/>
      <c r="S552" s="203"/>
      <c r="T552" s="310"/>
      <c r="U552" s="289"/>
      <c r="V552" s="57"/>
      <c r="W552" s="288"/>
      <c r="X552" s="288"/>
      <c r="Y552" s="296"/>
      <c r="Z552" s="57"/>
      <c r="AA552" s="203"/>
      <c r="AB552" s="288"/>
      <c r="AC552" s="201"/>
      <c r="AD552" s="298"/>
      <c r="AE552" s="297"/>
      <c r="AF552" s="58"/>
      <c r="AG552" s="204"/>
      <c r="AH552" s="57"/>
      <c r="AI552" s="201"/>
      <c r="AJ552" s="287"/>
      <c r="AK552" s="452"/>
      <c r="AL552" s="59"/>
      <c r="AM552" s="60"/>
      <c r="AO552" s="137" t="e">
        <f t="shared" si="35"/>
        <v>#N/A</v>
      </c>
      <c r="AP552" s="138" t="e">
        <f t="shared" si="36"/>
        <v>#N/A</v>
      </c>
      <c r="AQ552" s="138" t="e">
        <f t="shared" si="37"/>
        <v>#N/A</v>
      </c>
      <c r="AR552" s="138" t="e">
        <f t="shared" si="38"/>
        <v>#N/A</v>
      </c>
      <c r="AS552" s="138" t="e">
        <f t="shared" si="39"/>
        <v>#N/A</v>
      </c>
      <c r="AT552" s="139" t="e">
        <f t="shared" si="40"/>
        <v>#N/A</v>
      </c>
      <c r="BB552" s="16" t="s">
        <v>596</v>
      </c>
    </row>
    <row r="553" spans="1:54" ht="70.5" customHeight="1">
      <c r="A553" s="428">
        <f t="shared" si="63"/>
        <v>545</v>
      </c>
      <c r="B553" s="403"/>
      <c r="C553" s="404"/>
      <c r="D553" s="405"/>
      <c r="E553" s="405"/>
      <c r="F553" s="405"/>
      <c r="G553" s="405"/>
      <c r="H553" s="406"/>
      <c r="I553" s="407"/>
      <c r="J553" s="408"/>
      <c r="K553" s="409"/>
      <c r="L553" s="410"/>
      <c r="M553" s="404"/>
      <c r="N553" s="411" t="str">
        <f>IF($AI553&lt;&gt;"",Master!$N$37,IF($AC553&lt;&gt;"",Master!$N$38,IF($S553&lt;&gt;"",Master!$N$39,IF($C553&lt;&gt;"",Master!$N$40,Master!$N$41))))</f>
        <v>起票</v>
      </c>
      <c r="O553" s="412" t="str">
        <f>IF($N553=Master!$N$37,MAX($S553,$AC553,$AI553),"")</f>
        <v/>
      </c>
      <c r="P553" s="413"/>
      <c r="Q553" s="414"/>
      <c r="R553" s="409"/>
      <c r="S553" s="404"/>
      <c r="T553" s="418"/>
      <c r="U553" s="415"/>
      <c r="V553" s="409"/>
      <c r="W553" s="419"/>
      <c r="X553" s="419"/>
      <c r="Y553" s="416"/>
      <c r="Z553" s="417"/>
      <c r="AA553" s="418"/>
      <c r="AB553" s="419"/>
      <c r="AC553" s="404"/>
      <c r="AD553" s="404"/>
      <c r="AE553" s="420"/>
      <c r="AF553" s="421"/>
      <c r="AG553" s="418"/>
      <c r="AH553" s="409"/>
      <c r="AI553" s="404"/>
      <c r="AJ553" s="416"/>
      <c r="AK553" s="453"/>
      <c r="AL553" s="422"/>
      <c r="AM553" s="423"/>
      <c r="AO553" s="137" t="e">
        <f t="shared" si="35"/>
        <v>#N/A</v>
      </c>
      <c r="AP553" s="138" t="e">
        <f t="shared" si="36"/>
        <v>#N/A</v>
      </c>
      <c r="AQ553" s="138" t="e">
        <f t="shared" si="37"/>
        <v>#N/A</v>
      </c>
      <c r="AR553" s="138" t="e">
        <f t="shared" si="38"/>
        <v>#N/A</v>
      </c>
      <c r="AS553" s="138" t="e">
        <f t="shared" si="39"/>
        <v>#N/A</v>
      </c>
      <c r="AT553" s="139" t="e">
        <f t="shared" si="40"/>
        <v>#N/A</v>
      </c>
      <c r="BB553" s="16" t="s">
        <v>596</v>
      </c>
    </row>
    <row r="554" spans="1:54" ht="70.5" customHeight="1">
      <c r="A554" s="428">
        <f t="shared" si="63"/>
        <v>546</v>
      </c>
      <c r="B554" s="403"/>
      <c r="C554" s="404"/>
      <c r="D554" s="405"/>
      <c r="E554" s="405"/>
      <c r="F554" s="405"/>
      <c r="G554" s="405"/>
      <c r="H554" s="406"/>
      <c r="I554" s="407"/>
      <c r="J554" s="408"/>
      <c r="K554" s="409"/>
      <c r="L554" s="410"/>
      <c r="M554" s="404"/>
      <c r="N554" s="411" t="str">
        <f>IF($AI554&lt;&gt;"",Master!$N$37,IF($AC554&lt;&gt;"",Master!$N$38,IF($S554&lt;&gt;"",Master!$N$39,IF($C554&lt;&gt;"",Master!$N$40,Master!$N$41))))</f>
        <v>起票</v>
      </c>
      <c r="O554" s="412" t="str">
        <f>IF($N554=Master!$N$37,MAX($S554,$AC554,$AI554),"")</f>
        <v/>
      </c>
      <c r="P554" s="413"/>
      <c r="Q554" s="414"/>
      <c r="R554" s="409"/>
      <c r="S554" s="404"/>
      <c r="T554" s="418"/>
      <c r="U554" s="415"/>
      <c r="V554" s="409"/>
      <c r="W554" s="419"/>
      <c r="X554" s="419"/>
      <c r="Y554" s="416"/>
      <c r="Z554" s="417"/>
      <c r="AA554" s="418"/>
      <c r="AB554" s="419"/>
      <c r="AC554" s="404"/>
      <c r="AD554" s="404"/>
      <c r="AE554" s="420"/>
      <c r="AF554" s="421"/>
      <c r="AG554" s="418"/>
      <c r="AH554" s="409"/>
      <c r="AI554" s="404"/>
      <c r="AJ554" s="416"/>
      <c r="AK554" s="453"/>
      <c r="AL554" s="422"/>
      <c r="AM554" s="423"/>
      <c r="AO554" s="137" t="e">
        <f t="shared" si="35"/>
        <v>#N/A</v>
      </c>
      <c r="AP554" s="138" t="e">
        <f t="shared" si="36"/>
        <v>#N/A</v>
      </c>
      <c r="AQ554" s="138" t="e">
        <f t="shared" si="37"/>
        <v>#N/A</v>
      </c>
      <c r="AR554" s="138" t="e">
        <f t="shared" si="38"/>
        <v>#N/A</v>
      </c>
      <c r="AS554" s="138" t="e">
        <f t="shared" si="39"/>
        <v>#N/A</v>
      </c>
      <c r="AT554" s="139" t="e">
        <f t="shared" si="40"/>
        <v>#N/A</v>
      </c>
      <c r="BB554" s="16" t="s">
        <v>596</v>
      </c>
    </row>
    <row r="555" spans="1:54" ht="70.5" customHeight="1">
      <c r="A555" s="428">
        <f t="shared" si="63"/>
        <v>547</v>
      </c>
      <c r="B555" s="403"/>
      <c r="C555" s="404"/>
      <c r="D555" s="405"/>
      <c r="E555" s="405"/>
      <c r="F555" s="405"/>
      <c r="G555" s="405"/>
      <c r="H555" s="406"/>
      <c r="I555" s="407"/>
      <c r="J555" s="408"/>
      <c r="K555" s="409"/>
      <c r="L555" s="410"/>
      <c r="M555" s="404"/>
      <c r="N555" s="411" t="str">
        <f>IF($AI555&lt;&gt;"",Master!$N$37,IF($AC555&lt;&gt;"",Master!$N$38,IF($S555&lt;&gt;"",Master!$N$39,IF($C555&lt;&gt;"",Master!$N$40,Master!$N$41))))</f>
        <v>起票</v>
      </c>
      <c r="O555" s="412" t="str">
        <f>IF($N555=Master!$N$37,MAX($S555,$AC555,$AI555),"")</f>
        <v/>
      </c>
      <c r="P555" s="413"/>
      <c r="Q555" s="414"/>
      <c r="R555" s="409"/>
      <c r="S555" s="404"/>
      <c r="T555" s="418"/>
      <c r="U555" s="415"/>
      <c r="V555" s="409"/>
      <c r="W555" s="419"/>
      <c r="X555" s="419"/>
      <c r="Y555" s="416"/>
      <c r="Z555" s="417"/>
      <c r="AA555" s="418"/>
      <c r="AB555" s="419"/>
      <c r="AC555" s="404"/>
      <c r="AD555" s="404"/>
      <c r="AE555" s="420"/>
      <c r="AF555" s="421"/>
      <c r="AG555" s="418"/>
      <c r="AH555" s="409"/>
      <c r="AI555" s="404"/>
      <c r="AJ555" s="416"/>
      <c r="AK555" s="453"/>
      <c r="AL555" s="422"/>
      <c r="AM555" s="423"/>
      <c r="AO555" s="137" t="e">
        <f t="shared" si="35"/>
        <v>#N/A</v>
      </c>
      <c r="AP555" s="138" t="e">
        <f t="shared" si="36"/>
        <v>#N/A</v>
      </c>
      <c r="AQ555" s="138" t="e">
        <f t="shared" si="37"/>
        <v>#N/A</v>
      </c>
      <c r="AR555" s="138" t="e">
        <f t="shared" si="38"/>
        <v>#N/A</v>
      </c>
      <c r="AS555" s="138" t="e">
        <f t="shared" si="39"/>
        <v>#N/A</v>
      </c>
      <c r="AT555" s="139" t="e">
        <f t="shared" si="40"/>
        <v>#N/A</v>
      </c>
      <c r="BB555" s="16" t="s">
        <v>596</v>
      </c>
    </row>
    <row r="556" spans="1:54" ht="70.5" customHeight="1">
      <c r="A556" s="428">
        <f t="shared" si="63"/>
        <v>548</v>
      </c>
      <c r="B556" s="294"/>
      <c r="C556" s="201"/>
      <c r="D556" s="290"/>
      <c r="E556" s="301"/>
      <c r="F556" s="301"/>
      <c r="G556" s="290"/>
      <c r="H556" s="291"/>
      <c r="I556" s="292"/>
      <c r="J556" s="61"/>
      <c r="K556" s="57"/>
      <c r="L556" s="303"/>
      <c r="M556" s="201"/>
      <c r="N556" s="84" t="str">
        <f>IF($AI556&lt;&gt;"",Master!$N$37,IF($AC556&lt;&gt;"",Master!$N$38,IF($S556&lt;&gt;"",Master!$N$39,IF($C556&lt;&gt;"",Master!$N$40,Master!$N$41))))</f>
        <v>起票</v>
      </c>
      <c r="O556" s="202" t="str">
        <f>IF($N556=Master!$N$37,MAX($S556,$AC556,$AI556),"")</f>
        <v/>
      </c>
      <c r="P556" s="65"/>
      <c r="Q556" s="203"/>
      <c r="R556" s="57"/>
      <c r="S556" s="203"/>
      <c r="T556" s="310"/>
      <c r="U556" s="289"/>
      <c r="V556" s="57"/>
      <c r="W556" s="288"/>
      <c r="X556" s="288"/>
      <c r="Y556" s="296"/>
      <c r="Z556" s="57"/>
      <c r="AA556" s="203"/>
      <c r="AB556" s="288"/>
      <c r="AC556" s="201"/>
      <c r="AD556" s="298"/>
      <c r="AE556" s="297"/>
      <c r="AF556" s="58"/>
      <c r="AG556" s="204"/>
      <c r="AH556" s="57"/>
      <c r="AI556" s="201"/>
      <c r="AJ556" s="287"/>
      <c r="AK556" s="452"/>
      <c r="AL556" s="59"/>
      <c r="AM556" s="60"/>
      <c r="AO556" s="137" t="e">
        <f t="shared" si="35"/>
        <v>#N/A</v>
      </c>
      <c r="AP556" s="138" t="e">
        <f t="shared" si="36"/>
        <v>#N/A</v>
      </c>
      <c r="AQ556" s="138" t="e">
        <f t="shared" si="37"/>
        <v>#N/A</v>
      </c>
      <c r="AR556" s="138" t="e">
        <f t="shared" si="38"/>
        <v>#N/A</v>
      </c>
      <c r="AS556" s="138" t="e">
        <f t="shared" si="39"/>
        <v>#N/A</v>
      </c>
      <c r="AT556" s="139" t="e">
        <f t="shared" si="40"/>
        <v>#N/A</v>
      </c>
      <c r="BB556" s="16" t="s">
        <v>596</v>
      </c>
    </row>
    <row r="557" spans="1:54" ht="70.5" customHeight="1">
      <c r="A557" s="428">
        <f t="shared" si="63"/>
        <v>549</v>
      </c>
      <c r="B557" s="294"/>
      <c r="C557" s="201"/>
      <c r="D557" s="290"/>
      <c r="E557" s="301"/>
      <c r="F557" s="301"/>
      <c r="G557" s="290"/>
      <c r="H557" s="291"/>
      <c r="I557" s="292"/>
      <c r="J557" s="61"/>
      <c r="K557" s="57"/>
      <c r="L557" s="303"/>
      <c r="M557" s="201"/>
      <c r="N557" s="84" t="str">
        <f>IF($AI557&lt;&gt;"",Master!$N$37,IF($AC557&lt;&gt;"",Master!$N$38,IF($S557&lt;&gt;"",Master!$N$39,IF($C557&lt;&gt;"",Master!$N$40,Master!$N$41))))</f>
        <v>起票</v>
      </c>
      <c r="O557" s="202" t="str">
        <f>IF($N557=Master!$N$37,MAX($S557,$AC557,$AI557),"")</f>
        <v/>
      </c>
      <c r="P557" s="65"/>
      <c r="Q557" s="203"/>
      <c r="R557" s="57"/>
      <c r="S557" s="203"/>
      <c r="T557" s="310"/>
      <c r="U557" s="289"/>
      <c r="V557" s="57"/>
      <c r="W557" s="288"/>
      <c r="X557" s="288"/>
      <c r="Y557" s="296"/>
      <c r="Z557" s="57"/>
      <c r="AA557" s="203"/>
      <c r="AB557" s="288"/>
      <c r="AC557" s="201"/>
      <c r="AD557" s="298"/>
      <c r="AE557" s="297"/>
      <c r="AF557" s="58"/>
      <c r="AG557" s="204"/>
      <c r="AH557" s="57"/>
      <c r="AI557" s="201"/>
      <c r="AJ557" s="287"/>
      <c r="AK557" s="452"/>
      <c r="AL557" s="59"/>
      <c r="AM557" s="60"/>
      <c r="AO557" s="137" t="e">
        <f t="shared" si="35"/>
        <v>#N/A</v>
      </c>
      <c r="AP557" s="138" t="e">
        <f t="shared" si="36"/>
        <v>#N/A</v>
      </c>
      <c r="AQ557" s="138" t="e">
        <f t="shared" si="37"/>
        <v>#N/A</v>
      </c>
      <c r="AR557" s="138" t="e">
        <f t="shared" si="38"/>
        <v>#N/A</v>
      </c>
      <c r="AS557" s="138" t="e">
        <f t="shared" si="39"/>
        <v>#N/A</v>
      </c>
      <c r="AT557" s="139" t="e">
        <f t="shared" si="40"/>
        <v>#N/A</v>
      </c>
      <c r="BB557" s="16" t="s">
        <v>596</v>
      </c>
    </row>
    <row r="558" spans="1:54" ht="70.5" customHeight="1">
      <c r="A558" s="428">
        <f t="shared" si="63"/>
        <v>550</v>
      </c>
      <c r="B558" s="403"/>
      <c r="C558" s="404"/>
      <c r="D558" s="405"/>
      <c r="E558" s="405"/>
      <c r="F558" s="405"/>
      <c r="G558" s="405"/>
      <c r="H558" s="406"/>
      <c r="I558" s="407"/>
      <c r="J558" s="408"/>
      <c r="K558" s="409"/>
      <c r="L558" s="410"/>
      <c r="M558" s="404"/>
      <c r="N558" s="411" t="str">
        <f>IF($AI558&lt;&gt;"",Master!$N$37,IF($AC558&lt;&gt;"",Master!$N$38,IF($S558&lt;&gt;"",Master!$N$39,IF($C558&lt;&gt;"",Master!$N$40,Master!$N$41))))</f>
        <v>起票</v>
      </c>
      <c r="O558" s="412" t="str">
        <f>IF($N558=Master!$N$37,MAX($S558,$AC558,$AI558),"")</f>
        <v/>
      </c>
      <c r="P558" s="413"/>
      <c r="Q558" s="414"/>
      <c r="R558" s="409"/>
      <c r="S558" s="404"/>
      <c r="T558" s="418"/>
      <c r="U558" s="415"/>
      <c r="V558" s="409"/>
      <c r="W558" s="419"/>
      <c r="X558" s="419"/>
      <c r="Y558" s="416"/>
      <c r="Z558" s="417"/>
      <c r="AA558" s="418"/>
      <c r="AB558" s="419"/>
      <c r="AC558" s="404"/>
      <c r="AD558" s="404"/>
      <c r="AE558" s="420"/>
      <c r="AF558" s="421"/>
      <c r="AG558" s="418"/>
      <c r="AH558" s="409"/>
      <c r="AI558" s="404"/>
      <c r="AJ558" s="416"/>
      <c r="AK558" s="453"/>
      <c r="AL558" s="422"/>
      <c r="AM558" s="423"/>
      <c r="AO558" s="137" t="e">
        <f t="shared" si="35"/>
        <v>#N/A</v>
      </c>
      <c r="AP558" s="138" t="e">
        <f t="shared" si="36"/>
        <v>#N/A</v>
      </c>
      <c r="AQ558" s="138" t="e">
        <f t="shared" si="37"/>
        <v>#N/A</v>
      </c>
      <c r="AR558" s="138" t="e">
        <f t="shared" si="38"/>
        <v>#N/A</v>
      </c>
      <c r="AS558" s="138" t="e">
        <f t="shared" si="39"/>
        <v>#N/A</v>
      </c>
      <c r="AT558" s="139" t="e">
        <f t="shared" si="40"/>
        <v>#N/A</v>
      </c>
      <c r="BB558" s="16" t="s">
        <v>596</v>
      </c>
    </row>
    <row r="559" spans="1:54" ht="70.5" customHeight="1">
      <c r="A559" s="428">
        <f t="shared" si="63"/>
        <v>551</v>
      </c>
      <c r="B559" s="403"/>
      <c r="C559" s="404"/>
      <c r="D559" s="405"/>
      <c r="E559" s="405"/>
      <c r="F559" s="405"/>
      <c r="G559" s="405"/>
      <c r="H559" s="406"/>
      <c r="I559" s="407"/>
      <c r="J559" s="408"/>
      <c r="K559" s="409"/>
      <c r="L559" s="410"/>
      <c r="M559" s="404"/>
      <c r="N559" s="411" t="str">
        <f>IF($AI559&lt;&gt;"",Master!$N$37,IF($AC559&lt;&gt;"",Master!$N$38,IF($S559&lt;&gt;"",Master!$N$39,IF($C559&lt;&gt;"",Master!$N$40,Master!$N$41))))</f>
        <v>起票</v>
      </c>
      <c r="O559" s="412" t="str">
        <f>IF($N559=Master!$N$37,MAX($S559,$AC559,$AI559),"")</f>
        <v/>
      </c>
      <c r="P559" s="413"/>
      <c r="Q559" s="414"/>
      <c r="R559" s="409"/>
      <c r="S559" s="404"/>
      <c r="T559" s="418"/>
      <c r="U559" s="415"/>
      <c r="V559" s="409"/>
      <c r="W559" s="419"/>
      <c r="X559" s="419"/>
      <c r="Y559" s="416"/>
      <c r="Z559" s="417"/>
      <c r="AA559" s="418"/>
      <c r="AB559" s="419"/>
      <c r="AC559" s="404"/>
      <c r="AD559" s="404"/>
      <c r="AE559" s="420"/>
      <c r="AF559" s="421"/>
      <c r="AG559" s="418"/>
      <c r="AH559" s="409"/>
      <c r="AI559" s="404"/>
      <c r="AJ559" s="416"/>
      <c r="AK559" s="453"/>
      <c r="AL559" s="422"/>
      <c r="AM559" s="423"/>
      <c r="AO559" s="137" t="e">
        <f t="shared" si="35"/>
        <v>#N/A</v>
      </c>
      <c r="AP559" s="138" t="e">
        <f t="shared" si="36"/>
        <v>#N/A</v>
      </c>
      <c r="AQ559" s="138" t="e">
        <f t="shared" si="37"/>
        <v>#N/A</v>
      </c>
      <c r="AR559" s="138" t="e">
        <f t="shared" si="38"/>
        <v>#N/A</v>
      </c>
      <c r="AS559" s="138" t="e">
        <f t="shared" si="39"/>
        <v>#N/A</v>
      </c>
      <c r="AT559" s="139" t="e">
        <f t="shared" si="40"/>
        <v>#N/A</v>
      </c>
      <c r="BB559" s="16" t="s">
        <v>596</v>
      </c>
    </row>
    <row r="560" spans="1:54" ht="70.5" customHeight="1">
      <c r="A560" s="428">
        <f t="shared" si="63"/>
        <v>552</v>
      </c>
      <c r="B560" s="403"/>
      <c r="C560" s="404"/>
      <c r="D560" s="405"/>
      <c r="E560" s="405"/>
      <c r="F560" s="405"/>
      <c r="G560" s="405"/>
      <c r="H560" s="406"/>
      <c r="I560" s="407"/>
      <c r="J560" s="408"/>
      <c r="K560" s="409"/>
      <c r="L560" s="410"/>
      <c r="M560" s="404"/>
      <c r="N560" s="411" t="str">
        <f>IF($AI560&lt;&gt;"",Master!$N$37,IF($AC560&lt;&gt;"",Master!$N$38,IF($S560&lt;&gt;"",Master!$N$39,IF($C560&lt;&gt;"",Master!$N$40,Master!$N$41))))</f>
        <v>起票</v>
      </c>
      <c r="O560" s="412" t="str">
        <f>IF($N560=Master!$N$37,MAX($S560,$AC560,$AI560),"")</f>
        <v/>
      </c>
      <c r="P560" s="413"/>
      <c r="Q560" s="414"/>
      <c r="R560" s="409"/>
      <c r="S560" s="404"/>
      <c r="T560" s="418"/>
      <c r="U560" s="415"/>
      <c r="V560" s="409"/>
      <c r="W560" s="419"/>
      <c r="X560" s="419"/>
      <c r="Y560" s="416"/>
      <c r="Z560" s="417"/>
      <c r="AA560" s="418"/>
      <c r="AB560" s="419"/>
      <c r="AC560" s="404"/>
      <c r="AD560" s="404"/>
      <c r="AE560" s="420"/>
      <c r="AF560" s="421"/>
      <c r="AG560" s="418"/>
      <c r="AH560" s="409"/>
      <c r="AI560" s="404"/>
      <c r="AJ560" s="416"/>
      <c r="AK560" s="453"/>
      <c r="AL560" s="422"/>
      <c r="AM560" s="423"/>
      <c r="AO560" s="137" t="e">
        <f t="shared" si="35"/>
        <v>#N/A</v>
      </c>
      <c r="AP560" s="138" t="e">
        <f t="shared" si="36"/>
        <v>#N/A</v>
      </c>
      <c r="AQ560" s="138" t="e">
        <f t="shared" si="37"/>
        <v>#N/A</v>
      </c>
      <c r="AR560" s="138" t="e">
        <f t="shared" si="38"/>
        <v>#N/A</v>
      </c>
      <c r="AS560" s="138" t="e">
        <f t="shared" si="39"/>
        <v>#N/A</v>
      </c>
      <c r="AT560" s="139" t="e">
        <f t="shared" si="40"/>
        <v>#N/A</v>
      </c>
      <c r="BB560" s="16" t="s">
        <v>596</v>
      </c>
    </row>
    <row r="561" spans="1:54" ht="70.5" customHeight="1">
      <c r="A561" s="428">
        <f t="shared" si="63"/>
        <v>553</v>
      </c>
      <c r="B561" s="294"/>
      <c r="C561" s="201"/>
      <c r="D561" s="290"/>
      <c r="E561" s="301"/>
      <c r="F561" s="301"/>
      <c r="G561" s="290"/>
      <c r="H561" s="291"/>
      <c r="I561" s="292"/>
      <c r="J561" s="61"/>
      <c r="K561" s="57"/>
      <c r="L561" s="303"/>
      <c r="M561" s="201"/>
      <c r="N561" s="84" t="str">
        <f>IF($AI561&lt;&gt;"",Master!$N$37,IF($AC561&lt;&gt;"",Master!$N$38,IF($S561&lt;&gt;"",Master!$N$39,IF($C561&lt;&gt;"",Master!$N$40,Master!$N$41))))</f>
        <v>起票</v>
      </c>
      <c r="O561" s="202" t="str">
        <f>IF($N561=Master!$N$37,MAX($S561,$AC561,$AI561),"")</f>
        <v/>
      </c>
      <c r="P561" s="65"/>
      <c r="Q561" s="203"/>
      <c r="R561" s="57"/>
      <c r="S561" s="203"/>
      <c r="T561" s="310"/>
      <c r="U561" s="289"/>
      <c r="V561" s="57"/>
      <c r="W561" s="288"/>
      <c r="X561" s="288"/>
      <c r="Y561" s="296"/>
      <c r="Z561" s="57"/>
      <c r="AA561" s="203"/>
      <c r="AB561" s="288"/>
      <c r="AC561" s="201"/>
      <c r="AD561" s="298"/>
      <c r="AE561" s="297"/>
      <c r="AF561" s="58"/>
      <c r="AG561" s="204"/>
      <c r="AH561" s="57"/>
      <c r="AI561" s="201"/>
      <c r="AJ561" s="287"/>
      <c r="AK561" s="452"/>
      <c r="AL561" s="59"/>
      <c r="AM561" s="60"/>
      <c r="AO561" s="137" t="e">
        <f t="shared" ref="AO561:AO573" si="64">IF(AND(C561&lt;&gt;"",C561&lt;=$AI$3),IF(E561="","",E561),NA())</f>
        <v>#N/A</v>
      </c>
      <c r="AP561" s="138" t="e">
        <f t="shared" ref="AP561:AP573" si="65">IF(AND(C561&lt;&gt;"",C561&lt;=$AI$3),IF(F561="","",F561),NA())</f>
        <v>#N/A</v>
      </c>
      <c r="AQ561" s="138" t="e">
        <f t="shared" ref="AQ561:AQ573" si="66">IF(AND(C561&lt;&gt;"",C561&lt;=$AI$3),IF(H561="","",H561),NA())</f>
        <v>#N/A</v>
      </c>
      <c r="AR561" s="138" t="e">
        <f t="shared" ref="AR561:AR573" si="67">IF(AND(C561&lt;&gt;"",C561&lt;=$AI$3),IF(U561="","",U561),NA())</f>
        <v>#N/A</v>
      </c>
      <c r="AS561" s="138" t="e">
        <f t="shared" ref="AS561:AS573" si="68">IF(AND(C561&lt;&gt;"",C561&lt;=$AI$3),IF(V561="","",V561),NA())</f>
        <v>#N/A</v>
      </c>
      <c r="AT561" s="139" t="e">
        <f t="shared" ref="AT561:AT573" si="69">IF(AND(C561&lt;&gt;"",C561&lt;=$AI$3),IF(AB561="","",AB561),NA())</f>
        <v>#N/A</v>
      </c>
      <c r="BB561" s="16" t="s">
        <v>596</v>
      </c>
    </row>
    <row r="562" spans="1:54" ht="70.5" customHeight="1">
      <c r="A562" s="428">
        <f t="shared" si="63"/>
        <v>554</v>
      </c>
      <c r="B562" s="294"/>
      <c r="C562" s="201"/>
      <c r="D562" s="290"/>
      <c r="E562" s="301"/>
      <c r="F562" s="301"/>
      <c r="G562" s="290"/>
      <c r="H562" s="291"/>
      <c r="I562" s="292"/>
      <c r="J562" s="61"/>
      <c r="K562" s="57"/>
      <c r="L562" s="303"/>
      <c r="M562" s="201"/>
      <c r="N562" s="84" t="str">
        <f>IF($AI562&lt;&gt;"",Master!$N$37,IF($AC562&lt;&gt;"",Master!$N$38,IF($S562&lt;&gt;"",Master!$N$39,IF($C562&lt;&gt;"",Master!$N$40,Master!$N$41))))</f>
        <v>起票</v>
      </c>
      <c r="O562" s="202" t="str">
        <f>IF($N562=Master!$N$37,MAX($S562,$AC562,$AI562),"")</f>
        <v/>
      </c>
      <c r="P562" s="65"/>
      <c r="Q562" s="203"/>
      <c r="R562" s="57"/>
      <c r="S562" s="203"/>
      <c r="T562" s="310"/>
      <c r="U562" s="289"/>
      <c r="V562" s="57"/>
      <c r="W562" s="288"/>
      <c r="X562" s="288"/>
      <c r="Y562" s="296"/>
      <c r="Z562" s="57"/>
      <c r="AA562" s="203"/>
      <c r="AB562" s="288"/>
      <c r="AC562" s="201"/>
      <c r="AD562" s="298"/>
      <c r="AE562" s="297"/>
      <c r="AF562" s="58"/>
      <c r="AG562" s="204"/>
      <c r="AH562" s="57"/>
      <c r="AI562" s="201"/>
      <c r="AJ562" s="287"/>
      <c r="AK562" s="452"/>
      <c r="AL562" s="59"/>
      <c r="AM562" s="60"/>
      <c r="AO562" s="137" t="e">
        <f t="shared" si="64"/>
        <v>#N/A</v>
      </c>
      <c r="AP562" s="138" t="e">
        <f t="shared" si="65"/>
        <v>#N/A</v>
      </c>
      <c r="AQ562" s="138" t="e">
        <f t="shared" si="66"/>
        <v>#N/A</v>
      </c>
      <c r="AR562" s="138" t="e">
        <f t="shared" si="67"/>
        <v>#N/A</v>
      </c>
      <c r="AS562" s="138" t="e">
        <f t="shared" si="68"/>
        <v>#N/A</v>
      </c>
      <c r="AT562" s="139" t="e">
        <f t="shared" si="69"/>
        <v>#N/A</v>
      </c>
      <c r="BB562" s="16" t="s">
        <v>596</v>
      </c>
    </row>
    <row r="563" spans="1:54" ht="70.5" customHeight="1">
      <c r="A563" s="428">
        <f t="shared" si="63"/>
        <v>555</v>
      </c>
      <c r="B563" s="294"/>
      <c r="C563" s="201"/>
      <c r="D563" s="290"/>
      <c r="E563" s="301"/>
      <c r="F563" s="301"/>
      <c r="G563" s="290"/>
      <c r="H563" s="291"/>
      <c r="I563" s="292"/>
      <c r="J563" s="61"/>
      <c r="K563" s="57"/>
      <c r="L563" s="303"/>
      <c r="M563" s="201"/>
      <c r="N563" s="84" t="str">
        <f>IF($AI563&lt;&gt;"",Master!$N$37,IF($AC563&lt;&gt;"",Master!$N$38,IF($S563&lt;&gt;"",Master!$N$39,IF($C563&lt;&gt;"",Master!$N$40,Master!$N$41))))</f>
        <v>起票</v>
      </c>
      <c r="O563" s="202" t="str">
        <f>IF($N563=Master!$N$37,MAX($S563,$AC563,$AI563),"")</f>
        <v/>
      </c>
      <c r="P563" s="65"/>
      <c r="Q563" s="203"/>
      <c r="R563" s="57"/>
      <c r="S563" s="203"/>
      <c r="T563" s="310"/>
      <c r="U563" s="289"/>
      <c r="V563" s="57"/>
      <c r="W563" s="288"/>
      <c r="X563" s="288"/>
      <c r="Y563" s="296"/>
      <c r="Z563" s="57"/>
      <c r="AA563" s="203"/>
      <c r="AB563" s="288"/>
      <c r="AC563" s="201"/>
      <c r="AD563" s="298"/>
      <c r="AE563" s="297"/>
      <c r="AF563" s="58"/>
      <c r="AG563" s="204"/>
      <c r="AH563" s="57"/>
      <c r="AI563" s="201"/>
      <c r="AJ563" s="287"/>
      <c r="AK563" s="452"/>
      <c r="AL563" s="59"/>
      <c r="AM563" s="60"/>
      <c r="AO563" s="137" t="e">
        <f t="shared" si="64"/>
        <v>#N/A</v>
      </c>
      <c r="AP563" s="138" t="e">
        <f t="shared" si="65"/>
        <v>#N/A</v>
      </c>
      <c r="AQ563" s="138" t="e">
        <f t="shared" si="66"/>
        <v>#N/A</v>
      </c>
      <c r="AR563" s="138" t="e">
        <f t="shared" si="67"/>
        <v>#N/A</v>
      </c>
      <c r="AS563" s="138" t="e">
        <f t="shared" si="68"/>
        <v>#N/A</v>
      </c>
      <c r="AT563" s="139" t="e">
        <f t="shared" si="69"/>
        <v>#N/A</v>
      </c>
      <c r="BB563" s="16" t="s">
        <v>596</v>
      </c>
    </row>
    <row r="564" spans="1:54" ht="70.5" customHeight="1">
      <c r="A564" s="428">
        <f t="shared" si="63"/>
        <v>556</v>
      </c>
      <c r="B564" s="294"/>
      <c r="C564" s="201"/>
      <c r="D564" s="290"/>
      <c r="E564" s="301"/>
      <c r="F564" s="301"/>
      <c r="G564" s="290"/>
      <c r="H564" s="291"/>
      <c r="I564" s="292"/>
      <c r="J564" s="61"/>
      <c r="K564" s="57"/>
      <c r="L564" s="303"/>
      <c r="M564" s="201"/>
      <c r="N564" s="84" t="str">
        <f>IF($AI564&lt;&gt;"",Master!$N$37,IF($AC564&lt;&gt;"",Master!$N$38,IF($S564&lt;&gt;"",Master!$N$39,IF($C564&lt;&gt;"",Master!$N$40,Master!$N$41))))</f>
        <v>起票</v>
      </c>
      <c r="O564" s="202" t="str">
        <f>IF($N564=Master!$N$37,MAX($S564,$AC564,$AI564),"")</f>
        <v/>
      </c>
      <c r="P564" s="65"/>
      <c r="Q564" s="203"/>
      <c r="R564" s="57"/>
      <c r="S564" s="203"/>
      <c r="T564" s="310"/>
      <c r="U564" s="289"/>
      <c r="V564" s="57"/>
      <c r="W564" s="288"/>
      <c r="X564" s="288"/>
      <c r="Y564" s="296"/>
      <c r="Z564" s="57"/>
      <c r="AA564" s="203"/>
      <c r="AB564" s="288"/>
      <c r="AC564" s="201"/>
      <c r="AD564" s="298"/>
      <c r="AE564" s="297"/>
      <c r="AF564" s="58"/>
      <c r="AG564" s="204"/>
      <c r="AH564" s="57"/>
      <c r="AI564" s="201"/>
      <c r="AJ564" s="287"/>
      <c r="AK564" s="452"/>
      <c r="AL564" s="59"/>
      <c r="AM564" s="60"/>
      <c r="AO564" s="137" t="e">
        <f t="shared" si="64"/>
        <v>#N/A</v>
      </c>
      <c r="AP564" s="138" t="e">
        <f t="shared" si="65"/>
        <v>#N/A</v>
      </c>
      <c r="AQ564" s="138" t="e">
        <f t="shared" si="66"/>
        <v>#N/A</v>
      </c>
      <c r="AR564" s="138" t="e">
        <f t="shared" si="67"/>
        <v>#N/A</v>
      </c>
      <c r="AS564" s="138" t="e">
        <f t="shared" si="68"/>
        <v>#N/A</v>
      </c>
      <c r="AT564" s="139" t="e">
        <f t="shared" si="69"/>
        <v>#N/A</v>
      </c>
      <c r="BB564" s="16" t="s">
        <v>596</v>
      </c>
    </row>
    <row r="565" spans="1:54" ht="70.5" customHeight="1">
      <c r="A565" s="428">
        <f t="shared" si="63"/>
        <v>557</v>
      </c>
      <c r="B565" s="294"/>
      <c r="C565" s="201"/>
      <c r="D565" s="290"/>
      <c r="E565" s="301"/>
      <c r="F565" s="301"/>
      <c r="G565" s="290"/>
      <c r="H565" s="291"/>
      <c r="I565" s="292"/>
      <c r="J565" s="61"/>
      <c r="K565" s="57"/>
      <c r="L565" s="303"/>
      <c r="M565" s="201"/>
      <c r="N565" s="84" t="str">
        <f>IF($AI565&lt;&gt;"",Master!$N$37,IF($AC565&lt;&gt;"",Master!$N$38,IF($S565&lt;&gt;"",Master!$N$39,IF($C565&lt;&gt;"",Master!$N$40,Master!$N$41))))</f>
        <v>起票</v>
      </c>
      <c r="O565" s="202" t="str">
        <f>IF($N565=Master!$N$37,MAX($S565,$AC565,$AI565),"")</f>
        <v/>
      </c>
      <c r="P565" s="65"/>
      <c r="Q565" s="203"/>
      <c r="R565" s="57"/>
      <c r="S565" s="203"/>
      <c r="T565" s="310"/>
      <c r="U565" s="289"/>
      <c r="V565" s="57"/>
      <c r="W565" s="288"/>
      <c r="X565" s="288"/>
      <c r="Y565" s="296"/>
      <c r="Z565" s="57"/>
      <c r="AA565" s="203"/>
      <c r="AB565" s="288"/>
      <c r="AC565" s="201"/>
      <c r="AD565" s="298"/>
      <c r="AE565" s="297"/>
      <c r="AF565" s="58"/>
      <c r="AG565" s="204"/>
      <c r="AH565" s="57"/>
      <c r="AI565" s="201"/>
      <c r="AJ565" s="287"/>
      <c r="AK565" s="452"/>
      <c r="AL565" s="59"/>
      <c r="AM565" s="60"/>
      <c r="AO565" s="137" t="e">
        <f t="shared" si="64"/>
        <v>#N/A</v>
      </c>
      <c r="AP565" s="138" t="e">
        <f t="shared" si="65"/>
        <v>#N/A</v>
      </c>
      <c r="AQ565" s="138" t="e">
        <f t="shared" si="66"/>
        <v>#N/A</v>
      </c>
      <c r="AR565" s="138" t="e">
        <f t="shared" si="67"/>
        <v>#N/A</v>
      </c>
      <c r="AS565" s="138" t="e">
        <f t="shared" si="68"/>
        <v>#N/A</v>
      </c>
      <c r="AT565" s="139" t="e">
        <f t="shared" si="69"/>
        <v>#N/A</v>
      </c>
      <c r="BB565" s="16" t="s">
        <v>596</v>
      </c>
    </row>
    <row r="566" spans="1:54" ht="70.5" customHeight="1">
      <c r="A566" s="428">
        <f t="shared" si="63"/>
        <v>558</v>
      </c>
      <c r="B566" s="403"/>
      <c r="C566" s="404"/>
      <c r="D566" s="405"/>
      <c r="E566" s="405"/>
      <c r="F566" s="405"/>
      <c r="G566" s="405"/>
      <c r="H566" s="406"/>
      <c r="I566" s="407"/>
      <c r="J566" s="408"/>
      <c r="K566" s="409"/>
      <c r="L566" s="410"/>
      <c r="M566" s="404"/>
      <c r="N566" s="411" t="str">
        <f>IF($AI566&lt;&gt;"",Master!$N$37,IF($AC566&lt;&gt;"",Master!$N$38,IF($S566&lt;&gt;"",Master!$N$39,IF($C566&lt;&gt;"",Master!$N$40,Master!$N$41))))</f>
        <v>起票</v>
      </c>
      <c r="O566" s="412" t="str">
        <f>IF($N566=Master!$N$37,MAX($S566,$AC566,$AI566),"")</f>
        <v/>
      </c>
      <c r="P566" s="413"/>
      <c r="Q566" s="414"/>
      <c r="R566" s="409"/>
      <c r="S566" s="404"/>
      <c r="T566" s="418"/>
      <c r="U566" s="415"/>
      <c r="V566" s="409"/>
      <c r="W566" s="419"/>
      <c r="X566" s="419"/>
      <c r="Y566" s="416"/>
      <c r="Z566" s="417"/>
      <c r="AA566" s="418"/>
      <c r="AB566" s="419"/>
      <c r="AC566" s="404"/>
      <c r="AD566" s="404"/>
      <c r="AE566" s="420"/>
      <c r="AF566" s="421"/>
      <c r="AG566" s="418"/>
      <c r="AH566" s="409"/>
      <c r="AI566" s="404"/>
      <c r="AJ566" s="416"/>
      <c r="AK566" s="453"/>
      <c r="AL566" s="422"/>
      <c r="AM566" s="423"/>
      <c r="AO566" s="137" t="e">
        <f t="shared" si="64"/>
        <v>#N/A</v>
      </c>
      <c r="AP566" s="138" t="e">
        <f t="shared" si="65"/>
        <v>#N/A</v>
      </c>
      <c r="AQ566" s="138" t="e">
        <f t="shared" si="66"/>
        <v>#N/A</v>
      </c>
      <c r="AR566" s="138" t="e">
        <f t="shared" si="67"/>
        <v>#N/A</v>
      </c>
      <c r="AS566" s="138" t="e">
        <f t="shared" si="68"/>
        <v>#N/A</v>
      </c>
      <c r="AT566" s="139" t="e">
        <f t="shared" si="69"/>
        <v>#N/A</v>
      </c>
      <c r="BB566" s="16" t="s">
        <v>596</v>
      </c>
    </row>
    <row r="567" spans="1:54" ht="70.5" customHeight="1">
      <c r="A567" s="428">
        <f t="shared" si="63"/>
        <v>559</v>
      </c>
      <c r="B567" s="403"/>
      <c r="C567" s="404"/>
      <c r="D567" s="405"/>
      <c r="E567" s="405"/>
      <c r="F567" s="405"/>
      <c r="G567" s="405"/>
      <c r="H567" s="406"/>
      <c r="I567" s="407"/>
      <c r="J567" s="408"/>
      <c r="K567" s="409"/>
      <c r="L567" s="410"/>
      <c r="M567" s="404"/>
      <c r="N567" s="411" t="str">
        <f>IF($AI567&lt;&gt;"",Master!$N$37,IF($AC567&lt;&gt;"",Master!$N$38,IF($S567&lt;&gt;"",Master!$N$39,IF($C567&lt;&gt;"",Master!$N$40,Master!$N$41))))</f>
        <v>起票</v>
      </c>
      <c r="O567" s="412" t="str">
        <f>IF($N567=Master!$N$37,MAX($S567,$AC567,$AI567),"")</f>
        <v/>
      </c>
      <c r="P567" s="413"/>
      <c r="Q567" s="414"/>
      <c r="R567" s="409"/>
      <c r="S567" s="404"/>
      <c r="T567" s="418"/>
      <c r="U567" s="415"/>
      <c r="V567" s="409"/>
      <c r="W567" s="419"/>
      <c r="X567" s="419"/>
      <c r="Y567" s="416"/>
      <c r="Z567" s="417"/>
      <c r="AA567" s="418"/>
      <c r="AB567" s="419"/>
      <c r="AC567" s="404"/>
      <c r="AD567" s="404"/>
      <c r="AE567" s="420"/>
      <c r="AF567" s="421"/>
      <c r="AG567" s="418"/>
      <c r="AH567" s="409"/>
      <c r="AI567" s="404"/>
      <c r="AJ567" s="416"/>
      <c r="AK567" s="453"/>
      <c r="AL567" s="422"/>
      <c r="AM567" s="423"/>
      <c r="AO567" s="137" t="e">
        <f t="shared" si="64"/>
        <v>#N/A</v>
      </c>
      <c r="AP567" s="138" t="e">
        <f t="shared" si="65"/>
        <v>#N/A</v>
      </c>
      <c r="AQ567" s="138" t="e">
        <f t="shared" si="66"/>
        <v>#N/A</v>
      </c>
      <c r="AR567" s="138" t="e">
        <f t="shared" si="67"/>
        <v>#N/A</v>
      </c>
      <c r="AS567" s="138" t="e">
        <f t="shared" si="68"/>
        <v>#N/A</v>
      </c>
      <c r="AT567" s="139" t="e">
        <f t="shared" si="69"/>
        <v>#N/A</v>
      </c>
      <c r="BB567" s="16" t="s">
        <v>596</v>
      </c>
    </row>
    <row r="568" spans="1:54" ht="70.5" customHeight="1">
      <c r="A568" s="428">
        <f t="shared" si="63"/>
        <v>560</v>
      </c>
      <c r="B568" s="403"/>
      <c r="C568" s="404"/>
      <c r="D568" s="405"/>
      <c r="E568" s="405"/>
      <c r="F568" s="405"/>
      <c r="G568" s="405"/>
      <c r="H568" s="406"/>
      <c r="I568" s="407"/>
      <c r="J568" s="408"/>
      <c r="K568" s="409"/>
      <c r="L568" s="410"/>
      <c r="M568" s="404"/>
      <c r="N568" s="411" t="str">
        <f>IF($AI568&lt;&gt;"",Master!$N$37,IF($AC568&lt;&gt;"",Master!$N$38,IF($S568&lt;&gt;"",Master!$N$39,IF($C568&lt;&gt;"",Master!$N$40,Master!$N$41))))</f>
        <v>起票</v>
      </c>
      <c r="O568" s="412" t="str">
        <f>IF($N568=Master!$N$37,MAX($S568,$AC568,$AI568),"")</f>
        <v/>
      </c>
      <c r="P568" s="413"/>
      <c r="Q568" s="414"/>
      <c r="R568" s="409"/>
      <c r="S568" s="404"/>
      <c r="T568" s="418"/>
      <c r="U568" s="415"/>
      <c r="V568" s="409"/>
      <c r="W568" s="419"/>
      <c r="X568" s="419"/>
      <c r="Y568" s="416"/>
      <c r="Z568" s="417"/>
      <c r="AA568" s="418"/>
      <c r="AB568" s="419"/>
      <c r="AC568" s="404"/>
      <c r="AD568" s="404"/>
      <c r="AE568" s="420"/>
      <c r="AF568" s="421"/>
      <c r="AG568" s="418"/>
      <c r="AH568" s="409"/>
      <c r="AI568" s="404"/>
      <c r="AJ568" s="416"/>
      <c r="AK568" s="453"/>
      <c r="AL568" s="422"/>
      <c r="AM568" s="423"/>
      <c r="AO568" s="137" t="e">
        <f t="shared" si="64"/>
        <v>#N/A</v>
      </c>
      <c r="AP568" s="138" t="e">
        <f t="shared" si="65"/>
        <v>#N/A</v>
      </c>
      <c r="AQ568" s="138" t="e">
        <f t="shared" si="66"/>
        <v>#N/A</v>
      </c>
      <c r="AR568" s="138" t="e">
        <f t="shared" si="67"/>
        <v>#N/A</v>
      </c>
      <c r="AS568" s="138" t="e">
        <f t="shared" si="68"/>
        <v>#N/A</v>
      </c>
      <c r="AT568" s="139" t="e">
        <f t="shared" si="69"/>
        <v>#N/A</v>
      </c>
      <c r="BB568" s="16" t="s">
        <v>596</v>
      </c>
    </row>
    <row r="569" spans="1:54" ht="70.5" customHeight="1">
      <c r="A569" s="428">
        <f t="shared" si="63"/>
        <v>561</v>
      </c>
      <c r="B569" s="294"/>
      <c r="C569" s="201"/>
      <c r="D569" s="290"/>
      <c r="E569" s="301"/>
      <c r="F569" s="301"/>
      <c r="G569" s="290"/>
      <c r="H569" s="291"/>
      <c r="I569" s="292"/>
      <c r="J569" s="61"/>
      <c r="K569" s="57"/>
      <c r="L569" s="303"/>
      <c r="M569" s="201"/>
      <c r="N569" s="84" t="str">
        <f>IF($AI569&lt;&gt;"",Master!$N$37,IF($AC569&lt;&gt;"",Master!$N$38,IF($S569&lt;&gt;"",Master!$N$39,IF($C569&lt;&gt;"",Master!$N$40,Master!$N$41))))</f>
        <v>起票</v>
      </c>
      <c r="O569" s="202" t="str">
        <f>IF($N569=Master!$N$37,MAX($S569,$AC569,$AI569),"")</f>
        <v/>
      </c>
      <c r="P569" s="65"/>
      <c r="Q569" s="203"/>
      <c r="R569" s="57"/>
      <c r="S569" s="203"/>
      <c r="T569" s="310"/>
      <c r="U569" s="289"/>
      <c r="V569" s="57"/>
      <c r="W569" s="288"/>
      <c r="X569" s="288"/>
      <c r="Y569" s="296"/>
      <c r="Z569" s="57"/>
      <c r="AA569" s="203"/>
      <c r="AB569" s="288"/>
      <c r="AC569" s="201"/>
      <c r="AD569" s="298"/>
      <c r="AE569" s="297"/>
      <c r="AF569" s="58"/>
      <c r="AG569" s="204"/>
      <c r="AH569" s="57"/>
      <c r="AI569" s="201"/>
      <c r="AJ569" s="287"/>
      <c r="AK569" s="452"/>
      <c r="AL569" s="59"/>
      <c r="AM569" s="60"/>
      <c r="AO569" s="137" t="e">
        <f t="shared" si="64"/>
        <v>#N/A</v>
      </c>
      <c r="AP569" s="138" t="e">
        <f t="shared" si="65"/>
        <v>#N/A</v>
      </c>
      <c r="AQ569" s="138" t="e">
        <f t="shared" si="66"/>
        <v>#N/A</v>
      </c>
      <c r="AR569" s="138" t="e">
        <f t="shared" si="67"/>
        <v>#N/A</v>
      </c>
      <c r="AS569" s="138" t="e">
        <f t="shared" si="68"/>
        <v>#N/A</v>
      </c>
      <c r="AT569" s="139" t="e">
        <f t="shared" si="69"/>
        <v>#N/A</v>
      </c>
      <c r="BB569" s="16" t="s">
        <v>596</v>
      </c>
    </row>
    <row r="570" spans="1:54" ht="70.5" customHeight="1">
      <c r="A570" s="428">
        <f t="shared" si="63"/>
        <v>562</v>
      </c>
      <c r="B570" s="294"/>
      <c r="C570" s="201"/>
      <c r="D570" s="290"/>
      <c r="E570" s="301"/>
      <c r="F570" s="301"/>
      <c r="G570" s="290"/>
      <c r="H570" s="291"/>
      <c r="I570" s="292"/>
      <c r="J570" s="61"/>
      <c r="K570" s="57"/>
      <c r="L570" s="303"/>
      <c r="M570" s="201"/>
      <c r="N570" s="84" t="str">
        <f>IF($AI570&lt;&gt;"",Master!$N$37,IF($AC570&lt;&gt;"",Master!$N$38,IF($S570&lt;&gt;"",Master!$N$39,IF($C570&lt;&gt;"",Master!$N$40,Master!$N$41))))</f>
        <v>起票</v>
      </c>
      <c r="O570" s="202" t="str">
        <f>IF($N570=Master!$N$37,MAX($S570,$AC570,$AI570),"")</f>
        <v/>
      </c>
      <c r="P570" s="65"/>
      <c r="Q570" s="203"/>
      <c r="R570" s="57"/>
      <c r="S570" s="203"/>
      <c r="T570" s="310"/>
      <c r="U570" s="289"/>
      <c r="V570" s="57"/>
      <c r="W570" s="288"/>
      <c r="X570" s="288"/>
      <c r="Y570" s="296"/>
      <c r="Z570" s="57"/>
      <c r="AA570" s="203"/>
      <c r="AB570" s="288"/>
      <c r="AC570" s="201"/>
      <c r="AD570" s="298"/>
      <c r="AE570" s="297"/>
      <c r="AF570" s="58"/>
      <c r="AG570" s="204"/>
      <c r="AH570" s="57"/>
      <c r="AI570" s="201"/>
      <c r="AJ570" s="287"/>
      <c r="AK570" s="452"/>
      <c r="AL570" s="59"/>
      <c r="AM570" s="60"/>
      <c r="AO570" s="137" t="e">
        <f t="shared" si="64"/>
        <v>#N/A</v>
      </c>
      <c r="AP570" s="138" t="e">
        <f t="shared" si="65"/>
        <v>#N/A</v>
      </c>
      <c r="AQ570" s="138" t="e">
        <f t="shared" si="66"/>
        <v>#N/A</v>
      </c>
      <c r="AR570" s="138" t="e">
        <f t="shared" si="67"/>
        <v>#N/A</v>
      </c>
      <c r="AS570" s="138" t="e">
        <f t="shared" si="68"/>
        <v>#N/A</v>
      </c>
      <c r="AT570" s="139" t="e">
        <f t="shared" si="69"/>
        <v>#N/A</v>
      </c>
      <c r="BB570" s="16" t="s">
        <v>596</v>
      </c>
    </row>
    <row r="571" spans="1:54" ht="70.5" customHeight="1">
      <c r="A571" s="428">
        <f t="shared" si="63"/>
        <v>563</v>
      </c>
      <c r="B571" s="403"/>
      <c r="C571" s="404"/>
      <c r="D571" s="405"/>
      <c r="E571" s="405"/>
      <c r="F571" s="405"/>
      <c r="G571" s="405"/>
      <c r="H571" s="406"/>
      <c r="I571" s="407"/>
      <c r="J571" s="408"/>
      <c r="K571" s="409"/>
      <c r="L571" s="410"/>
      <c r="M571" s="404"/>
      <c r="N571" s="411" t="str">
        <f>IF($AI571&lt;&gt;"",Master!$N$37,IF($AC571&lt;&gt;"",Master!$N$38,IF($S571&lt;&gt;"",Master!$N$39,IF($C571&lt;&gt;"",Master!$N$40,Master!$N$41))))</f>
        <v>起票</v>
      </c>
      <c r="O571" s="412" t="str">
        <f>IF($N571=Master!$N$37,MAX($S571,$AC571,$AI571),"")</f>
        <v/>
      </c>
      <c r="P571" s="413"/>
      <c r="Q571" s="414"/>
      <c r="R571" s="409"/>
      <c r="S571" s="404"/>
      <c r="T571" s="418"/>
      <c r="U571" s="415"/>
      <c r="V571" s="409"/>
      <c r="W571" s="419"/>
      <c r="X571" s="419"/>
      <c r="Y571" s="416"/>
      <c r="Z571" s="417"/>
      <c r="AA571" s="418"/>
      <c r="AB571" s="419"/>
      <c r="AC571" s="404"/>
      <c r="AD571" s="404"/>
      <c r="AE571" s="420"/>
      <c r="AF571" s="421"/>
      <c r="AG571" s="418"/>
      <c r="AH571" s="409"/>
      <c r="AI571" s="404"/>
      <c r="AJ571" s="416"/>
      <c r="AK571" s="453"/>
      <c r="AL571" s="422"/>
      <c r="AM571" s="423"/>
      <c r="AO571" s="137" t="e">
        <f t="shared" si="64"/>
        <v>#N/A</v>
      </c>
      <c r="AP571" s="138" t="e">
        <f t="shared" si="65"/>
        <v>#N/A</v>
      </c>
      <c r="AQ571" s="138" t="e">
        <f t="shared" si="66"/>
        <v>#N/A</v>
      </c>
      <c r="AR571" s="138" t="e">
        <f t="shared" si="67"/>
        <v>#N/A</v>
      </c>
      <c r="AS571" s="138" t="e">
        <f t="shared" si="68"/>
        <v>#N/A</v>
      </c>
      <c r="AT571" s="139" t="e">
        <f t="shared" si="69"/>
        <v>#N/A</v>
      </c>
      <c r="BB571" s="16" t="s">
        <v>596</v>
      </c>
    </row>
    <row r="572" spans="1:54" ht="70.5" customHeight="1">
      <c r="A572" s="428">
        <f t="shared" si="63"/>
        <v>564</v>
      </c>
      <c r="B572" s="403"/>
      <c r="C572" s="404"/>
      <c r="D572" s="405"/>
      <c r="E572" s="405"/>
      <c r="F572" s="405"/>
      <c r="G572" s="405"/>
      <c r="H572" s="406"/>
      <c r="I572" s="407"/>
      <c r="J572" s="408"/>
      <c r="K572" s="409"/>
      <c r="L572" s="410"/>
      <c r="M572" s="404"/>
      <c r="N572" s="411" t="str">
        <f>IF($AI572&lt;&gt;"",Master!$N$37,IF($AC572&lt;&gt;"",Master!$N$38,IF($S572&lt;&gt;"",Master!$N$39,IF($C572&lt;&gt;"",Master!$N$40,Master!$N$41))))</f>
        <v>起票</v>
      </c>
      <c r="O572" s="412" t="str">
        <f>IF($N572=Master!$N$37,MAX($S572,$AC572,$AI572),"")</f>
        <v/>
      </c>
      <c r="P572" s="413"/>
      <c r="Q572" s="414"/>
      <c r="R572" s="409"/>
      <c r="S572" s="404"/>
      <c r="T572" s="418"/>
      <c r="U572" s="415"/>
      <c r="V572" s="409"/>
      <c r="W572" s="419"/>
      <c r="X572" s="419"/>
      <c r="Y572" s="416"/>
      <c r="Z572" s="417"/>
      <c r="AA572" s="418"/>
      <c r="AB572" s="419"/>
      <c r="AC572" s="404"/>
      <c r="AD572" s="404"/>
      <c r="AE572" s="420"/>
      <c r="AF572" s="421"/>
      <c r="AG572" s="418"/>
      <c r="AH572" s="409"/>
      <c r="AI572" s="404"/>
      <c r="AJ572" s="416"/>
      <c r="AK572" s="453"/>
      <c r="AL572" s="422"/>
      <c r="AM572" s="423"/>
      <c r="AO572" s="137" t="e">
        <f t="shared" si="64"/>
        <v>#N/A</v>
      </c>
      <c r="AP572" s="138" t="e">
        <f t="shared" si="65"/>
        <v>#N/A</v>
      </c>
      <c r="AQ572" s="138" t="e">
        <f t="shared" si="66"/>
        <v>#N/A</v>
      </c>
      <c r="AR572" s="138" t="e">
        <f t="shared" si="67"/>
        <v>#N/A</v>
      </c>
      <c r="AS572" s="138" t="e">
        <f t="shared" si="68"/>
        <v>#N/A</v>
      </c>
      <c r="AT572" s="139" t="e">
        <f t="shared" si="69"/>
        <v>#N/A</v>
      </c>
      <c r="BB572" s="16" t="s">
        <v>596</v>
      </c>
    </row>
    <row r="573" spans="1:54" ht="70.5" customHeight="1">
      <c r="A573" s="428">
        <f t="shared" si="63"/>
        <v>565</v>
      </c>
      <c r="B573" s="403"/>
      <c r="C573" s="404"/>
      <c r="D573" s="405"/>
      <c r="E573" s="405"/>
      <c r="F573" s="405"/>
      <c r="G573" s="405"/>
      <c r="H573" s="406"/>
      <c r="I573" s="407"/>
      <c r="J573" s="408"/>
      <c r="K573" s="409"/>
      <c r="L573" s="410"/>
      <c r="M573" s="404"/>
      <c r="N573" s="411" t="str">
        <f>IF($AI573&lt;&gt;"",Master!$N$37,IF($AC573&lt;&gt;"",Master!$N$38,IF($S573&lt;&gt;"",Master!$N$39,IF($C573&lt;&gt;"",Master!$N$40,Master!$N$41))))</f>
        <v>起票</v>
      </c>
      <c r="O573" s="412" t="str">
        <f>IF($N573=Master!$N$37,MAX($S573,$AC573,$AI573),"")</f>
        <v/>
      </c>
      <c r="P573" s="413"/>
      <c r="Q573" s="414"/>
      <c r="R573" s="409"/>
      <c r="S573" s="404"/>
      <c r="T573" s="418"/>
      <c r="U573" s="415"/>
      <c r="V573" s="409"/>
      <c r="W573" s="419"/>
      <c r="X573" s="419"/>
      <c r="Y573" s="416"/>
      <c r="Z573" s="417"/>
      <c r="AA573" s="418"/>
      <c r="AB573" s="419"/>
      <c r="AC573" s="404"/>
      <c r="AD573" s="404"/>
      <c r="AE573" s="420"/>
      <c r="AF573" s="421"/>
      <c r="AG573" s="418"/>
      <c r="AH573" s="409"/>
      <c r="AI573" s="404"/>
      <c r="AJ573" s="416"/>
      <c r="AK573" s="453"/>
      <c r="AL573" s="422"/>
      <c r="AM573" s="423"/>
      <c r="AO573" s="137" t="e">
        <f t="shared" si="64"/>
        <v>#N/A</v>
      </c>
      <c r="AP573" s="138" t="e">
        <f t="shared" si="65"/>
        <v>#N/A</v>
      </c>
      <c r="AQ573" s="138" t="e">
        <f t="shared" si="66"/>
        <v>#N/A</v>
      </c>
      <c r="AR573" s="138" t="e">
        <f t="shared" si="67"/>
        <v>#N/A</v>
      </c>
      <c r="AS573" s="138" t="e">
        <f t="shared" si="68"/>
        <v>#N/A</v>
      </c>
      <c r="AT573" s="139" t="e">
        <f t="shared" si="69"/>
        <v>#N/A</v>
      </c>
      <c r="BB573" s="16" t="s">
        <v>596</v>
      </c>
    </row>
    <row r="574" spans="1:54" ht="70.5" customHeight="1">
      <c r="A574" s="428">
        <f t="shared" si="63"/>
        <v>566</v>
      </c>
      <c r="B574" s="294"/>
      <c r="C574" s="201"/>
      <c r="D574" s="290"/>
      <c r="E574" s="301"/>
      <c r="F574" s="301"/>
      <c r="G574" s="290"/>
      <c r="H574" s="291"/>
      <c r="I574" s="292"/>
      <c r="J574" s="61"/>
      <c r="K574" s="57"/>
      <c r="L574" s="303"/>
      <c r="M574" s="201"/>
      <c r="N574" s="84" t="str">
        <f>IF($AI574&lt;&gt;"",Master!$N$37,IF($AC574&lt;&gt;"",Master!$N$38,IF($S574&lt;&gt;"",Master!$N$39,IF($C574&lt;&gt;"",Master!$N$40,Master!$N$41))))</f>
        <v>起票</v>
      </c>
      <c r="O574" s="202" t="str">
        <f>IF($N574=Master!$N$37,MAX($S574,$AC574,$AI574),"")</f>
        <v/>
      </c>
      <c r="P574" s="65"/>
      <c r="Q574" s="203"/>
      <c r="R574" s="57"/>
      <c r="S574" s="203"/>
      <c r="T574" s="310"/>
      <c r="U574" s="289"/>
      <c r="V574" s="57"/>
      <c r="W574" s="288"/>
      <c r="X574" s="288"/>
      <c r="Y574" s="296"/>
      <c r="Z574" s="57"/>
      <c r="AA574" s="203"/>
      <c r="AB574" s="288"/>
      <c r="AC574" s="201"/>
      <c r="AD574" s="298"/>
      <c r="AE574" s="297"/>
      <c r="AF574" s="58"/>
      <c r="AG574" s="204"/>
      <c r="AH574" s="57"/>
      <c r="AI574" s="201"/>
      <c r="AJ574" s="287"/>
      <c r="AK574" s="452"/>
      <c r="AL574" s="59"/>
      <c r="AM574" s="60"/>
      <c r="AO574" s="137" t="e">
        <f t="shared" ref="AO574:AO586" si="70">IF(AND(C574&lt;&gt;"",C574&lt;=$AI$3),IF(E574="","",E574),NA())</f>
        <v>#N/A</v>
      </c>
      <c r="AP574" s="138" t="e">
        <f t="shared" ref="AP574:AP586" si="71">IF(AND(C574&lt;&gt;"",C574&lt;=$AI$3),IF(F574="","",F574),NA())</f>
        <v>#N/A</v>
      </c>
      <c r="AQ574" s="138" t="e">
        <f t="shared" ref="AQ574:AQ586" si="72">IF(AND(C574&lt;&gt;"",C574&lt;=$AI$3),IF(H574="","",H574),NA())</f>
        <v>#N/A</v>
      </c>
      <c r="AR574" s="138" t="e">
        <f t="shared" ref="AR574:AR586" si="73">IF(AND(C574&lt;&gt;"",C574&lt;=$AI$3),IF(U574="","",U574),NA())</f>
        <v>#N/A</v>
      </c>
      <c r="AS574" s="138" t="e">
        <f t="shared" ref="AS574:AS586" si="74">IF(AND(C574&lt;&gt;"",C574&lt;=$AI$3),IF(V574="","",V574),NA())</f>
        <v>#N/A</v>
      </c>
      <c r="AT574" s="139" t="e">
        <f t="shared" ref="AT574:AT586" si="75">IF(AND(C574&lt;&gt;"",C574&lt;=$AI$3),IF(AB574="","",AB574),NA())</f>
        <v>#N/A</v>
      </c>
      <c r="BB574" s="16" t="s">
        <v>596</v>
      </c>
    </row>
    <row r="575" spans="1:54" ht="42" customHeight="1">
      <c r="A575" s="428">
        <f t="shared" si="63"/>
        <v>567</v>
      </c>
      <c r="B575" s="294"/>
      <c r="C575" s="201"/>
      <c r="D575" s="290"/>
      <c r="E575" s="301"/>
      <c r="F575" s="301"/>
      <c r="G575" s="290"/>
      <c r="H575" s="291"/>
      <c r="I575" s="292"/>
      <c r="J575" s="61"/>
      <c r="K575" s="57"/>
      <c r="L575" s="303"/>
      <c r="M575" s="201"/>
      <c r="N575" s="84" t="str">
        <f>IF($AI575&lt;&gt;"",Master!$N$37,IF($AC575&lt;&gt;"",Master!$N$38,IF($S575&lt;&gt;"",Master!$N$39,IF($C575&lt;&gt;"",Master!$N$40,Master!$N$41))))</f>
        <v>起票</v>
      </c>
      <c r="O575" s="202" t="str">
        <f>IF($N575=Master!$N$37,MAX($S575,$AC575,$AI575),"")</f>
        <v/>
      </c>
      <c r="P575" s="65"/>
      <c r="Q575" s="203"/>
      <c r="R575" s="57"/>
      <c r="S575" s="203"/>
      <c r="T575" s="310"/>
      <c r="U575" s="289"/>
      <c r="V575" s="57"/>
      <c r="W575" s="288"/>
      <c r="X575" s="288"/>
      <c r="Y575" s="296"/>
      <c r="Z575" s="57"/>
      <c r="AA575" s="203"/>
      <c r="AB575" s="288"/>
      <c r="AC575" s="201"/>
      <c r="AD575" s="298"/>
      <c r="AE575" s="297"/>
      <c r="AF575" s="58"/>
      <c r="AG575" s="204"/>
      <c r="AH575" s="57"/>
      <c r="AI575" s="201"/>
      <c r="AJ575" s="287"/>
      <c r="AK575" s="452"/>
      <c r="AL575" s="59"/>
      <c r="AM575" s="60"/>
      <c r="AO575" s="137" t="e">
        <f t="shared" si="70"/>
        <v>#N/A</v>
      </c>
      <c r="AP575" s="138" t="e">
        <f t="shared" si="71"/>
        <v>#N/A</v>
      </c>
      <c r="AQ575" s="138" t="e">
        <f t="shared" si="72"/>
        <v>#N/A</v>
      </c>
      <c r="AR575" s="138" t="e">
        <f t="shared" si="73"/>
        <v>#N/A</v>
      </c>
      <c r="AS575" s="138" t="e">
        <f t="shared" si="74"/>
        <v>#N/A</v>
      </c>
      <c r="AT575" s="139" t="e">
        <f t="shared" si="75"/>
        <v>#N/A</v>
      </c>
      <c r="BB575" s="16" t="s">
        <v>596</v>
      </c>
    </row>
    <row r="576" spans="1:54" ht="42" customHeight="1">
      <c r="A576" s="428">
        <f t="shared" si="63"/>
        <v>568</v>
      </c>
      <c r="B576" s="294"/>
      <c r="C576" s="201"/>
      <c r="D576" s="290"/>
      <c r="E576" s="301"/>
      <c r="F576" s="301"/>
      <c r="G576" s="290"/>
      <c r="H576" s="291"/>
      <c r="I576" s="292"/>
      <c r="J576" s="61"/>
      <c r="K576" s="57"/>
      <c r="L576" s="303"/>
      <c r="M576" s="201"/>
      <c r="N576" s="84" t="str">
        <f>IF($AI576&lt;&gt;"",Master!$N$37,IF($AC576&lt;&gt;"",Master!$N$38,IF($S576&lt;&gt;"",Master!$N$39,IF($C576&lt;&gt;"",Master!$N$40,Master!$N$41))))</f>
        <v>起票</v>
      </c>
      <c r="O576" s="202" t="str">
        <f>IF($N576=Master!$N$37,MAX($S576,$AC576,$AI576),"")</f>
        <v/>
      </c>
      <c r="P576" s="65"/>
      <c r="Q576" s="203"/>
      <c r="R576" s="57"/>
      <c r="S576" s="203"/>
      <c r="T576" s="310"/>
      <c r="U576" s="289"/>
      <c r="V576" s="57"/>
      <c r="W576" s="288"/>
      <c r="X576" s="288"/>
      <c r="Y576" s="296"/>
      <c r="Z576" s="57"/>
      <c r="AA576" s="203"/>
      <c r="AB576" s="288"/>
      <c r="AC576" s="201"/>
      <c r="AD576" s="298"/>
      <c r="AE576" s="297"/>
      <c r="AF576" s="58"/>
      <c r="AG576" s="204"/>
      <c r="AH576" s="57"/>
      <c r="AI576" s="201"/>
      <c r="AJ576" s="287"/>
      <c r="AK576" s="452"/>
      <c r="AL576" s="59"/>
      <c r="AM576" s="60"/>
      <c r="AO576" s="137" t="e">
        <f t="shared" si="70"/>
        <v>#N/A</v>
      </c>
      <c r="AP576" s="138" t="e">
        <f t="shared" si="71"/>
        <v>#N/A</v>
      </c>
      <c r="AQ576" s="138" t="e">
        <f t="shared" si="72"/>
        <v>#N/A</v>
      </c>
      <c r="AR576" s="138" t="e">
        <f t="shared" si="73"/>
        <v>#N/A</v>
      </c>
      <c r="AS576" s="138" t="e">
        <f t="shared" si="74"/>
        <v>#N/A</v>
      </c>
      <c r="AT576" s="139" t="e">
        <f t="shared" si="75"/>
        <v>#N/A</v>
      </c>
      <c r="BB576" s="16" t="s">
        <v>596</v>
      </c>
    </row>
    <row r="577" spans="1:54" ht="42" customHeight="1">
      <c r="A577" s="428">
        <f t="shared" si="63"/>
        <v>569</v>
      </c>
      <c r="B577" s="294"/>
      <c r="C577" s="201"/>
      <c r="D577" s="290"/>
      <c r="E577" s="301"/>
      <c r="F577" s="301"/>
      <c r="G577" s="290"/>
      <c r="H577" s="291"/>
      <c r="I577" s="292"/>
      <c r="J577" s="61"/>
      <c r="K577" s="57"/>
      <c r="L577" s="303"/>
      <c r="M577" s="201"/>
      <c r="N577" s="84" t="str">
        <f>IF($AI577&lt;&gt;"",Master!$N$37,IF($AC577&lt;&gt;"",Master!$N$38,IF($S577&lt;&gt;"",Master!$N$39,IF($C577&lt;&gt;"",Master!$N$40,Master!$N$41))))</f>
        <v>起票</v>
      </c>
      <c r="O577" s="202" t="str">
        <f>IF($N577=Master!$N$37,MAX($S577,$AC577,$AI577),"")</f>
        <v/>
      </c>
      <c r="P577" s="65"/>
      <c r="Q577" s="203"/>
      <c r="R577" s="57"/>
      <c r="S577" s="203"/>
      <c r="T577" s="310"/>
      <c r="U577" s="289"/>
      <c r="V577" s="57"/>
      <c r="W577" s="288"/>
      <c r="X577" s="288"/>
      <c r="Y577" s="296"/>
      <c r="Z577" s="57"/>
      <c r="AA577" s="203"/>
      <c r="AB577" s="288"/>
      <c r="AC577" s="201"/>
      <c r="AD577" s="298"/>
      <c r="AE577" s="297"/>
      <c r="AF577" s="58"/>
      <c r="AG577" s="204"/>
      <c r="AH577" s="57"/>
      <c r="AI577" s="201"/>
      <c r="AJ577" s="287"/>
      <c r="AK577" s="452"/>
      <c r="AL577" s="59"/>
      <c r="AM577" s="60"/>
      <c r="AO577" s="137" t="e">
        <f t="shared" si="70"/>
        <v>#N/A</v>
      </c>
      <c r="AP577" s="138" t="e">
        <f t="shared" si="71"/>
        <v>#N/A</v>
      </c>
      <c r="AQ577" s="138" t="e">
        <f t="shared" si="72"/>
        <v>#N/A</v>
      </c>
      <c r="AR577" s="138" t="e">
        <f t="shared" si="73"/>
        <v>#N/A</v>
      </c>
      <c r="AS577" s="138" t="e">
        <f t="shared" si="74"/>
        <v>#N/A</v>
      </c>
      <c r="AT577" s="139" t="e">
        <f t="shared" si="75"/>
        <v>#N/A</v>
      </c>
      <c r="BB577" s="16" t="s">
        <v>596</v>
      </c>
    </row>
    <row r="578" spans="1:54" ht="42" customHeight="1">
      <c r="A578" s="428">
        <f t="shared" si="63"/>
        <v>570</v>
      </c>
      <c r="B578" s="294"/>
      <c r="C578" s="201"/>
      <c r="D578" s="290"/>
      <c r="E578" s="301"/>
      <c r="F578" s="301"/>
      <c r="G578" s="290"/>
      <c r="H578" s="291"/>
      <c r="I578" s="292"/>
      <c r="J578" s="61"/>
      <c r="K578" s="57"/>
      <c r="L578" s="303"/>
      <c r="M578" s="201"/>
      <c r="N578" s="84" t="str">
        <f>IF($AI578&lt;&gt;"",Master!$N$37,IF($AC578&lt;&gt;"",Master!$N$38,IF($S578&lt;&gt;"",Master!$N$39,IF($C578&lt;&gt;"",Master!$N$40,Master!$N$41))))</f>
        <v>起票</v>
      </c>
      <c r="O578" s="202" t="str">
        <f>IF($N578=Master!$N$37,MAX($S578,$AC578,$AI578),"")</f>
        <v/>
      </c>
      <c r="P578" s="65"/>
      <c r="Q578" s="203"/>
      <c r="R578" s="57"/>
      <c r="S578" s="203"/>
      <c r="T578" s="310"/>
      <c r="U578" s="289"/>
      <c r="V578" s="57"/>
      <c r="W578" s="288"/>
      <c r="X578" s="288"/>
      <c r="Y578" s="296"/>
      <c r="Z578" s="57"/>
      <c r="AA578" s="203"/>
      <c r="AB578" s="288"/>
      <c r="AC578" s="201"/>
      <c r="AD578" s="298"/>
      <c r="AE578" s="297"/>
      <c r="AF578" s="58"/>
      <c r="AG578" s="204"/>
      <c r="AH578" s="57"/>
      <c r="AI578" s="201"/>
      <c r="AJ578" s="287"/>
      <c r="AK578" s="452"/>
      <c r="AL578" s="59"/>
      <c r="AM578" s="60"/>
      <c r="AO578" s="137" t="e">
        <f t="shared" si="70"/>
        <v>#N/A</v>
      </c>
      <c r="AP578" s="138" t="e">
        <f t="shared" si="71"/>
        <v>#N/A</v>
      </c>
      <c r="AQ578" s="138" t="e">
        <f t="shared" si="72"/>
        <v>#N/A</v>
      </c>
      <c r="AR578" s="138" t="e">
        <f t="shared" si="73"/>
        <v>#N/A</v>
      </c>
      <c r="AS578" s="138" t="e">
        <f t="shared" si="74"/>
        <v>#N/A</v>
      </c>
      <c r="AT578" s="139" t="e">
        <f t="shared" si="75"/>
        <v>#N/A</v>
      </c>
      <c r="BB578" s="16" t="s">
        <v>596</v>
      </c>
    </row>
    <row r="579" spans="1:54" ht="49.5" customHeight="1">
      <c r="A579" s="428">
        <f t="shared" si="63"/>
        <v>571</v>
      </c>
      <c r="B579" s="403"/>
      <c r="C579" s="404"/>
      <c r="D579" s="405"/>
      <c r="E579" s="405"/>
      <c r="F579" s="405"/>
      <c r="G579" s="405"/>
      <c r="H579" s="406"/>
      <c r="I579" s="407"/>
      <c r="J579" s="408"/>
      <c r="K579" s="409"/>
      <c r="L579" s="410"/>
      <c r="M579" s="404"/>
      <c r="N579" s="411" t="str">
        <f>IF($AI579&lt;&gt;"",Master!$N$37,IF($AC579&lt;&gt;"",Master!$N$38,IF($S579&lt;&gt;"",Master!$N$39,IF($C579&lt;&gt;"",Master!$N$40,Master!$N$41))))</f>
        <v>起票</v>
      </c>
      <c r="O579" s="412" t="str">
        <f>IF($N579=Master!$N$37,MAX($S579,$AC579,$AI579),"")</f>
        <v/>
      </c>
      <c r="P579" s="413"/>
      <c r="Q579" s="414"/>
      <c r="R579" s="409"/>
      <c r="S579" s="404"/>
      <c r="T579" s="418"/>
      <c r="U579" s="415"/>
      <c r="V579" s="409"/>
      <c r="W579" s="419"/>
      <c r="X579" s="419"/>
      <c r="Y579" s="416"/>
      <c r="Z579" s="417"/>
      <c r="AA579" s="418"/>
      <c r="AB579" s="419"/>
      <c r="AC579" s="404"/>
      <c r="AD579" s="404"/>
      <c r="AE579" s="420"/>
      <c r="AF579" s="421"/>
      <c r="AG579" s="418"/>
      <c r="AH579" s="409"/>
      <c r="AI579" s="404"/>
      <c r="AJ579" s="416"/>
      <c r="AK579" s="453"/>
      <c r="AL579" s="422"/>
      <c r="AM579" s="423"/>
      <c r="AO579" s="137" t="e">
        <f t="shared" si="70"/>
        <v>#N/A</v>
      </c>
      <c r="AP579" s="138" t="e">
        <f t="shared" si="71"/>
        <v>#N/A</v>
      </c>
      <c r="AQ579" s="138" t="e">
        <f t="shared" si="72"/>
        <v>#N/A</v>
      </c>
      <c r="AR579" s="138" t="e">
        <f t="shared" si="73"/>
        <v>#N/A</v>
      </c>
      <c r="AS579" s="138" t="e">
        <f t="shared" si="74"/>
        <v>#N/A</v>
      </c>
      <c r="AT579" s="139" t="e">
        <f t="shared" si="75"/>
        <v>#N/A</v>
      </c>
      <c r="BB579" s="16" t="s">
        <v>596</v>
      </c>
    </row>
    <row r="580" spans="1:54" ht="49.5" customHeight="1">
      <c r="A580" s="428">
        <f t="shared" si="63"/>
        <v>572</v>
      </c>
      <c r="B580" s="403"/>
      <c r="C580" s="404"/>
      <c r="D580" s="405"/>
      <c r="E580" s="405"/>
      <c r="F580" s="405"/>
      <c r="G580" s="405"/>
      <c r="H580" s="406"/>
      <c r="I580" s="407"/>
      <c r="J580" s="408"/>
      <c r="K580" s="409"/>
      <c r="L580" s="410"/>
      <c r="M580" s="404"/>
      <c r="N580" s="411" t="str">
        <f>IF($AI580&lt;&gt;"",Master!$N$37,IF($AC580&lt;&gt;"",Master!$N$38,IF($S580&lt;&gt;"",Master!$N$39,IF($C580&lt;&gt;"",Master!$N$40,Master!$N$41))))</f>
        <v>起票</v>
      </c>
      <c r="O580" s="412" t="str">
        <f>IF($N580=Master!$N$37,MAX($S580,$AC580,$AI580),"")</f>
        <v/>
      </c>
      <c r="P580" s="413"/>
      <c r="Q580" s="414"/>
      <c r="R580" s="409"/>
      <c r="S580" s="404"/>
      <c r="T580" s="418"/>
      <c r="U580" s="415"/>
      <c r="V580" s="409"/>
      <c r="W580" s="419"/>
      <c r="X580" s="419"/>
      <c r="Y580" s="416"/>
      <c r="Z580" s="417"/>
      <c r="AA580" s="418"/>
      <c r="AB580" s="419"/>
      <c r="AC580" s="404"/>
      <c r="AD580" s="404"/>
      <c r="AE580" s="420"/>
      <c r="AF580" s="421"/>
      <c r="AG580" s="418"/>
      <c r="AH580" s="409"/>
      <c r="AI580" s="404"/>
      <c r="AJ580" s="416"/>
      <c r="AK580" s="453"/>
      <c r="AL580" s="422"/>
      <c r="AM580" s="423"/>
      <c r="AO580" s="137" t="e">
        <f t="shared" si="70"/>
        <v>#N/A</v>
      </c>
      <c r="AP580" s="138" t="e">
        <f t="shared" si="71"/>
        <v>#N/A</v>
      </c>
      <c r="AQ580" s="138" t="e">
        <f t="shared" si="72"/>
        <v>#N/A</v>
      </c>
      <c r="AR580" s="138" t="e">
        <f t="shared" si="73"/>
        <v>#N/A</v>
      </c>
      <c r="AS580" s="138" t="e">
        <f t="shared" si="74"/>
        <v>#N/A</v>
      </c>
      <c r="AT580" s="139" t="e">
        <f t="shared" si="75"/>
        <v>#N/A</v>
      </c>
      <c r="BB580" s="16" t="s">
        <v>596</v>
      </c>
    </row>
    <row r="581" spans="1:54" ht="49.5" customHeight="1">
      <c r="A581" s="428">
        <f t="shared" si="63"/>
        <v>573</v>
      </c>
      <c r="B581" s="403"/>
      <c r="C581" s="404"/>
      <c r="D581" s="405"/>
      <c r="E581" s="405"/>
      <c r="F581" s="405"/>
      <c r="G581" s="405"/>
      <c r="H581" s="406"/>
      <c r="I581" s="407"/>
      <c r="J581" s="408"/>
      <c r="K581" s="409"/>
      <c r="L581" s="410"/>
      <c r="M581" s="404"/>
      <c r="N581" s="411" t="str">
        <f>IF($AI581&lt;&gt;"",Master!$N$37,IF($AC581&lt;&gt;"",Master!$N$38,IF($S581&lt;&gt;"",Master!$N$39,IF($C581&lt;&gt;"",Master!$N$40,Master!$N$41))))</f>
        <v>起票</v>
      </c>
      <c r="O581" s="412" t="str">
        <f>IF($N581=Master!$N$37,MAX($S581,$AC581,$AI581),"")</f>
        <v/>
      </c>
      <c r="P581" s="413"/>
      <c r="Q581" s="414"/>
      <c r="R581" s="409"/>
      <c r="S581" s="404"/>
      <c r="T581" s="418"/>
      <c r="U581" s="415"/>
      <c r="V581" s="409"/>
      <c r="W581" s="419"/>
      <c r="X581" s="419"/>
      <c r="Y581" s="416"/>
      <c r="Z581" s="417"/>
      <c r="AA581" s="418"/>
      <c r="AB581" s="419"/>
      <c r="AC581" s="404"/>
      <c r="AD581" s="404"/>
      <c r="AE581" s="420"/>
      <c r="AF581" s="421"/>
      <c r="AG581" s="418"/>
      <c r="AH581" s="409"/>
      <c r="AI581" s="404"/>
      <c r="AJ581" s="416"/>
      <c r="AK581" s="453"/>
      <c r="AL581" s="422"/>
      <c r="AM581" s="423"/>
      <c r="AO581" s="137" t="e">
        <f t="shared" si="70"/>
        <v>#N/A</v>
      </c>
      <c r="AP581" s="138" t="e">
        <f t="shared" si="71"/>
        <v>#N/A</v>
      </c>
      <c r="AQ581" s="138" t="e">
        <f t="shared" si="72"/>
        <v>#N/A</v>
      </c>
      <c r="AR581" s="138" t="e">
        <f t="shared" si="73"/>
        <v>#N/A</v>
      </c>
      <c r="AS581" s="138" t="e">
        <f t="shared" si="74"/>
        <v>#N/A</v>
      </c>
      <c r="AT581" s="139" t="e">
        <f t="shared" si="75"/>
        <v>#N/A</v>
      </c>
      <c r="BB581" s="16" t="s">
        <v>596</v>
      </c>
    </row>
    <row r="582" spans="1:54" ht="54" customHeight="1">
      <c r="A582" s="428">
        <f t="shared" si="63"/>
        <v>574</v>
      </c>
      <c r="B582" s="294"/>
      <c r="C582" s="201"/>
      <c r="D582" s="290"/>
      <c r="E582" s="301"/>
      <c r="F582" s="301"/>
      <c r="G582" s="290"/>
      <c r="H582" s="291"/>
      <c r="I582" s="292"/>
      <c r="J582" s="61"/>
      <c r="K582" s="57"/>
      <c r="L582" s="303"/>
      <c r="M582" s="201"/>
      <c r="N582" s="84" t="str">
        <f>IF($AI582&lt;&gt;"",Master!$N$37,IF($AC582&lt;&gt;"",Master!$N$38,IF($S582&lt;&gt;"",Master!$N$39,IF($C582&lt;&gt;"",Master!$N$40,Master!$N$41))))</f>
        <v>起票</v>
      </c>
      <c r="O582" s="202" t="str">
        <f>IF($N582=Master!$N$37,MAX($S582,$AC582,$AI582),"")</f>
        <v/>
      </c>
      <c r="P582" s="65"/>
      <c r="Q582" s="203"/>
      <c r="R582" s="57"/>
      <c r="S582" s="203"/>
      <c r="T582" s="310"/>
      <c r="U582" s="289"/>
      <c r="V582" s="57"/>
      <c r="W582" s="288"/>
      <c r="X582" s="288"/>
      <c r="Y582" s="296"/>
      <c r="Z582" s="57"/>
      <c r="AA582" s="203"/>
      <c r="AB582" s="288"/>
      <c r="AC582" s="201"/>
      <c r="AD582" s="298"/>
      <c r="AE582" s="297"/>
      <c r="AF582" s="58"/>
      <c r="AG582" s="204"/>
      <c r="AH582" s="57"/>
      <c r="AI582" s="201"/>
      <c r="AJ582" s="287"/>
      <c r="AK582" s="452"/>
      <c r="AL582" s="59"/>
      <c r="AM582" s="60"/>
      <c r="AO582" s="137" t="e">
        <f t="shared" si="70"/>
        <v>#N/A</v>
      </c>
      <c r="AP582" s="138" t="e">
        <f t="shared" si="71"/>
        <v>#N/A</v>
      </c>
      <c r="AQ582" s="138" t="e">
        <f t="shared" si="72"/>
        <v>#N/A</v>
      </c>
      <c r="AR582" s="138" t="e">
        <f t="shared" si="73"/>
        <v>#N/A</v>
      </c>
      <c r="AS582" s="138" t="e">
        <f t="shared" si="74"/>
        <v>#N/A</v>
      </c>
      <c r="AT582" s="139" t="e">
        <f t="shared" si="75"/>
        <v>#N/A</v>
      </c>
      <c r="BB582" s="16" t="s">
        <v>596</v>
      </c>
    </row>
    <row r="583" spans="1:54" ht="54" customHeight="1">
      <c r="A583" s="428">
        <f t="shared" si="63"/>
        <v>575</v>
      </c>
      <c r="B583" s="294"/>
      <c r="C583" s="201"/>
      <c r="D583" s="290"/>
      <c r="E583" s="301"/>
      <c r="F583" s="301"/>
      <c r="G583" s="290"/>
      <c r="H583" s="291"/>
      <c r="I583" s="292"/>
      <c r="J583" s="61"/>
      <c r="K583" s="57"/>
      <c r="L583" s="303"/>
      <c r="M583" s="201"/>
      <c r="N583" s="84" t="str">
        <f>IF($AI583&lt;&gt;"",Master!$N$37,IF($AC583&lt;&gt;"",Master!$N$38,IF($S583&lt;&gt;"",Master!$N$39,IF($C583&lt;&gt;"",Master!$N$40,Master!$N$41))))</f>
        <v>起票</v>
      </c>
      <c r="O583" s="202" t="str">
        <f>IF($N583=Master!$N$37,MAX($S583,$AC583,$AI583),"")</f>
        <v/>
      </c>
      <c r="P583" s="65"/>
      <c r="Q583" s="203"/>
      <c r="R583" s="57"/>
      <c r="S583" s="203"/>
      <c r="T583" s="310"/>
      <c r="U583" s="289"/>
      <c r="V583" s="57"/>
      <c r="W583" s="288"/>
      <c r="X583" s="288"/>
      <c r="Y583" s="296"/>
      <c r="Z583" s="57"/>
      <c r="AA583" s="203"/>
      <c r="AB583" s="288"/>
      <c r="AC583" s="201"/>
      <c r="AD583" s="298"/>
      <c r="AE583" s="297"/>
      <c r="AF583" s="58"/>
      <c r="AG583" s="204"/>
      <c r="AH583" s="57"/>
      <c r="AI583" s="201"/>
      <c r="AJ583" s="287"/>
      <c r="AK583" s="452"/>
      <c r="AL583" s="59"/>
      <c r="AM583" s="60"/>
      <c r="AO583" s="137" t="e">
        <f t="shared" si="70"/>
        <v>#N/A</v>
      </c>
      <c r="AP583" s="138" t="e">
        <f t="shared" si="71"/>
        <v>#N/A</v>
      </c>
      <c r="AQ583" s="138" t="e">
        <f t="shared" si="72"/>
        <v>#N/A</v>
      </c>
      <c r="AR583" s="138" t="e">
        <f t="shared" si="73"/>
        <v>#N/A</v>
      </c>
      <c r="AS583" s="138" t="e">
        <f t="shared" si="74"/>
        <v>#N/A</v>
      </c>
      <c r="AT583" s="139" t="e">
        <f t="shared" si="75"/>
        <v>#N/A</v>
      </c>
      <c r="BB583" s="16" t="s">
        <v>596</v>
      </c>
    </row>
    <row r="584" spans="1:54" ht="54" customHeight="1">
      <c r="A584" s="428">
        <f t="shared" si="63"/>
        <v>576</v>
      </c>
      <c r="B584" s="403"/>
      <c r="C584" s="404"/>
      <c r="D584" s="405"/>
      <c r="E584" s="405"/>
      <c r="F584" s="405"/>
      <c r="G584" s="405"/>
      <c r="H584" s="406"/>
      <c r="I584" s="407"/>
      <c r="J584" s="408"/>
      <c r="K584" s="409"/>
      <c r="L584" s="410"/>
      <c r="M584" s="404"/>
      <c r="N584" s="411" t="str">
        <f>IF($AI584&lt;&gt;"",Master!$N$37,IF($AC584&lt;&gt;"",Master!$N$38,IF($S584&lt;&gt;"",Master!$N$39,IF($C584&lt;&gt;"",Master!$N$40,Master!$N$41))))</f>
        <v>起票</v>
      </c>
      <c r="O584" s="412" t="str">
        <f>IF($N584=Master!$N$37,MAX($S584,$AC584,$AI584),"")</f>
        <v/>
      </c>
      <c r="P584" s="413"/>
      <c r="Q584" s="414"/>
      <c r="R584" s="409"/>
      <c r="S584" s="404"/>
      <c r="T584" s="418"/>
      <c r="U584" s="415"/>
      <c r="V584" s="409"/>
      <c r="W584" s="419"/>
      <c r="X584" s="419"/>
      <c r="Y584" s="416"/>
      <c r="Z584" s="417"/>
      <c r="AA584" s="418"/>
      <c r="AB584" s="419"/>
      <c r="AC584" s="404"/>
      <c r="AD584" s="404"/>
      <c r="AE584" s="420"/>
      <c r="AF584" s="421"/>
      <c r="AG584" s="418"/>
      <c r="AH584" s="409"/>
      <c r="AI584" s="404"/>
      <c r="AJ584" s="416"/>
      <c r="AK584" s="453"/>
      <c r="AL584" s="422"/>
      <c r="AM584" s="423"/>
      <c r="AO584" s="137" t="e">
        <f t="shared" si="70"/>
        <v>#N/A</v>
      </c>
      <c r="AP584" s="138" t="e">
        <f t="shared" si="71"/>
        <v>#N/A</v>
      </c>
      <c r="AQ584" s="138" t="e">
        <f t="shared" si="72"/>
        <v>#N/A</v>
      </c>
      <c r="AR584" s="138" t="e">
        <f t="shared" si="73"/>
        <v>#N/A</v>
      </c>
      <c r="AS584" s="138" t="e">
        <f t="shared" si="74"/>
        <v>#N/A</v>
      </c>
      <c r="AT584" s="139" t="e">
        <f t="shared" si="75"/>
        <v>#N/A</v>
      </c>
      <c r="BB584" s="16" t="s">
        <v>596</v>
      </c>
    </row>
    <row r="585" spans="1:54" ht="54" customHeight="1">
      <c r="A585" s="428">
        <f t="shared" si="63"/>
        <v>577</v>
      </c>
      <c r="B585" s="403"/>
      <c r="C585" s="404"/>
      <c r="D585" s="405"/>
      <c r="E585" s="405"/>
      <c r="F585" s="405"/>
      <c r="G585" s="405"/>
      <c r="H585" s="406"/>
      <c r="I585" s="407"/>
      <c r="J585" s="408"/>
      <c r="K585" s="409"/>
      <c r="L585" s="410"/>
      <c r="M585" s="404"/>
      <c r="N585" s="411" t="str">
        <f>IF($AI585&lt;&gt;"",Master!$N$37,IF($AC585&lt;&gt;"",Master!$N$38,IF($S585&lt;&gt;"",Master!$N$39,IF($C585&lt;&gt;"",Master!$N$40,Master!$N$41))))</f>
        <v>起票</v>
      </c>
      <c r="O585" s="412" t="str">
        <f>IF($N585=Master!$N$37,MAX($S585,$AC585,$AI585),"")</f>
        <v/>
      </c>
      <c r="P585" s="413"/>
      <c r="Q585" s="414"/>
      <c r="R585" s="409"/>
      <c r="S585" s="404"/>
      <c r="T585" s="418"/>
      <c r="U585" s="415"/>
      <c r="V585" s="409"/>
      <c r="W585" s="419"/>
      <c r="X585" s="419"/>
      <c r="Y585" s="416"/>
      <c r="Z585" s="417"/>
      <c r="AA585" s="418"/>
      <c r="AB585" s="419"/>
      <c r="AC585" s="404"/>
      <c r="AD585" s="404"/>
      <c r="AE585" s="420"/>
      <c r="AF585" s="421"/>
      <c r="AG585" s="418"/>
      <c r="AH585" s="409"/>
      <c r="AI585" s="404"/>
      <c r="AJ585" s="416"/>
      <c r="AK585" s="453"/>
      <c r="AL585" s="422"/>
      <c r="AM585" s="423"/>
      <c r="AO585" s="137" t="e">
        <f t="shared" si="70"/>
        <v>#N/A</v>
      </c>
      <c r="AP585" s="138" t="e">
        <f t="shared" si="71"/>
        <v>#N/A</v>
      </c>
      <c r="AQ585" s="138" t="e">
        <f t="shared" si="72"/>
        <v>#N/A</v>
      </c>
      <c r="AR585" s="138" t="e">
        <f t="shared" si="73"/>
        <v>#N/A</v>
      </c>
      <c r="AS585" s="138" t="e">
        <f t="shared" si="74"/>
        <v>#N/A</v>
      </c>
      <c r="AT585" s="139" t="e">
        <f t="shared" si="75"/>
        <v>#N/A</v>
      </c>
      <c r="BB585" s="16" t="s">
        <v>596</v>
      </c>
    </row>
    <row r="586" spans="1:54" ht="54" customHeight="1">
      <c r="A586" s="428">
        <f t="shared" si="63"/>
        <v>578</v>
      </c>
      <c r="B586" s="403"/>
      <c r="C586" s="404"/>
      <c r="D586" s="405"/>
      <c r="E586" s="405"/>
      <c r="F586" s="405"/>
      <c r="G586" s="405"/>
      <c r="H586" s="406"/>
      <c r="I586" s="407"/>
      <c r="J586" s="408"/>
      <c r="K586" s="409"/>
      <c r="L586" s="410"/>
      <c r="M586" s="404"/>
      <c r="N586" s="411" t="str">
        <f>IF($AI586&lt;&gt;"",Master!$N$37,IF($AC586&lt;&gt;"",Master!$N$38,IF($S586&lt;&gt;"",Master!$N$39,IF($C586&lt;&gt;"",Master!$N$40,Master!$N$41))))</f>
        <v>起票</v>
      </c>
      <c r="O586" s="412" t="str">
        <f>IF($N586=Master!$N$37,MAX($S586,$AC586,$AI586),"")</f>
        <v/>
      </c>
      <c r="P586" s="413"/>
      <c r="Q586" s="414"/>
      <c r="R586" s="409"/>
      <c r="S586" s="404"/>
      <c r="T586" s="418"/>
      <c r="U586" s="415"/>
      <c r="V586" s="409"/>
      <c r="W586" s="419"/>
      <c r="X586" s="419"/>
      <c r="Y586" s="416"/>
      <c r="Z586" s="417"/>
      <c r="AA586" s="418"/>
      <c r="AB586" s="419"/>
      <c r="AC586" s="404"/>
      <c r="AD586" s="404"/>
      <c r="AE586" s="420"/>
      <c r="AF586" s="421"/>
      <c r="AG586" s="418"/>
      <c r="AH586" s="409"/>
      <c r="AI586" s="404"/>
      <c r="AJ586" s="416"/>
      <c r="AK586" s="453"/>
      <c r="AL586" s="422"/>
      <c r="AM586" s="423"/>
      <c r="AO586" s="137" t="e">
        <f t="shared" si="70"/>
        <v>#N/A</v>
      </c>
      <c r="AP586" s="138" t="e">
        <f t="shared" si="71"/>
        <v>#N/A</v>
      </c>
      <c r="AQ586" s="138" t="e">
        <f t="shared" si="72"/>
        <v>#N/A</v>
      </c>
      <c r="AR586" s="138" t="e">
        <f t="shared" si="73"/>
        <v>#N/A</v>
      </c>
      <c r="AS586" s="138" t="e">
        <f t="shared" si="74"/>
        <v>#N/A</v>
      </c>
      <c r="AT586" s="139" t="e">
        <f t="shared" si="75"/>
        <v>#N/A</v>
      </c>
      <c r="BB586" s="16" t="s">
        <v>596</v>
      </c>
    </row>
    <row r="587" spans="1:54" ht="83.25" customHeight="1">
      <c r="A587" s="428">
        <f t="shared" si="63"/>
        <v>579</v>
      </c>
      <c r="B587" s="294"/>
      <c r="C587" s="201"/>
      <c r="D587" s="290"/>
      <c r="E587" s="301"/>
      <c r="F587" s="301"/>
      <c r="G587" s="290"/>
      <c r="H587" s="291"/>
      <c r="I587" s="292"/>
      <c r="J587" s="61"/>
      <c r="K587" s="57"/>
      <c r="L587" s="303"/>
      <c r="M587" s="201"/>
      <c r="N587" s="84" t="str">
        <f>IF($AI587&lt;&gt;"",Master!$N$37,IF($AC587&lt;&gt;"",Master!$N$38,IF($S587&lt;&gt;"",Master!$N$39,IF($C587&lt;&gt;"",Master!$N$40,Master!$N$41))))</f>
        <v>起票</v>
      </c>
      <c r="O587" s="202" t="str">
        <f>IF($N587=Master!$N$37,MAX($S587,$AC587,$AI587),"")</f>
        <v/>
      </c>
      <c r="P587" s="65"/>
      <c r="Q587" s="203"/>
      <c r="R587" s="57"/>
      <c r="S587" s="203"/>
      <c r="T587" s="310"/>
      <c r="U587" s="289"/>
      <c r="V587" s="57"/>
      <c r="W587" s="288"/>
      <c r="X587" s="288"/>
      <c r="Y587" s="296"/>
      <c r="Z587" s="57"/>
      <c r="AA587" s="203"/>
      <c r="AB587" s="288"/>
      <c r="AC587" s="201"/>
      <c r="AD587" s="298"/>
      <c r="AE587" s="297"/>
      <c r="AF587" s="58"/>
      <c r="AG587" s="204"/>
      <c r="AH587" s="57"/>
      <c r="AI587" s="201"/>
      <c r="AJ587" s="287"/>
      <c r="AK587" s="452"/>
      <c r="AL587" s="59"/>
      <c r="AM587" s="60"/>
      <c r="AO587" s="137" t="e">
        <f t="shared" si="35"/>
        <v>#N/A</v>
      </c>
      <c r="AP587" s="138" t="e">
        <f t="shared" si="36"/>
        <v>#N/A</v>
      </c>
      <c r="AQ587" s="138" t="e">
        <f t="shared" si="37"/>
        <v>#N/A</v>
      </c>
      <c r="AR587" s="138" t="e">
        <f t="shared" si="38"/>
        <v>#N/A</v>
      </c>
      <c r="AS587" s="138" t="e">
        <f t="shared" si="39"/>
        <v>#N/A</v>
      </c>
      <c r="AT587" s="139" t="e">
        <f t="shared" si="40"/>
        <v>#N/A</v>
      </c>
      <c r="BB587" s="16" t="s">
        <v>596</v>
      </c>
    </row>
    <row r="588" spans="1:54" ht="54" customHeight="1">
      <c r="A588" s="428">
        <f t="shared" ref="A588:A651" si="76">A587+1</f>
        <v>580</v>
      </c>
      <c r="B588" s="294"/>
      <c r="C588" s="201"/>
      <c r="D588" s="290"/>
      <c r="E588" s="301"/>
      <c r="F588" s="301"/>
      <c r="G588" s="290"/>
      <c r="H588" s="291"/>
      <c r="I588" s="292"/>
      <c r="J588" s="61"/>
      <c r="K588" s="57"/>
      <c r="L588" s="303"/>
      <c r="M588" s="201"/>
      <c r="N588" s="84" t="str">
        <f>IF($AI588&lt;&gt;"",Master!$N$37,IF($AC588&lt;&gt;"",Master!$N$38,IF($S588&lt;&gt;"",Master!$N$39,IF($C588&lt;&gt;"",Master!$N$40,Master!$N$41))))</f>
        <v>起票</v>
      </c>
      <c r="O588" s="202" t="str">
        <f>IF($N588=Master!$N$37,MAX($S588,$AC588,$AI588),"")</f>
        <v/>
      </c>
      <c r="P588" s="65"/>
      <c r="Q588" s="203"/>
      <c r="R588" s="57"/>
      <c r="S588" s="203"/>
      <c r="T588" s="310"/>
      <c r="U588" s="289"/>
      <c r="V588" s="57"/>
      <c r="W588" s="288"/>
      <c r="X588" s="288"/>
      <c r="Y588" s="296"/>
      <c r="Z588" s="57"/>
      <c r="AA588" s="203"/>
      <c r="AB588" s="288"/>
      <c r="AC588" s="201"/>
      <c r="AD588" s="298"/>
      <c r="AE588" s="297"/>
      <c r="AF588" s="58"/>
      <c r="AG588" s="204"/>
      <c r="AH588" s="57"/>
      <c r="AI588" s="201"/>
      <c r="AJ588" s="287"/>
      <c r="AK588" s="452"/>
      <c r="AL588" s="59"/>
      <c r="AM588" s="60"/>
      <c r="AO588" s="137" t="e">
        <f t="shared" si="35"/>
        <v>#N/A</v>
      </c>
      <c r="AP588" s="138" t="e">
        <f t="shared" si="36"/>
        <v>#N/A</v>
      </c>
      <c r="AQ588" s="138" t="e">
        <f t="shared" si="37"/>
        <v>#N/A</v>
      </c>
      <c r="AR588" s="138" t="e">
        <f t="shared" si="38"/>
        <v>#N/A</v>
      </c>
      <c r="AS588" s="138" t="e">
        <f t="shared" si="39"/>
        <v>#N/A</v>
      </c>
      <c r="AT588" s="139" t="e">
        <f t="shared" si="40"/>
        <v>#N/A</v>
      </c>
      <c r="BB588" s="16" t="s">
        <v>596</v>
      </c>
    </row>
    <row r="589" spans="1:54" ht="66" customHeight="1">
      <c r="A589" s="428">
        <f t="shared" si="76"/>
        <v>581</v>
      </c>
      <c r="B589" s="294"/>
      <c r="C589" s="201"/>
      <c r="D589" s="290"/>
      <c r="E589" s="301"/>
      <c r="F589" s="301"/>
      <c r="G589" s="290"/>
      <c r="H589" s="291"/>
      <c r="I589" s="292"/>
      <c r="J589" s="61"/>
      <c r="K589" s="57"/>
      <c r="L589" s="303"/>
      <c r="M589" s="201"/>
      <c r="N589" s="84" t="str">
        <f>IF($AI589&lt;&gt;"",Master!$N$37,IF($AC589&lt;&gt;"",Master!$N$38,IF($S589&lt;&gt;"",Master!$N$39,IF($C589&lt;&gt;"",Master!$N$40,Master!$N$41))))</f>
        <v>起票</v>
      </c>
      <c r="O589" s="202" t="str">
        <f>IF($N589=Master!$N$37,MAX($S589,$AC589,$AI589),"")</f>
        <v/>
      </c>
      <c r="P589" s="65"/>
      <c r="Q589" s="203"/>
      <c r="R589" s="57"/>
      <c r="S589" s="203"/>
      <c r="T589" s="310"/>
      <c r="U589" s="289"/>
      <c r="V589" s="57"/>
      <c r="W589" s="288"/>
      <c r="X589" s="288"/>
      <c r="Y589" s="296"/>
      <c r="Z589" s="57"/>
      <c r="AA589" s="203"/>
      <c r="AB589" s="288"/>
      <c r="AC589" s="201"/>
      <c r="AD589" s="298"/>
      <c r="AE589" s="297"/>
      <c r="AF589" s="58"/>
      <c r="AG589" s="204"/>
      <c r="AH589" s="57"/>
      <c r="AI589" s="201"/>
      <c r="AJ589" s="287"/>
      <c r="AK589" s="452"/>
      <c r="AL589" s="59"/>
      <c r="AM589" s="60"/>
      <c r="AO589" s="137" t="e">
        <f t="shared" si="35"/>
        <v>#N/A</v>
      </c>
      <c r="AP589" s="138" t="e">
        <f t="shared" si="36"/>
        <v>#N/A</v>
      </c>
      <c r="AQ589" s="138" t="e">
        <f t="shared" si="37"/>
        <v>#N/A</v>
      </c>
      <c r="AR589" s="138" t="e">
        <f t="shared" si="38"/>
        <v>#N/A</v>
      </c>
      <c r="AS589" s="138" t="e">
        <f t="shared" si="39"/>
        <v>#N/A</v>
      </c>
      <c r="AT589" s="139" t="e">
        <f t="shared" si="40"/>
        <v>#N/A</v>
      </c>
      <c r="BB589" s="16" t="s">
        <v>596</v>
      </c>
    </row>
    <row r="590" spans="1:54" ht="67.5" customHeight="1">
      <c r="A590" s="428">
        <f t="shared" si="76"/>
        <v>582</v>
      </c>
      <c r="B590" s="294"/>
      <c r="C590" s="201"/>
      <c r="D590" s="290"/>
      <c r="E590" s="301"/>
      <c r="F590" s="301"/>
      <c r="G590" s="290"/>
      <c r="H590" s="291"/>
      <c r="I590" s="292"/>
      <c r="J590" s="61"/>
      <c r="K590" s="57"/>
      <c r="L590" s="303"/>
      <c r="M590" s="201"/>
      <c r="N590" s="84" t="str">
        <f>IF($AI590&lt;&gt;"",Master!$N$37,IF($AC590&lt;&gt;"",Master!$N$38,IF($S590&lt;&gt;"",Master!$N$39,IF($C590&lt;&gt;"",Master!$N$40,Master!$N$41))))</f>
        <v>起票</v>
      </c>
      <c r="O590" s="202" t="str">
        <f>IF($N590=Master!$N$37,MAX($S590,$AC590,$AI590),"")</f>
        <v/>
      </c>
      <c r="P590" s="65"/>
      <c r="Q590" s="203"/>
      <c r="R590" s="57"/>
      <c r="S590" s="203"/>
      <c r="T590" s="310"/>
      <c r="U590" s="289"/>
      <c r="V590" s="57"/>
      <c r="W590" s="288"/>
      <c r="X590" s="288"/>
      <c r="Y590" s="296"/>
      <c r="Z590" s="57"/>
      <c r="AA590" s="203"/>
      <c r="AB590" s="288"/>
      <c r="AC590" s="201"/>
      <c r="AD590" s="298"/>
      <c r="AE590" s="297"/>
      <c r="AF590" s="58"/>
      <c r="AG590" s="204"/>
      <c r="AH590" s="57"/>
      <c r="AI590" s="201"/>
      <c r="AJ590" s="287"/>
      <c r="AK590" s="452"/>
      <c r="AL590" s="59"/>
      <c r="AM590" s="60"/>
      <c r="AO590" s="137" t="e">
        <f t="shared" ref="AO590:AO949" si="77">IF(AND(C590&lt;&gt;"",C590&lt;=$AI$3),IF(E590="","",E590),NA())</f>
        <v>#N/A</v>
      </c>
      <c r="AP590" s="138" t="e">
        <f t="shared" ref="AP590:AP949" si="78">IF(AND(C590&lt;&gt;"",C590&lt;=$AI$3),IF(F590="","",F590),NA())</f>
        <v>#N/A</v>
      </c>
      <c r="AQ590" s="138" t="e">
        <f t="shared" ref="AQ590:AQ949" si="79">IF(AND(C590&lt;&gt;"",C590&lt;=$AI$3),IF(H590="","",H590),NA())</f>
        <v>#N/A</v>
      </c>
      <c r="AR590" s="138" t="e">
        <f t="shared" ref="AR590:AR949" si="80">IF(AND(C590&lt;&gt;"",C590&lt;=$AI$3),IF(U590="","",U590),NA())</f>
        <v>#N/A</v>
      </c>
      <c r="AS590" s="138" t="e">
        <f t="shared" ref="AS590:AS949" si="81">IF(AND(C590&lt;&gt;"",C590&lt;=$AI$3),IF(V590="","",V590),NA())</f>
        <v>#N/A</v>
      </c>
      <c r="AT590" s="139" t="e">
        <f t="shared" ref="AT590:AT949" si="82">IF(AND(C590&lt;&gt;"",C590&lt;=$AI$3),IF(AB590="","",AB590),NA())</f>
        <v>#N/A</v>
      </c>
      <c r="BB590" s="16" t="s">
        <v>596</v>
      </c>
    </row>
    <row r="591" spans="1:54" ht="79.5" customHeight="1">
      <c r="A591" s="428">
        <f t="shared" si="76"/>
        <v>583</v>
      </c>
      <c r="B591" s="294"/>
      <c r="C591" s="201"/>
      <c r="D591" s="290"/>
      <c r="E591" s="301"/>
      <c r="F591" s="301"/>
      <c r="G591" s="290"/>
      <c r="H591" s="291"/>
      <c r="I591" s="292"/>
      <c r="J591" s="61"/>
      <c r="K591" s="57"/>
      <c r="L591" s="303"/>
      <c r="M591" s="201"/>
      <c r="N591" s="84" t="str">
        <f>IF($AI591&lt;&gt;"",Master!$N$37,IF($AC591&lt;&gt;"",Master!$N$38,IF($S591&lt;&gt;"",Master!$N$39,IF($C591&lt;&gt;"",Master!$N$40,Master!$N$41))))</f>
        <v>起票</v>
      </c>
      <c r="O591" s="202" t="str">
        <f>IF($N591=Master!$N$37,MAX($S591,$AC591,$AI591),"")</f>
        <v/>
      </c>
      <c r="P591" s="65"/>
      <c r="Q591" s="203"/>
      <c r="R591" s="57"/>
      <c r="S591" s="203"/>
      <c r="T591" s="310"/>
      <c r="U591" s="289"/>
      <c r="V591" s="57"/>
      <c r="W591" s="288"/>
      <c r="X591" s="288"/>
      <c r="Y591" s="296"/>
      <c r="Z591" s="57"/>
      <c r="AA591" s="203"/>
      <c r="AB591" s="288"/>
      <c r="AC591" s="201"/>
      <c r="AD591" s="298"/>
      <c r="AE591" s="297"/>
      <c r="AF591" s="58"/>
      <c r="AG591" s="204"/>
      <c r="AH591" s="57"/>
      <c r="AI591" s="201"/>
      <c r="AJ591" s="287"/>
      <c r="AK591" s="452"/>
      <c r="AL591" s="59"/>
      <c r="AM591" s="60"/>
      <c r="AO591" s="137" t="e">
        <f t="shared" si="77"/>
        <v>#N/A</v>
      </c>
      <c r="AP591" s="138" t="e">
        <f t="shared" si="78"/>
        <v>#N/A</v>
      </c>
      <c r="AQ591" s="138" t="e">
        <f t="shared" si="79"/>
        <v>#N/A</v>
      </c>
      <c r="AR591" s="138" t="e">
        <f t="shared" si="80"/>
        <v>#N/A</v>
      </c>
      <c r="AS591" s="138" t="e">
        <f t="shared" si="81"/>
        <v>#N/A</v>
      </c>
      <c r="AT591" s="139" t="e">
        <f t="shared" si="82"/>
        <v>#N/A</v>
      </c>
      <c r="BB591" s="16" t="s">
        <v>596</v>
      </c>
    </row>
    <row r="592" spans="1:54" ht="67.5" customHeight="1">
      <c r="A592" s="428">
        <f t="shared" si="76"/>
        <v>584</v>
      </c>
      <c r="B592" s="403"/>
      <c r="C592" s="404"/>
      <c r="D592" s="405"/>
      <c r="E592" s="405"/>
      <c r="F592" s="405"/>
      <c r="G592" s="405"/>
      <c r="H592" s="406"/>
      <c r="I592" s="407"/>
      <c r="J592" s="408"/>
      <c r="K592" s="409"/>
      <c r="L592" s="410"/>
      <c r="M592" s="404"/>
      <c r="N592" s="411" t="str">
        <f>IF($AI592&lt;&gt;"",Master!$N$37,IF($AC592&lt;&gt;"",Master!$N$38,IF($S592&lt;&gt;"",Master!$N$39,IF($C592&lt;&gt;"",Master!$N$40,Master!$N$41))))</f>
        <v>起票</v>
      </c>
      <c r="O592" s="412" t="str">
        <f>IF($N592=Master!$N$37,MAX($S592,$AC592,$AI592),"")</f>
        <v/>
      </c>
      <c r="P592" s="413"/>
      <c r="Q592" s="414"/>
      <c r="R592" s="409"/>
      <c r="S592" s="404"/>
      <c r="T592" s="418"/>
      <c r="U592" s="415"/>
      <c r="V592" s="409"/>
      <c r="W592" s="419"/>
      <c r="X592" s="419"/>
      <c r="Y592" s="416"/>
      <c r="Z592" s="417"/>
      <c r="AA592" s="418"/>
      <c r="AB592" s="419"/>
      <c r="AC592" s="404"/>
      <c r="AD592" s="404"/>
      <c r="AE592" s="420"/>
      <c r="AF592" s="421"/>
      <c r="AG592" s="418"/>
      <c r="AH592" s="409"/>
      <c r="AI592" s="404"/>
      <c r="AJ592" s="416"/>
      <c r="AK592" s="453"/>
      <c r="AL592" s="422"/>
      <c r="AM592" s="423"/>
      <c r="AO592" s="137" t="e">
        <f t="shared" si="77"/>
        <v>#N/A</v>
      </c>
      <c r="AP592" s="138" t="e">
        <f t="shared" si="78"/>
        <v>#N/A</v>
      </c>
      <c r="AQ592" s="138" t="e">
        <f t="shared" si="79"/>
        <v>#N/A</v>
      </c>
      <c r="AR592" s="138" t="e">
        <f t="shared" si="80"/>
        <v>#N/A</v>
      </c>
      <c r="AS592" s="138" t="e">
        <f t="shared" si="81"/>
        <v>#N/A</v>
      </c>
      <c r="AT592" s="139" t="e">
        <f t="shared" si="82"/>
        <v>#N/A</v>
      </c>
      <c r="BB592" s="16" t="s">
        <v>596</v>
      </c>
    </row>
    <row r="593" spans="1:54" ht="65.25" customHeight="1">
      <c r="A593" s="428">
        <f t="shared" si="76"/>
        <v>585</v>
      </c>
      <c r="B593" s="403"/>
      <c r="C593" s="404"/>
      <c r="D593" s="405"/>
      <c r="E593" s="405"/>
      <c r="F593" s="405"/>
      <c r="G593" s="405"/>
      <c r="H593" s="406"/>
      <c r="I593" s="407"/>
      <c r="J593" s="408"/>
      <c r="K593" s="409"/>
      <c r="L593" s="410"/>
      <c r="M593" s="404"/>
      <c r="N593" s="411" t="str">
        <f>IF($AI593&lt;&gt;"",Master!$N$37,IF($AC593&lt;&gt;"",Master!$N$38,IF($S593&lt;&gt;"",Master!$N$39,IF($C593&lt;&gt;"",Master!$N$40,Master!$N$41))))</f>
        <v>起票</v>
      </c>
      <c r="O593" s="412" t="str">
        <f>IF($N593=Master!$N$37,MAX($S593,$AC593,$AI593),"")</f>
        <v/>
      </c>
      <c r="P593" s="413"/>
      <c r="Q593" s="414"/>
      <c r="R593" s="409"/>
      <c r="S593" s="404"/>
      <c r="T593" s="418"/>
      <c r="U593" s="415"/>
      <c r="V593" s="409"/>
      <c r="W593" s="419"/>
      <c r="X593" s="419"/>
      <c r="Y593" s="416"/>
      <c r="Z593" s="417"/>
      <c r="AA593" s="418"/>
      <c r="AB593" s="419"/>
      <c r="AC593" s="404"/>
      <c r="AD593" s="404"/>
      <c r="AE593" s="420"/>
      <c r="AF593" s="421"/>
      <c r="AG593" s="418"/>
      <c r="AH593" s="409"/>
      <c r="AI593" s="404"/>
      <c r="AJ593" s="416"/>
      <c r="AK593" s="453"/>
      <c r="AL593" s="422"/>
      <c r="AM593" s="423"/>
      <c r="AO593" s="137" t="e">
        <f t="shared" si="77"/>
        <v>#N/A</v>
      </c>
      <c r="AP593" s="138" t="e">
        <f t="shared" si="78"/>
        <v>#N/A</v>
      </c>
      <c r="AQ593" s="138" t="e">
        <f t="shared" si="79"/>
        <v>#N/A</v>
      </c>
      <c r="AR593" s="138" t="e">
        <f t="shared" si="80"/>
        <v>#N/A</v>
      </c>
      <c r="AS593" s="138" t="e">
        <f t="shared" si="81"/>
        <v>#N/A</v>
      </c>
      <c r="AT593" s="139" t="e">
        <f t="shared" si="82"/>
        <v>#N/A</v>
      </c>
      <c r="BB593" s="16" t="s">
        <v>596</v>
      </c>
    </row>
    <row r="594" spans="1:54" ht="69.75" customHeight="1">
      <c r="A594" s="428">
        <f t="shared" si="76"/>
        <v>586</v>
      </c>
      <c r="B594" s="403"/>
      <c r="C594" s="404"/>
      <c r="D594" s="405"/>
      <c r="E594" s="405"/>
      <c r="F594" s="405"/>
      <c r="G594" s="405"/>
      <c r="H594" s="406"/>
      <c r="I594" s="407"/>
      <c r="J594" s="408"/>
      <c r="K594" s="409"/>
      <c r="L594" s="410"/>
      <c r="M594" s="404"/>
      <c r="N594" s="411" t="str">
        <f>IF($AI594&lt;&gt;"",Master!$N$37,IF($AC594&lt;&gt;"",Master!$N$38,IF($S594&lt;&gt;"",Master!$N$39,IF($C594&lt;&gt;"",Master!$N$40,Master!$N$41))))</f>
        <v>起票</v>
      </c>
      <c r="O594" s="412" t="str">
        <f>IF($N594=Master!$N$37,MAX($S594,$AC594,$AI594),"")</f>
        <v/>
      </c>
      <c r="P594" s="413"/>
      <c r="Q594" s="414"/>
      <c r="R594" s="409"/>
      <c r="S594" s="404"/>
      <c r="T594" s="418"/>
      <c r="U594" s="415"/>
      <c r="V594" s="409"/>
      <c r="W594" s="419"/>
      <c r="X594" s="419"/>
      <c r="Y594" s="416"/>
      <c r="Z594" s="417"/>
      <c r="AA594" s="418"/>
      <c r="AB594" s="419"/>
      <c r="AC594" s="404"/>
      <c r="AD594" s="404"/>
      <c r="AE594" s="420"/>
      <c r="AF594" s="421"/>
      <c r="AG594" s="418"/>
      <c r="AH594" s="409"/>
      <c r="AI594" s="404"/>
      <c r="AJ594" s="416"/>
      <c r="AK594" s="453"/>
      <c r="AL594" s="422"/>
      <c r="AM594" s="423"/>
      <c r="AO594" s="137" t="e">
        <f t="shared" si="77"/>
        <v>#N/A</v>
      </c>
      <c r="AP594" s="138" t="e">
        <f t="shared" si="78"/>
        <v>#N/A</v>
      </c>
      <c r="AQ594" s="138" t="e">
        <f t="shared" si="79"/>
        <v>#N/A</v>
      </c>
      <c r="AR594" s="138" t="e">
        <f t="shared" si="80"/>
        <v>#N/A</v>
      </c>
      <c r="AS594" s="138" t="e">
        <f t="shared" si="81"/>
        <v>#N/A</v>
      </c>
      <c r="AT594" s="139" t="e">
        <f t="shared" si="82"/>
        <v>#N/A</v>
      </c>
      <c r="BB594" s="16" t="s">
        <v>596</v>
      </c>
    </row>
    <row r="595" spans="1:54" ht="75.75" customHeight="1">
      <c r="A595" s="428">
        <f t="shared" si="76"/>
        <v>587</v>
      </c>
      <c r="B595" s="294"/>
      <c r="C595" s="201"/>
      <c r="D595" s="290"/>
      <c r="E595" s="301"/>
      <c r="F595" s="301"/>
      <c r="G595" s="290"/>
      <c r="H595" s="291"/>
      <c r="I595" s="292"/>
      <c r="J595" s="61"/>
      <c r="K595" s="57"/>
      <c r="L595" s="303"/>
      <c r="M595" s="201"/>
      <c r="N595" s="84" t="str">
        <f>IF($AI595&lt;&gt;"",Master!$N$37,IF($AC595&lt;&gt;"",Master!$N$38,IF($S595&lt;&gt;"",Master!$N$39,IF($C595&lt;&gt;"",Master!$N$40,Master!$N$41))))</f>
        <v>起票</v>
      </c>
      <c r="O595" s="202" t="str">
        <f>IF($N595=Master!$N$37,MAX($S595,$AC595,$AI595),"")</f>
        <v/>
      </c>
      <c r="P595" s="65"/>
      <c r="Q595" s="203"/>
      <c r="R595" s="57"/>
      <c r="S595" s="203"/>
      <c r="T595" s="310"/>
      <c r="U595" s="289"/>
      <c r="V595" s="57"/>
      <c r="W595" s="288"/>
      <c r="X595" s="288"/>
      <c r="Y595" s="296"/>
      <c r="Z595" s="57"/>
      <c r="AA595" s="203"/>
      <c r="AB595" s="288"/>
      <c r="AC595" s="201"/>
      <c r="AD595" s="298"/>
      <c r="AE595" s="297"/>
      <c r="AF595" s="58"/>
      <c r="AG595" s="204"/>
      <c r="AH595" s="57"/>
      <c r="AI595" s="201"/>
      <c r="AJ595" s="287"/>
      <c r="AK595" s="452"/>
      <c r="AL595" s="59"/>
      <c r="AM595" s="60"/>
      <c r="AO595" s="137" t="e">
        <f t="shared" si="77"/>
        <v>#N/A</v>
      </c>
      <c r="AP595" s="138" t="e">
        <f t="shared" si="78"/>
        <v>#N/A</v>
      </c>
      <c r="AQ595" s="138" t="e">
        <f t="shared" si="79"/>
        <v>#N/A</v>
      </c>
      <c r="AR595" s="138" t="e">
        <f t="shared" si="80"/>
        <v>#N/A</v>
      </c>
      <c r="AS595" s="138" t="e">
        <f t="shared" si="81"/>
        <v>#N/A</v>
      </c>
      <c r="AT595" s="139" t="e">
        <f t="shared" si="82"/>
        <v>#N/A</v>
      </c>
      <c r="BB595" s="16" t="s">
        <v>596</v>
      </c>
    </row>
    <row r="596" spans="1:54" ht="75.75" customHeight="1">
      <c r="A596" s="428">
        <f t="shared" si="76"/>
        <v>588</v>
      </c>
      <c r="B596" s="294"/>
      <c r="C596" s="201"/>
      <c r="D596" s="290"/>
      <c r="E596" s="301"/>
      <c r="F596" s="301"/>
      <c r="G596" s="290"/>
      <c r="H596" s="291"/>
      <c r="I596" s="292"/>
      <c r="J596" s="61"/>
      <c r="K596" s="57"/>
      <c r="L596" s="303"/>
      <c r="M596" s="201"/>
      <c r="N596" s="84" t="str">
        <f>IF($AI596&lt;&gt;"",Master!$N$37,IF($AC596&lt;&gt;"",Master!$N$38,IF($S596&lt;&gt;"",Master!$N$39,IF($C596&lt;&gt;"",Master!$N$40,Master!$N$41))))</f>
        <v>起票</v>
      </c>
      <c r="O596" s="202" t="str">
        <f>IF($N596=Master!$N$37,MAX($S596,$AC596,$AI596),"")</f>
        <v/>
      </c>
      <c r="P596" s="65"/>
      <c r="Q596" s="203"/>
      <c r="R596" s="57"/>
      <c r="S596" s="203"/>
      <c r="T596" s="310"/>
      <c r="U596" s="289"/>
      <c r="V596" s="57"/>
      <c r="W596" s="288"/>
      <c r="X596" s="288"/>
      <c r="Y596" s="296"/>
      <c r="Z596" s="57"/>
      <c r="AA596" s="203"/>
      <c r="AB596" s="288"/>
      <c r="AC596" s="201"/>
      <c r="AD596" s="298"/>
      <c r="AE596" s="297"/>
      <c r="AF596" s="58"/>
      <c r="AG596" s="204"/>
      <c r="AH596" s="57"/>
      <c r="AI596" s="201"/>
      <c r="AJ596" s="287"/>
      <c r="AK596" s="452"/>
      <c r="AL596" s="59"/>
      <c r="AM596" s="60"/>
      <c r="AO596" s="137" t="e">
        <f t="shared" si="77"/>
        <v>#N/A</v>
      </c>
      <c r="AP596" s="138" t="e">
        <f t="shared" si="78"/>
        <v>#N/A</v>
      </c>
      <c r="AQ596" s="138" t="e">
        <f t="shared" si="79"/>
        <v>#N/A</v>
      </c>
      <c r="AR596" s="138" t="e">
        <f t="shared" si="80"/>
        <v>#N/A</v>
      </c>
      <c r="AS596" s="138" t="e">
        <f t="shared" si="81"/>
        <v>#N/A</v>
      </c>
      <c r="AT596" s="139" t="e">
        <f t="shared" si="82"/>
        <v>#N/A</v>
      </c>
      <c r="BB596" s="16" t="s">
        <v>596</v>
      </c>
    </row>
    <row r="597" spans="1:54" ht="75.75" customHeight="1">
      <c r="A597" s="428">
        <f t="shared" si="76"/>
        <v>589</v>
      </c>
      <c r="B597" s="403"/>
      <c r="C597" s="404"/>
      <c r="D597" s="405"/>
      <c r="E597" s="405"/>
      <c r="F597" s="405"/>
      <c r="G597" s="405"/>
      <c r="H597" s="406"/>
      <c r="I597" s="407"/>
      <c r="J597" s="408"/>
      <c r="K597" s="409"/>
      <c r="L597" s="410"/>
      <c r="M597" s="404"/>
      <c r="N597" s="411" t="str">
        <f>IF($AI597&lt;&gt;"",Master!$N$37,IF($AC597&lt;&gt;"",Master!$N$38,IF($S597&lt;&gt;"",Master!$N$39,IF($C597&lt;&gt;"",Master!$N$40,Master!$N$41))))</f>
        <v>起票</v>
      </c>
      <c r="O597" s="412" t="str">
        <f>IF($N597=Master!$N$37,MAX($S597,$AC597,$AI597),"")</f>
        <v/>
      </c>
      <c r="P597" s="413"/>
      <c r="Q597" s="414"/>
      <c r="R597" s="409"/>
      <c r="S597" s="404"/>
      <c r="T597" s="418"/>
      <c r="U597" s="415"/>
      <c r="V597" s="409"/>
      <c r="W597" s="419"/>
      <c r="X597" s="419"/>
      <c r="Y597" s="416"/>
      <c r="Z597" s="417"/>
      <c r="AA597" s="418"/>
      <c r="AB597" s="419"/>
      <c r="AC597" s="404"/>
      <c r="AD597" s="404"/>
      <c r="AE597" s="420"/>
      <c r="AF597" s="421"/>
      <c r="AG597" s="418"/>
      <c r="AH597" s="409"/>
      <c r="AI597" s="404"/>
      <c r="AJ597" s="416"/>
      <c r="AK597" s="453"/>
      <c r="AL597" s="422"/>
      <c r="AM597" s="423"/>
      <c r="AO597" s="137" t="e">
        <f t="shared" si="77"/>
        <v>#N/A</v>
      </c>
      <c r="AP597" s="138" t="e">
        <f t="shared" si="78"/>
        <v>#N/A</v>
      </c>
      <c r="AQ597" s="138" t="e">
        <f t="shared" si="79"/>
        <v>#N/A</v>
      </c>
      <c r="AR597" s="138" t="e">
        <f t="shared" si="80"/>
        <v>#N/A</v>
      </c>
      <c r="AS597" s="138" t="e">
        <f t="shared" si="81"/>
        <v>#N/A</v>
      </c>
      <c r="AT597" s="139" t="e">
        <f t="shared" si="82"/>
        <v>#N/A</v>
      </c>
      <c r="BB597" s="16" t="s">
        <v>596</v>
      </c>
    </row>
    <row r="598" spans="1:54" ht="75.75" customHeight="1">
      <c r="A598" s="428">
        <f t="shared" si="76"/>
        <v>590</v>
      </c>
      <c r="B598" s="403"/>
      <c r="C598" s="404"/>
      <c r="D598" s="405"/>
      <c r="E598" s="405"/>
      <c r="F598" s="405"/>
      <c r="G598" s="405"/>
      <c r="H598" s="406"/>
      <c r="I598" s="407"/>
      <c r="J598" s="408"/>
      <c r="K598" s="409"/>
      <c r="L598" s="410"/>
      <c r="M598" s="404"/>
      <c r="N598" s="411" t="str">
        <f>IF($AI598&lt;&gt;"",Master!$N$37,IF($AC598&lt;&gt;"",Master!$N$38,IF($S598&lt;&gt;"",Master!$N$39,IF($C598&lt;&gt;"",Master!$N$40,Master!$N$41))))</f>
        <v>起票</v>
      </c>
      <c r="O598" s="412" t="str">
        <f>IF($N598=Master!$N$37,MAX($S598,$AC598,$AI598),"")</f>
        <v/>
      </c>
      <c r="P598" s="413"/>
      <c r="Q598" s="414"/>
      <c r="R598" s="409"/>
      <c r="S598" s="404"/>
      <c r="T598" s="418"/>
      <c r="U598" s="415"/>
      <c r="V598" s="409"/>
      <c r="W598" s="419"/>
      <c r="X598" s="419"/>
      <c r="Y598" s="416"/>
      <c r="Z598" s="417"/>
      <c r="AA598" s="418"/>
      <c r="AB598" s="419"/>
      <c r="AC598" s="404"/>
      <c r="AD598" s="404"/>
      <c r="AE598" s="420"/>
      <c r="AF598" s="421"/>
      <c r="AG598" s="418"/>
      <c r="AH598" s="409"/>
      <c r="AI598" s="404"/>
      <c r="AJ598" s="416"/>
      <c r="AK598" s="453"/>
      <c r="AL598" s="422"/>
      <c r="AM598" s="423"/>
      <c r="AO598" s="137" t="e">
        <f t="shared" si="77"/>
        <v>#N/A</v>
      </c>
      <c r="AP598" s="138" t="e">
        <f t="shared" si="78"/>
        <v>#N/A</v>
      </c>
      <c r="AQ598" s="138" t="e">
        <f t="shared" si="79"/>
        <v>#N/A</v>
      </c>
      <c r="AR598" s="138" t="e">
        <f t="shared" si="80"/>
        <v>#N/A</v>
      </c>
      <c r="AS598" s="138" t="e">
        <f t="shared" si="81"/>
        <v>#N/A</v>
      </c>
      <c r="AT598" s="139" t="e">
        <f t="shared" si="82"/>
        <v>#N/A</v>
      </c>
      <c r="BB598" s="16" t="s">
        <v>596</v>
      </c>
    </row>
    <row r="599" spans="1:54" ht="82.5" customHeight="1">
      <c r="A599" s="428">
        <f t="shared" si="76"/>
        <v>591</v>
      </c>
      <c r="B599" s="403"/>
      <c r="C599" s="404"/>
      <c r="D599" s="405"/>
      <c r="E599" s="405"/>
      <c r="F599" s="405"/>
      <c r="G599" s="405"/>
      <c r="H599" s="406"/>
      <c r="I599" s="407"/>
      <c r="J599" s="408"/>
      <c r="K599" s="409"/>
      <c r="L599" s="410"/>
      <c r="M599" s="404"/>
      <c r="N599" s="411" t="str">
        <f>IF($AI599&lt;&gt;"",Master!$N$37,IF($AC599&lt;&gt;"",Master!$N$38,IF($S599&lt;&gt;"",Master!$N$39,IF($C599&lt;&gt;"",Master!$N$40,Master!$N$41))))</f>
        <v>起票</v>
      </c>
      <c r="O599" s="412" t="str">
        <f>IF($N599=Master!$N$37,MAX($S599,$AC599,$AI599),"")</f>
        <v/>
      </c>
      <c r="P599" s="413"/>
      <c r="Q599" s="414"/>
      <c r="R599" s="409"/>
      <c r="S599" s="404"/>
      <c r="T599" s="418"/>
      <c r="U599" s="415"/>
      <c r="V599" s="409"/>
      <c r="W599" s="419"/>
      <c r="X599" s="419"/>
      <c r="Y599" s="416"/>
      <c r="Z599" s="417"/>
      <c r="AA599" s="418"/>
      <c r="AB599" s="419"/>
      <c r="AC599" s="404"/>
      <c r="AD599" s="404"/>
      <c r="AE599" s="420"/>
      <c r="AF599" s="421"/>
      <c r="AG599" s="418"/>
      <c r="AH599" s="409"/>
      <c r="AI599" s="404"/>
      <c r="AJ599" s="416"/>
      <c r="AK599" s="453"/>
      <c r="AL599" s="422"/>
      <c r="AM599" s="423"/>
      <c r="AO599" s="137" t="e">
        <f t="shared" si="77"/>
        <v>#N/A</v>
      </c>
      <c r="AP599" s="138" t="e">
        <f t="shared" si="78"/>
        <v>#N/A</v>
      </c>
      <c r="AQ599" s="138" t="e">
        <f t="shared" si="79"/>
        <v>#N/A</v>
      </c>
      <c r="AR599" s="138" t="e">
        <f t="shared" si="80"/>
        <v>#N/A</v>
      </c>
      <c r="AS599" s="138" t="e">
        <f t="shared" si="81"/>
        <v>#N/A</v>
      </c>
      <c r="AT599" s="139" t="e">
        <f t="shared" si="82"/>
        <v>#N/A</v>
      </c>
      <c r="BB599" s="16" t="s">
        <v>596</v>
      </c>
    </row>
    <row r="600" spans="1:54" ht="84.75" customHeight="1">
      <c r="A600" s="428">
        <f t="shared" si="76"/>
        <v>592</v>
      </c>
      <c r="B600" s="294"/>
      <c r="C600" s="201"/>
      <c r="D600" s="290"/>
      <c r="E600" s="301"/>
      <c r="F600" s="301"/>
      <c r="G600" s="290"/>
      <c r="H600" s="291"/>
      <c r="I600" s="292"/>
      <c r="J600" s="61"/>
      <c r="K600" s="57"/>
      <c r="L600" s="303"/>
      <c r="M600" s="201"/>
      <c r="N600" s="84" t="str">
        <f>IF($AI600&lt;&gt;"",Master!$N$37,IF($AC600&lt;&gt;"",Master!$N$38,IF($S600&lt;&gt;"",Master!$N$39,IF($C600&lt;&gt;"",Master!$N$40,Master!$N$41))))</f>
        <v>起票</v>
      </c>
      <c r="O600" s="202" t="str">
        <f>IF($N600=Master!$N$37,MAX($S600,$AC600,$AI600),"")</f>
        <v/>
      </c>
      <c r="P600" s="65"/>
      <c r="Q600" s="203"/>
      <c r="R600" s="57"/>
      <c r="S600" s="203"/>
      <c r="T600" s="310"/>
      <c r="U600" s="289"/>
      <c r="V600" s="57"/>
      <c r="W600" s="288"/>
      <c r="X600" s="288"/>
      <c r="Y600" s="296"/>
      <c r="Z600" s="57"/>
      <c r="AA600" s="203"/>
      <c r="AB600" s="288"/>
      <c r="AC600" s="201"/>
      <c r="AD600" s="298"/>
      <c r="AE600" s="297"/>
      <c r="AF600" s="58"/>
      <c r="AG600" s="204"/>
      <c r="AH600" s="57"/>
      <c r="AI600" s="201"/>
      <c r="AJ600" s="287"/>
      <c r="AK600" s="452"/>
      <c r="AL600" s="59"/>
      <c r="AM600" s="60"/>
      <c r="AO600" s="137" t="e">
        <f t="shared" si="77"/>
        <v>#N/A</v>
      </c>
      <c r="AP600" s="138" t="e">
        <f t="shared" si="78"/>
        <v>#N/A</v>
      </c>
      <c r="AQ600" s="138" t="e">
        <f t="shared" si="79"/>
        <v>#N/A</v>
      </c>
      <c r="AR600" s="138" t="e">
        <f t="shared" si="80"/>
        <v>#N/A</v>
      </c>
      <c r="AS600" s="138" t="e">
        <f t="shared" si="81"/>
        <v>#N/A</v>
      </c>
      <c r="AT600" s="139" t="e">
        <f t="shared" si="82"/>
        <v>#N/A</v>
      </c>
      <c r="BB600" s="16" t="s">
        <v>596</v>
      </c>
    </row>
    <row r="601" spans="1:54" ht="75.75" customHeight="1">
      <c r="A601" s="428">
        <f t="shared" si="76"/>
        <v>593</v>
      </c>
      <c r="B601" s="294"/>
      <c r="C601" s="201"/>
      <c r="D601" s="290"/>
      <c r="E601" s="301"/>
      <c r="F601" s="301"/>
      <c r="G601" s="290"/>
      <c r="H601" s="291"/>
      <c r="I601" s="292"/>
      <c r="J601" s="61"/>
      <c r="K601" s="57"/>
      <c r="L601" s="303"/>
      <c r="M601" s="201"/>
      <c r="N601" s="84" t="str">
        <f>IF($AI601&lt;&gt;"",Master!$N$37,IF($AC601&lt;&gt;"",Master!$N$38,IF($S601&lt;&gt;"",Master!$N$39,IF($C601&lt;&gt;"",Master!$N$40,Master!$N$41))))</f>
        <v>起票</v>
      </c>
      <c r="O601" s="202" t="str">
        <f>IF($N601=Master!$N$37,MAX($S601,$AC601,$AI601),"")</f>
        <v/>
      </c>
      <c r="P601" s="65"/>
      <c r="Q601" s="203"/>
      <c r="R601" s="57"/>
      <c r="S601" s="203"/>
      <c r="T601" s="310"/>
      <c r="U601" s="289"/>
      <c r="V601" s="57"/>
      <c r="W601" s="288"/>
      <c r="X601" s="288"/>
      <c r="Y601" s="296"/>
      <c r="Z601" s="57"/>
      <c r="AA601" s="203"/>
      <c r="AB601" s="288"/>
      <c r="AC601" s="201"/>
      <c r="AD601" s="298"/>
      <c r="AE601" s="297"/>
      <c r="AF601" s="58"/>
      <c r="AG601" s="204"/>
      <c r="AH601" s="57"/>
      <c r="AI601" s="201"/>
      <c r="AJ601" s="287"/>
      <c r="AK601" s="452"/>
      <c r="AL601" s="59"/>
      <c r="AM601" s="60"/>
      <c r="AO601" s="137" t="e">
        <f t="shared" si="77"/>
        <v>#N/A</v>
      </c>
      <c r="AP601" s="138" t="e">
        <f t="shared" si="78"/>
        <v>#N/A</v>
      </c>
      <c r="AQ601" s="138" t="e">
        <f t="shared" si="79"/>
        <v>#N/A</v>
      </c>
      <c r="AR601" s="138" t="e">
        <f t="shared" si="80"/>
        <v>#N/A</v>
      </c>
      <c r="AS601" s="138" t="e">
        <f t="shared" si="81"/>
        <v>#N/A</v>
      </c>
      <c r="AT601" s="139" t="e">
        <f t="shared" si="82"/>
        <v>#N/A</v>
      </c>
      <c r="BB601" s="16" t="s">
        <v>596</v>
      </c>
    </row>
    <row r="602" spans="1:54" ht="75.75" customHeight="1">
      <c r="A602" s="428">
        <f t="shared" si="76"/>
        <v>594</v>
      </c>
      <c r="B602" s="403"/>
      <c r="C602" s="404"/>
      <c r="D602" s="405"/>
      <c r="E602" s="405"/>
      <c r="F602" s="405"/>
      <c r="G602" s="405"/>
      <c r="H602" s="406"/>
      <c r="I602" s="407"/>
      <c r="J602" s="408"/>
      <c r="K602" s="409"/>
      <c r="L602" s="410"/>
      <c r="M602" s="404"/>
      <c r="N602" s="411" t="str">
        <f>IF($AI602&lt;&gt;"",Master!$N$37,IF($AC602&lt;&gt;"",Master!$N$38,IF($S602&lt;&gt;"",Master!$N$39,IF($C602&lt;&gt;"",Master!$N$40,Master!$N$41))))</f>
        <v>起票</v>
      </c>
      <c r="O602" s="412" t="str">
        <f>IF($N602=Master!$N$37,MAX($S602,$AC602,$AI602),"")</f>
        <v/>
      </c>
      <c r="P602" s="413"/>
      <c r="Q602" s="414"/>
      <c r="R602" s="409"/>
      <c r="S602" s="404"/>
      <c r="T602" s="418"/>
      <c r="U602" s="415"/>
      <c r="V602" s="409"/>
      <c r="W602" s="419"/>
      <c r="X602" s="419"/>
      <c r="Y602" s="416"/>
      <c r="Z602" s="417"/>
      <c r="AA602" s="418"/>
      <c r="AB602" s="419"/>
      <c r="AC602" s="404"/>
      <c r="AD602" s="404"/>
      <c r="AE602" s="420"/>
      <c r="AF602" s="421"/>
      <c r="AG602" s="418"/>
      <c r="AH602" s="409"/>
      <c r="AI602" s="404"/>
      <c r="AJ602" s="416"/>
      <c r="AK602" s="453"/>
      <c r="AL602" s="422"/>
      <c r="AM602" s="423"/>
      <c r="AO602" s="137" t="e">
        <f t="shared" si="77"/>
        <v>#N/A</v>
      </c>
      <c r="AP602" s="138" t="e">
        <f t="shared" si="78"/>
        <v>#N/A</v>
      </c>
      <c r="AQ602" s="138" t="e">
        <f t="shared" si="79"/>
        <v>#N/A</v>
      </c>
      <c r="AR602" s="138" t="e">
        <f t="shared" si="80"/>
        <v>#N/A</v>
      </c>
      <c r="AS602" s="138" t="e">
        <f t="shared" si="81"/>
        <v>#N/A</v>
      </c>
      <c r="AT602" s="139" t="e">
        <f t="shared" si="82"/>
        <v>#N/A</v>
      </c>
      <c r="BB602" s="16" t="s">
        <v>596</v>
      </c>
    </row>
    <row r="603" spans="1:54" ht="75.75" customHeight="1">
      <c r="A603" s="428">
        <f t="shared" si="76"/>
        <v>595</v>
      </c>
      <c r="B603" s="403"/>
      <c r="C603" s="404"/>
      <c r="D603" s="405"/>
      <c r="E603" s="405"/>
      <c r="F603" s="405"/>
      <c r="G603" s="405"/>
      <c r="H603" s="406"/>
      <c r="I603" s="407"/>
      <c r="J603" s="408"/>
      <c r="K603" s="409"/>
      <c r="L603" s="410"/>
      <c r="M603" s="404"/>
      <c r="N603" s="411" t="str">
        <f>IF($AI603&lt;&gt;"",Master!$N$37,IF($AC603&lt;&gt;"",Master!$N$38,IF($S603&lt;&gt;"",Master!$N$39,IF($C603&lt;&gt;"",Master!$N$40,Master!$N$41))))</f>
        <v>起票</v>
      </c>
      <c r="O603" s="412" t="str">
        <f>IF($N603=Master!$N$37,MAX($S603,$AC603,$AI603),"")</f>
        <v/>
      </c>
      <c r="P603" s="413"/>
      <c r="Q603" s="414"/>
      <c r="R603" s="409"/>
      <c r="S603" s="404"/>
      <c r="T603" s="418"/>
      <c r="U603" s="415"/>
      <c r="V603" s="409"/>
      <c r="W603" s="419"/>
      <c r="X603" s="419"/>
      <c r="Y603" s="416"/>
      <c r="Z603" s="417"/>
      <c r="AA603" s="418"/>
      <c r="AB603" s="419"/>
      <c r="AC603" s="404"/>
      <c r="AD603" s="404"/>
      <c r="AE603" s="420"/>
      <c r="AF603" s="421"/>
      <c r="AG603" s="418"/>
      <c r="AH603" s="409"/>
      <c r="AI603" s="404"/>
      <c r="AJ603" s="416"/>
      <c r="AK603" s="453"/>
      <c r="AL603" s="422"/>
      <c r="AM603" s="423"/>
      <c r="AO603" s="137" t="e">
        <f t="shared" si="77"/>
        <v>#N/A</v>
      </c>
      <c r="AP603" s="138" t="e">
        <f t="shared" si="78"/>
        <v>#N/A</v>
      </c>
      <c r="AQ603" s="138" t="e">
        <f t="shared" si="79"/>
        <v>#N/A</v>
      </c>
      <c r="AR603" s="138" t="e">
        <f t="shared" si="80"/>
        <v>#N/A</v>
      </c>
      <c r="AS603" s="138" t="e">
        <f t="shared" si="81"/>
        <v>#N/A</v>
      </c>
      <c r="AT603" s="139" t="e">
        <f t="shared" si="82"/>
        <v>#N/A</v>
      </c>
      <c r="BB603" s="16" t="s">
        <v>596</v>
      </c>
    </row>
    <row r="604" spans="1:54" ht="75.75" customHeight="1">
      <c r="A604" s="428">
        <f t="shared" si="76"/>
        <v>596</v>
      </c>
      <c r="B604" s="403"/>
      <c r="C604" s="404"/>
      <c r="D604" s="405"/>
      <c r="E604" s="405"/>
      <c r="F604" s="405"/>
      <c r="G604" s="405"/>
      <c r="H604" s="406"/>
      <c r="I604" s="407"/>
      <c r="J604" s="408"/>
      <c r="K604" s="409"/>
      <c r="L604" s="410"/>
      <c r="M604" s="404"/>
      <c r="N604" s="411" t="str">
        <f>IF($AI604&lt;&gt;"",Master!$N$37,IF($AC604&lt;&gt;"",Master!$N$38,IF($S604&lt;&gt;"",Master!$N$39,IF($C604&lt;&gt;"",Master!$N$40,Master!$N$41))))</f>
        <v>起票</v>
      </c>
      <c r="O604" s="412" t="str">
        <f>IF($N604=Master!$N$37,MAX($S604,$AC604,$AI604),"")</f>
        <v/>
      </c>
      <c r="P604" s="413"/>
      <c r="Q604" s="414"/>
      <c r="R604" s="409"/>
      <c r="S604" s="404"/>
      <c r="T604" s="418"/>
      <c r="U604" s="415"/>
      <c r="V604" s="409"/>
      <c r="W604" s="419"/>
      <c r="X604" s="419"/>
      <c r="Y604" s="416"/>
      <c r="Z604" s="417"/>
      <c r="AA604" s="418"/>
      <c r="AB604" s="419"/>
      <c r="AC604" s="404"/>
      <c r="AD604" s="404"/>
      <c r="AE604" s="420"/>
      <c r="AF604" s="421"/>
      <c r="AG604" s="418"/>
      <c r="AH604" s="409"/>
      <c r="AI604" s="404"/>
      <c r="AJ604" s="416"/>
      <c r="AK604" s="453"/>
      <c r="AL604" s="422"/>
      <c r="AM604" s="423"/>
      <c r="AO604" s="137" t="e">
        <f t="shared" si="77"/>
        <v>#N/A</v>
      </c>
      <c r="AP604" s="138" t="e">
        <f t="shared" si="78"/>
        <v>#N/A</v>
      </c>
      <c r="AQ604" s="138" t="e">
        <f t="shared" si="79"/>
        <v>#N/A</v>
      </c>
      <c r="AR604" s="138" t="e">
        <f t="shared" si="80"/>
        <v>#N/A</v>
      </c>
      <c r="AS604" s="138" t="e">
        <f t="shared" si="81"/>
        <v>#N/A</v>
      </c>
      <c r="AT604" s="139" t="e">
        <f t="shared" si="82"/>
        <v>#N/A</v>
      </c>
      <c r="BB604" s="16" t="s">
        <v>596</v>
      </c>
    </row>
    <row r="605" spans="1:54" ht="75.75" customHeight="1">
      <c r="A605" s="428">
        <f t="shared" si="76"/>
        <v>597</v>
      </c>
      <c r="B605" s="294"/>
      <c r="C605" s="201"/>
      <c r="D605" s="290"/>
      <c r="E605" s="301"/>
      <c r="F605" s="301"/>
      <c r="G605" s="290"/>
      <c r="H605" s="291"/>
      <c r="I605" s="292"/>
      <c r="J605" s="61"/>
      <c r="K605" s="57"/>
      <c r="L605" s="303"/>
      <c r="M605" s="201"/>
      <c r="N605" s="84" t="str">
        <f>IF($AI605&lt;&gt;"",Master!$N$37,IF($AC605&lt;&gt;"",Master!$N$38,IF($S605&lt;&gt;"",Master!$N$39,IF($C605&lt;&gt;"",Master!$N$40,Master!$N$41))))</f>
        <v>起票</v>
      </c>
      <c r="O605" s="202" t="str">
        <f>IF($N605=Master!$N$37,MAX($S605,$AC605,$AI605),"")</f>
        <v/>
      </c>
      <c r="P605" s="65"/>
      <c r="Q605" s="203"/>
      <c r="R605" s="57"/>
      <c r="S605" s="203"/>
      <c r="T605" s="310"/>
      <c r="U605" s="289"/>
      <c r="V605" s="57"/>
      <c r="W605" s="288"/>
      <c r="X605" s="288"/>
      <c r="Y605" s="296"/>
      <c r="Z605" s="57"/>
      <c r="AA605" s="203"/>
      <c r="AB605" s="288"/>
      <c r="AC605" s="201"/>
      <c r="AD605" s="298"/>
      <c r="AE605" s="297"/>
      <c r="AF605" s="58"/>
      <c r="AG605" s="204"/>
      <c r="AH605" s="57"/>
      <c r="AI605" s="201"/>
      <c r="AJ605" s="287"/>
      <c r="AK605" s="452"/>
      <c r="AL605" s="59"/>
      <c r="AM605" s="60"/>
      <c r="AO605" s="137" t="e">
        <f t="shared" si="77"/>
        <v>#N/A</v>
      </c>
      <c r="AP605" s="138" t="e">
        <f t="shared" si="78"/>
        <v>#N/A</v>
      </c>
      <c r="AQ605" s="138" t="e">
        <f t="shared" si="79"/>
        <v>#N/A</v>
      </c>
      <c r="AR605" s="138" t="e">
        <f t="shared" si="80"/>
        <v>#N/A</v>
      </c>
      <c r="AS605" s="138" t="e">
        <f t="shared" si="81"/>
        <v>#N/A</v>
      </c>
      <c r="AT605" s="139" t="e">
        <f t="shared" si="82"/>
        <v>#N/A</v>
      </c>
      <c r="BB605" s="16" t="s">
        <v>596</v>
      </c>
    </row>
    <row r="606" spans="1:54" ht="75.75" customHeight="1">
      <c r="A606" s="428">
        <f t="shared" si="76"/>
        <v>598</v>
      </c>
      <c r="B606" s="294"/>
      <c r="C606" s="201"/>
      <c r="D606" s="290"/>
      <c r="E606" s="301"/>
      <c r="F606" s="301"/>
      <c r="G606" s="290"/>
      <c r="H606" s="291"/>
      <c r="I606" s="292"/>
      <c r="J606" s="61"/>
      <c r="K606" s="57"/>
      <c r="L606" s="303"/>
      <c r="M606" s="201"/>
      <c r="N606" s="84" t="str">
        <f>IF($AI606&lt;&gt;"",Master!$N$37,IF($AC606&lt;&gt;"",Master!$N$38,IF($S606&lt;&gt;"",Master!$N$39,IF($C606&lt;&gt;"",Master!$N$40,Master!$N$41))))</f>
        <v>起票</v>
      </c>
      <c r="O606" s="202" t="str">
        <f>IF($N606=Master!$N$37,MAX($S606,$AC606,$AI606),"")</f>
        <v/>
      </c>
      <c r="P606" s="65"/>
      <c r="Q606" s="203"/>
      <c r="R606" s="57"/>
      <c r="S606" s="203"/>
      <c r="T606" s="310"/>
      <c r="U606" s="289"/>
      <c r="V606" s="57"/>
      <c r="W606" s="288"/>
      <c r="X606" s="288"/>
      <c r="Y606" s="296"/>
      <c r="Z606" s="57"/>
      <c r="AA606" s="203"/>
      <c r="AB606" s="288"/>
      <c r="AC606" s="201"/>
      <c r="AD606" s="298"/>
      <c r="AE606" s="297"/>
      <c r="AF606" s="58"/>
      <c r="AG606" s="204"/>
      <c r="AH606" s="57"/>
      <c r="AI606" s="201"/>
      <c r="AJ606" s="287"/>
      <c r="AK606" s="452"/>
      <c r="AL606" s="59"/>
      <c r="AM606" s="60"/>
      <c r="AO606" s="137" t="e">
        <f t="shared" si="77"/>
        <v>#N/A</v>
      </c>
      <c r="AP606" s="138" t="e">
        <f t="shared" si="78"/>
        <v>#N/A</v>
      </c>
      <c r="AQ606" s="138" t="e">
        <f t="shared" si="79"/>
        <v>#N/A</v>
      </c>
      <c r="AR606" s="138" t="e">
        <f t="shared" si="80"/>
        <v>#N/A</v>
      </c>
      <c r="AS606" s="138" t="e">
        <f t="shared" si="81"/>
        <v>#N/A</v>
      </c>
      <c r="AT606" s="139" t="e">
        <f t="shared" si="82"/>
        <v>#N/A</v>
      </c>
      <c r="BB606" s="16" t="s">
        <v>596</v>
      </c>
    </row>
    <row r="607" spans="1:54" ht="75.75" customHeight="1">
      <c r="A607" s="428">
        <f t="shared" si="76"/>
        <v>599</v>
      </c>
      <c r="B607" s="403"/>
      <c r="C607" s="404"/>
      <c r="D607" s="405"/>
      <c r="E607" s="405"/>
      <c r="F607" s="405"/>
      <c r="G607" s="405"/>
      <c r="H607" s="406"/>
      <c r="I607" s="407"/>
      <c r="J607" s="408"/>
      <c r="K607" s="409"/>
      <c r="L607" s="410"/>
      <c r="M607" s="404"/>
      <c r="N607" s="411" t="str">
        <f>IF($AI607&lt;&gt;"",Master!$N$37,IF($AC607&lt;&gt;"",Master!$N$38,IF($S607&lt;&gt;"",Master!$N$39,IF($C607&lt;&gt;"",Master!$N$40,Master!$N$41))))</f>
        <v>起票</v>
      </c>
      <c r="O607" s="412" t="str">
        <f>IF($N607=Master!$N$37,MAX($S607,$AC607,$AI607),"")</f>
        <v/>
      </c>
      <c r="P607" s="413"/>
      <c r="Q607" s="414"/>
      <c r="R607" s="409"/>
      <c r="S607" s="404"/>
      <c r="T607" s="418"/>
      <c r="U607" s="415"/>
      <c r="V607" s="409"/>
      <c r="W607" s="419"/>
      <c r="X607" s="419"/>
      <c r="Y607" s="416"/>
      <c r="Z607" s="417"/>
      <c r="AA607" s="418"/>
      <c r="AB607" s="419"/>
      <c r="AC607" s="404"/>
      <c r="AD607" s="404"/>
      <c r="AE607" s="420"/>
      <c r="AF607" s="421"/>
      <c r="AG607" s="418"/>
      <c r="AH607" s="409"/>
      <c r="AI607" s="404"/>
      <c r="AJ607" s="416"/>
      <c r="AK607" s="453"/>
      <c r="AL607" s="422"/>
      <c r="AM607" s="423"/>
      <c r="AO607" s="137" t="e">
        <f t="shared" si="77"/>
        <v>#N/A</v>
      </c>
      <c r="AP607" s="138" t="e">
        <f t="shared" si="78"/>
        <v>#N/A</v>
      </c>
      <c r="AQ607" s="138" t="e">
        <f t="shared" si="79"/>
        <v>#N/A</v>
      </c>
      <c r="AR607" s="138" t="e">
        <f t="shared" si="80"/>
        <v>#N/A</v>
      </c>
      <c r="AS607" s="138" t="e">
        <f t="shared" si="81"/>
        <v>#N/A</v>
      </c>
      <c r="AT607" s="139" t="e">
        <f t="shared" si="82"/>
        <v>#N/A</v>
      </c>
      <c r="BB607" s="16" t="s">
        <v>596</v>
      </c>
    </row>
    <row r="608" spans="1:54" ht="75.75" customHeight="1">
      <c r="A608" s="428">
        <f t="shared" si="76"/>
        <v>600</v>
      </c>
      <c r="B608" s="403"/>
      <c r="C608" s="404"/>
      <c r="D608" s="405"/>
      <c r="E608" s="405"/>
      <c r="F608" s="405"/>
      <c r="G608" s="405"/>
      <c r="H608" s="406"/>
      <c r="I608" s="407"/>
      <c r="J608" s="408"/>
      <c r="K608" s="409"/>
      <c r="L608" s="410"/>
      <c r="M608" s="404"/>
      <c r="N608" s="411" t="str">
        <f>IF($AI608&lt;&gt;"",Master!$N$37,IF($AC608&lt;&gt;"",Master!$N$38,IF($S608&lt;&gt;"",Master!$N$39,IF($C608&lt;&gt;"",Master!$N$40,Master!$N$41))))</f>
        <v>起票</v>
      </c>
      <c r="O608" s="412" t="str">
        <f>IF($N608=Master!$N$37,MAX($S608,$AC608,$AI608),"")</f>
        <v/>
      </c>
      <c r="P608" s="413"/>
      <c r="Q608" s="414"/>
      <c r="R608" s="409"/>
      <c r="S608" s="404"/>
      <c r="T608" s="418"/>
      <c r="U608" s="415"/>
      <c r="V608" s="409"/>
      <c r="W608" s="419"/>
      <c r="X608" s="419"/>
      <c r="Y608" s="416"/>
      <c r="Z608" s="417"/>
      <c r="AA608" s="418"/>
      <c r="AB608" s="419"/>
      <c r="AC608" s="404"/>
      <c r="AD608" s="404"/>
      <c r="AE608" s="420"/>
      <c r="AF608" s="421"/>
      <c r="AG608" s="418"/>
      <c r="AH608" s="409"/>
      <c r="AI608" s="404"/>
      <c r="AJ608" s="416"/>
      <c r="AK608" s="453"/>
      <c r="AL608" s="422"/>
      <c r="AM608" s="423"/>
      <c r="AO608" s="137" t="e">
        <f t="shared" si="77"/>
        <v>#N/A</v>
      </c>
      <c r="AP608" s="138" t="e">
        <f t="shared" si="78"/>
        <v>#N/A</v>
      </c>
      <c r="AQ608" s="138" t="e">
        <f t="shared" si="79"/>
        <v>#N/A</v>
      </c>
      <c r="AR608" s="138" t="e">
        <f t="shared" si="80"/>
        <v>#N/A</v>
      </c>
      <c r="AS608" s="138" t="e">
        <f t="shared" si="81"/>
        <v>#N/A</v>
      </c>
      <c r="AT608" s="139" t="e">
        <f t="shared" si="82"/>
        <v>#N/A</v>
      </c>
      <c r="BB608" s="16" t="s">
        <v>596</v>
      </c>
    </row>
    <row r="609" spans="1:54" ht="75.75" customHeight="1">
      <c r="A609" s="428">
        <f t="shared" si="76"/>
        <v>601</v>
      </c>
      <c r="B609" s="403"/>
      <c r="C609" s="404"/>
      <c r="D609" s="405"/>
      <c r="E609" s="405"/>
      <c r="F609" s="405"/>
      <c r="G609" s="405"/>
      <c r="H609" s="406"/>
      <c r="I609" s="407"/>
      <c r="J609" s="408"/>
      <c r="K609" s="409"/>
      <c r="L609" s="410"/>
      <c r="M609" s="404"/>
      <c r="N609" s="411" t="str">
        <f>IF($AI609&lt;&gt;"",Master!$N$37,IF($AC609&lt;&gt;"",Master!$N$38,IF($S609&lt;&gt;"",Master!$N$39,IF($C609&lt;&gt;"",Master!$N$40,Master!$N$41))))</f>
        <v>起票</v>
      </c>
      <c r="O609" s="412" t="str">
        <f>IF($N609=Master!$N$37,MAX($S609,$AC609,$AI609),"")</f>
        <v/>
      </c>
      <c r="P609" s="413"/>
      <c r="Q609" s="414"/>
      <c r="R609" s="409"/>
      <c r="S609" s="404"/>
      <c r="T609" s="418"/>
      <c r="U609" s="415"/>
      <c r="V609" s="409"/>
      <c r="W609" s="419"/>
      <c r="X609" s="419"/>
      <c r="Y609" s="416"/>
      <c r="Z609" s="417"/>
      <c r="AA609" s="418"/>
      <c r="AB609" s="419"/>
      <c r="AC609" s="404"/>
      <c r="AD609" s="404"/>
      <c r="AE609" s="420"/>
      <c r="AF609" s="421"/>
      <c r="AG609" s="418"/>
      <c r="AH609" s="409"/>
      <c r="AI609" s="404"/>
      <c r="AJ609" s="416"/>
      <c r="AK609" s="453"/>
      <c r="AL609" s="422"/>
      <c r="AM609" s="423"/>
      <c r="AO609" s="137" t="e">
        <f t="shared" si="77"/>
        <v>#N/A</v>
      </c>
      <c r="AP609" s="138" t="e">
        <f t="shared" si="78"/>
        <v>#N/A</v>
      </c>
      <c r="AQ609" s="138" t="e">
        <f t="shared" si="79"/>
        <v>#N/A</v>
      </c>
      <c r="AR609" s="138" t="e">
        <f t="shared" si="80"/>
        <v>#N/A</v>
      </c>
      <c r="AS609" s="138" t="e">
        <f t="shared" si="81"/>
        <v>#N/A</v>
      </c>
      <c r="AT609" s="139" t="e">
        <f t="shared" si="82"/>
        <v>#N/A</v>
      </c>
      <c r="BB609" s="16" t="s">
        <v>596</v>
      </c>
    </row>
    <row r="610" spans="1:54" ht="75.75" customHeight="1">
      <c r="A610" s="428">
        <f t="shared" si="76"/>
        <v>602</v>
      </c>
      <c r="B610" s="294"/>
      <c r="C610" s="201"/>
      <c r="D610" s="290"/>
      <c r="E610" s="301"/>
      <c r="F610" s="301"/>
      <c r="G610" s="290"/>
      <c r="H610" s="291"/>
      <c r="I610" s="292"/>
      <c r="J610" s="61"/>
      <c r="K610" s="57"/>
      <c r="L610" s="303"/>
      <c r="M610" s="201"/>
      <c r="N610" s="84" t="str">
        <f>IF($AI610&lt;&gt;"",Master!$N$37,IF($AC610&lt;&gt;"",Master!$N$38,IF($S610&lt;&gt;"",Master!$N$39,IF($C610&lt;&gt;"",Master!$N$40,Master!$N$41))))</f>
        <v>起票</v>
      </c>
      <c r="O610" s="202" t="str">
        <f>IF($N610=Master!$N$37,MAX($S610,$AC610,$AI610),"")</f>
        <v/>
      </c>
      <c r="P610" s="65"/>
      <c r="Q610" s="203"/>
      <c r="R610" s="57"/>
      <c r="S610" s="203"/>
      <c r="T610" s="310"/>
      <c r="U610" s="289"/>
      <c r="V610" s="57"/>
      <c r="W610" s="288"/>
      <c r="X610" s="288"/>
      <c r="Y610" s="296"/>
      <c r="Z610" s="57"/>
      <c r="AA610" s="203"/>
      <c r="AB610" s="288"/>
      <c r="AC610" s="201"/>
      <c r="AD610" s="298"/>
      <c r="AE610" s="297"/>
      <c r="AF610" s="58"/>
      <c r="AG610" s="204"/>
      <c r="AH610" s="57"/>
      <c r="AI610" s="201"/>
      <c r="AJ610" s="287"/>
      <c r="AK610" s="452"/>
      <c r="AL610" s="59"/>
      <c r="AM610" s="60"/>
      <c r="AO610" s="137" t="e">
        <f t="shared" si="77"/>
        <v>#N/A</v>
      </c>
      <c r="AP610" s="138" t="e">
        <f t="shared" si="78"/>
        <v>#N/A</v>
      </c>
      <c r="AQ610" s="138" t="e">
        <f t="shared" si="79"/>
        <v>#N/A</v>
      </c>
      <c r="AR610" s="138" t="e">
        <f t="shared" si="80"/>
        <v>#N/A</v>
      </c>
      <c r="AS610" s="138" t="e">
        <f t="shared" si="81"/>
        <v>#N/A</v>
      </c>
      <c r="AT610" s="139" t="e">
        <f t="shared" si="82"/>
        <v>#N/A</v>
      </c>
      <c r="BB610" s="16" t="s">
        <v>596</v>
      </c>
    </row>
    <row r="611" spans="1:54" ht="75.75" customHeight="1">
      <c r="A611" s="428">
        <f t="shared" si="76"/>
        <v>603</v>
      </c>
      <c r="B611" s="294"/>
      <c r="C611" s="201"/>
      <c r="D611" s="290"/>
      <c r="E611" s="301"/>
      <c r="F611" s="301"/>
      <c r="G611" s="290"/>
      <c r="H611" s="291"/>
      <c r="I611" s="292"/>
      <c r="J611" s="61"/>
      <c r="K611" s="57"/>
      <c r="L611" s="303"/>
      <c r="M611" s="201"/>
      <c r="N611" s="84" t="str">
        <f>IF($AI611&lt;&gt;"",Master!$N$37,IF($AC611&lt;&gt;"",Master!$N$38,IF($S611&lt;&gt;"",Master!$N$39,IF($C611&lt;&gt;"",Master!$N$40,Master!$N$41))))</f>
        <v>起票</v>
      </c>
      <c r="O611" s="202" t="str">
        <f>IF($N611=Master!$N$37,MAX($S611,$AC611,$AI611),"")</f>
        <v/>
      </c>
      <c r="P611" s="65"/>
      <c r="Q611" s="203"/>
      <c r="R611" s="57"/>
      <c r="S611" s="203"/>
      <c r="T611" s="310"/>
      <c r="U611" s="289"/>
      <c r="V611" s="57"/>
      <c r="W611" s="288"/>
      <c r="X611" s="288"/>
      <c r="Y611" s="296"/>
      <c r="Z611" s="57"/>
      <c r="AA611" s="203"/>
      <c r="AB611" s="288"/>
      <c r="AC611" s="201"/>
      <c r="AD611" s="298"/>
      <c r="AE611" s="297"/>
      <c r="AF611" s="58"/>
      <c r="AG611" s="204"/>
      <c r="AH611" s="57"/>
      <c r="AI611" s="201"/>
      <c r="AJ611" s="287"/>
      <c r="AK611" s="452"/>
      <c r="AL611" s="59"/>
      <c r="AM611" s="60"/>
      <c r="AO611" s="137" t="e">
        <f t="shared" si="77"/>
        <v>#N/A</v>
      </c>
      <c r="AP611" s="138" t="e">
        <f t="shared" si="78"/>
        <v>#N/A</v>
      </c>
      <c r="AQ611" s="138" t="e">
        <f t="shared" si="79"/>
        <v>#N/A</v>
      </c>
      <c r="AR611" s="138" t="e">
        <f t="shared" si="80"/>
        <v>#N/A</v>
      </c>
      <c r="AS611" s="138" t="e">
        <f t="shared" si="81"/>
        <v>#N/A</v>
      </c>
      <c r="AT611" s="139" t="e">
        <f t="shared" si="82"/>
        <v>#N/A</v>
      </c>
      <c r="BB611" s="16" t="s">
        <v>596</v>
      </c>
    </row>
    <row r="612" spans="1:54" ht="95.25" customHeight="1">
      <c r="A612" s="428">
        <f t="shared" si="76"/>
        <v>604</v>
      </c>
      <c r="B612" s="403"/>
      <c r="C612" s="404"/>
      <c r="D612" s="405"/>
      <c r="E612" s="405"/>
      <c r="F612" s="405"/>
      <c r="G612" s="405"/>
      <c r="H612" s="406"/>
      <c r="I612" s="407"/>
      <c r="J612" s="408"/>
      <c r="K612" s="409"/>
      <c r="L612" s="410"/>
      <c r="M612" s="404"/>
      <c r="N612" s="411" t="str">
        <f>IF($AI612&lt;&gt;"",Master!$N$37,IF($AC612&lt;&gt;"",Master!$N$38,IF($S612&lt;&gt;"",Master!$N$39,IF($C612&lt;&gt;"",Master!$N$40,Master!$N$41))))</f>
        <v>起票</v>
      </c>
      <c r="O612" s="412" t="str">
        <f>IF($N612=Master!$N$37,MAX($S612,$AC612,$AI612),"")</f>
        <v/>
      </c>
      <c r="P612" s="413"/>
      <c r="Q612" s="414"/>
      <c r="R612" s="409"/>
      <c r="S612" s="404"/>
      <c r="T612" s="418"/>
      <c r="U612" s="415"/>
      <c r="V612" s="409"/>
      <c r="W612" s="419"/>
      <c r="X612" s="419"/>
      <c r="Y612" s="416"/>
      <c r="Z612" s="417"/>
      <c r="AA612" s="418"/>
      <c r="AB612" s="419"/>
      <c r="AC612" s="404"/>
      <c r="AD612" s="404"/>
      <c r="AE612" s="420"/>
      <c r="AF612" s="421"/>
      <c r="AG612" s="418"/>
      <c r="AH612" s="409"/>
      <c r="AI612" s="404"/>
      <c r="AJ612" s="416"/>
      <c r="AK612" s="453"/>
      <c r="AL612" s="422"/>
      <c r="AM612" s="423"/>
      <c r="AO612" s="137" t="e">
        <f t="shared" si="77"/>
        <v>#N/A</v>
      </c>
      <c r="AP612" s="138" t="e">
        <f t="shared" si="78"/>
        <v>#N/A</v>
      </c>
      <c r="AQ612" s="138" t="e">
        <f t="shared" si="79"/>
        <v>#N/A</v>
      </c>
      <c r="AR612" s="138" t="e">
        <f t="shared" si="80"/>
        <v>#N/A</v>
      </c>
      <c r="AS612" s="138" t="e">
        <f t="shared" si="81"/>
        <v>#N/A</v>
      </c>
      <c r="AT612" s="139" t="e">
        <f t="shared" si="82"/>
        <v>#N/A</v>
      </c>
      <c r="BB612" s="16" t="s">
        <v>596</v>
      </c>
    </row>
    <row r="613" spans="1:54" ht="75.75" customHeight="1">
      <c r="A613" s="428">
        <f t="shared" si="76"/>
        <v>605</v>
      </c>
      <c r="B613" s="403"/>
      <c r="C613" s="404"/>
      <c r="D613" s="405"/>
      <c r="E613" s="405"/>
      <c r="F613" s="405"/>
      <c r="G613" s="405"/>
      <c r="H613" s="406"/>
      <c r="I613" s="407"/>
      <c r="J613" s="408"/>
      <c r="K613" s="409"/>
      <c r="L613" s="410"/>
      <c r="M613" s="404"/>
      <c r="N613" s="411" t="str">
        <f>IF($AI613&lt;&gt;"",Master!$N$37,IF($AC613&lt;&gt;"",Master!$N$38,IF($S613&lt;&gt;"",Master!$N$39,IF($C613&lt;&gt;"",Master!$N$40,Master!$N$41))))</f>
        <v>起票</v>
      </c>
      <c r="O613" s="412" t="str">
        <f>IF($N613=Master!$N$37,MAX($S613,$AC613,$AI613),"")</f>
        <v/>
      </c>
      <c r="P613" s="413"/>
      <c r="Q613" s="414"/>
      <c r="R613" s="409"/>
      <c r="S613" s="404"/>
      <c r="T613" s="418"/>
      <c r="U613" s="415"/>
      <c r="V613" s="409"/>
      <c r="W613" s="419"/>
      <c r="X613" s="419"/>
      <c r="Y613" s="416"/>
      <c r="Z613" s="417"/>
      <c r="AA613" s="418"/>
      <c r="AB613" s="419"/>
      <c r="AC613" s="404"/>
      <c r="AD613" s="404"/>
      <c r="AE613" s="420"/>
      <c r="AF613" s="421"/>
      <c r="AG613" s="418"/>
      <c r="AH613" s="409"/>
      <c r="AI613" s="404"/>
      <c r="AJ613" s="416"/>
      <c r="AK613" s="453"/>
      <c r="AL613" s="422"/>
      <c r="AM613" s="423"/>
      <c r="AO613" s="137" t="e">
        <f t="shared" si="77"/>
        <v>#N/A</v>
      </c>
      <c r="AP613" s="138" t="e">
        <f t="shared" si="78"/>
        <v>#N/A</v>
      </c>
      <c r="AQ613" s="138" t="e">
        <f t="shared" si="79"/>
        <v>#N/A</v>
      </c>
      <c r="AR613" s="138" t="e">
        <f t="shared" si="80"/>
        <v>#N/A</v>
      </c>
      <c r="AS613" s="138" t="e">
        <f t="shared" si="81"/>
        <v>#N/A</v>
      </c>
      <c r="AT613" s="139" t="e">
        <f t="shared" si="82"/>
        <v>#N/A</v>
      </c>
      <c r="BB613" s="16" t="s">
        <v>596</v>
      </c>
    </row>
    <row r="614" spans="1:54" ht="75.75" customHeight="1">
      <c r="A614" s="428">
        <f t="shared" si="76"/>
        <v>606</v>
      </c>
      <c r="B614" s="403"/>
      <c r="C614" s="404"/>
      <c r="D614" s="405"/>
      <c r="E614" s="405"/>
      <c r="F614" s="405"/>
      <c r="G614" s="405"/>
      <c r="H614" s="406"/>
      <c r="I614" s="407"/>
      <c r="J614" s="408"/>
      <c r="K614" s="409"/>
      <c r="L614" s="410"/>
      <c r="M614" s="404"/>
      <c r="N614" s="411" t="str">
        <f>IF($AI614&lt;&gt;"",Master!$N$37,IF($AC614&lt;&gt;"",Master!$N$38,IF($S614&lt;&gt;"",Master!$N$39,IF($C614&lt;&gt;"",Master!$N$40,Master!$N$41))))</f>
        <v>起票</v>
      </c>
      <c r="O614" s="412" t="str">
        <f>IF($N614=Master!$N$37,MAX($S614,$AC614,$AI614),"")</f>
        <v/>
      </c>
      <c r="P614" s="413"/>
      <c r="Q614" s="414"/>
      <c r="R614" s="409"/>
      <c r="S614" s="404"/>
      <c r="T614" s="418"/>
      <c r="U614" s="415"/>
      <c r="V614" s="409"/>
      <c r="W614" s="419"/>
      <c r="X614" s="419"/>
      <c r="Y614" s="416"/>
      <c r="Z614" s="417"/>
      <c r="AA614" s="418"/>
      <c r="AB614" s="419"/>
      <c r="AC614" s="404"/>
      <c r="AD614" s="404"/>
      <c r="AE614" s="420"/>
      <c r="AF614" s="421"/>
      <c r="AG614" s="418"/>
      <c r="AH614" s="409"/>
      <c r="AI614" s="404"/>
      <c r="AJ614" s="416"/>
      <c r="AK614" s="453"/>
      <c r="AL614" s="422"/>
      <c r="AM614" s="423"/>
      <c r="AO614" s="137" t="e">
        <f t="shared" si="77"/>
        <v>#N/A</v>
      </c>
      <c r="AP614" s="138" t="e">
        <f t="shared" si="78"/>
        <v>#N/A</v>
      </c>
      <c r="AQ614" s="138" t="e">
        <f t="shared" si="79"/>
        <v>#N/A</v>
      </c>
      <c r="AR614" s="138" t="e">
        <f t="shared" si="80"/>
        <v>#N/A</v>
      </c>
      <c r="AS614" s="138" t="e">
        <f t="shared" si="81"/>
        <v>#N/A</v>
      </c>
      <c r="AT614" s="139" t="e">
        <f t="shared" si="82"/>
        <v>#N/A</v>
      </c>
      <c r="BB614" s="16" t="s">
        <v>596</v>
      </c>
    </row>
    <row r="615" spans="1:54" ht="75.75" customHeight="1">
      <c r="A615" s="428">
        <f t="shared" si="76"/>
        <v>607</v>
      </c>
      <c r="B615" s="294"/>
      <c r="C615" s="201"/>
      <c r="D615" s="290"/>
      <c r="E615" s="301"/>
      <c r="F615" s="301"/>
      <c r="G615" s="290"/>
      <c r="H615" s="291"/>
      <c r="I615" s="292"/>
      <c r="J615" s="61"/>
      <c r="K615" s="57"/>
      <c r="L615" s="303"/>
      <c r="M615" s="201"/>
      <c r="N615" s="84" t="str">
        <f>IF($AI615&lt;&gt;"",Master!$N$37,IF($AC615&lt;&gt;"",Master!$N$38,IF($S615&lt;&gt;"",Master!$N$39,IF($C615&lt;&gt;"",Master!$N$40,Master!$N$41))))</f>
        <v>起票</v>
      </c>
      <c r="O615" s="202" t="str">
        <f>IF($N615=Master!$N$37,MAX($S615,$AC615,$AI615),"")</f>
        <v/>
      </c>
      <c r="P615" s="65"/>
      <c r="Q615" s="203"/>
      <c r="R615" s="57"/>
      <c r="S615" s="203"/>
      <c r="T615" s="310"/>
      <c r="U615" s="289"/>
      <c r="V615" s="57"/>
      <c r="W615" s="288"/>
      <c r="X615" s="288"/>
      <c r="Y615" s="296"/>
      <c r="Z615" s="57"/>
      <c r="AA615" s="203"/>
      <c r="AB615" s="288"/>
      <c r="AC615" s="201"/>
      <c r="AD615" s="298"/>
      <c r="AE615" s="297"/>
      <c r="AF615" s="58"/>
      <c r="AG615" s="204"/>
      <c r="AH615" s="57"/>
      <c r="AI615" s="201"/>
      <c r="AJ615" s="287"/>
      <c r="AK615" s="452"/>
      <c r="AL615" s="59"/>
      <c r="AM615" s="60"/>
      <c r="AO615" s="137" t="e">
        <f t="shared" si="77"/>
        <v>#N/A</v>
      </c>
      <c r="AP615" s="138" t="e">
        <f t="shared" si="78"/>
        <v>#N/A</v>
      </c>
      <c r="AQ615" s="138" t="e">
        <f t="shared" si="79"/>
        <v>#N/A</v>
      </c>
      <c r="AR615" s="138" t="e">
        <f t="shared" si="80"/>
        <v>#N/A</v>
      </c>
      <c r="AS615" s="138" t="e">
        <f t="shared" si="81"/>
        <v>#N/A</v>
      </c>
      <c r="AT615" s="139" t="e">
        <f t="shared" si="82"/>
        <v>#N/A</v>
      </c>
      <c r="BB615" s="16" t="s">
        <v>596</v>
      </c>
    </row>
    <row r="616" spans="1:54" ht="54" customHeight="1">
      <c r="A616" s="428">
        <f t="shared" si="76"/>
        <v>608</v>
      </c>
      <c r="B616" s="294"/>
      <c r="C616" s="201"/>
      <c r="D616" s="290"/>
      <c r="E616" s="301"/>
      <c r="F616" s="301"/>
      <c r="G616" s="290"/>
      <c r="H616" s="291"/>
      <c r="I616" s="292"/>
      <c r="J616" s="61"/>
      <c r="K616" s="57"/>
      <c r="L616" s="303"/>
      <c r="M616" s="201"/>
      <c r="N616" s="84" t="str">
        <f>IF($AI616&lt;&gt;"",Master!$N$37,IF($AC616&lt;&gt;"",Master!$N$38,IF($S616&lt;&gt;"",Master!$N$39,IF($C616&lt;&gt;"",Master!$N$40,Master!$N$41))))</f>
        <v>起票</v>
      </c>
      <c r="O616" s="202" t="str">
        <f>IF($N616=Master!$N$37,MAX($S616,$AC616,$AI616),"")</f>
        <v/>
      </c>
      <c r="P616" s="65"/>
      <c r="Q616" s="203"/>
      <c r="R616" s="57"/>
      <c r="S616" s="203"/>
      <c r="T616" s="310"/>
      <c r="U616" s="289"/>
      <c r="V616" s="57"/>
      <c r="W616" s="288"/>
      <c r="X616" s="288"/>
      <c r="Y616" s="296"/>
      <c r="Z616" s="57"/>
      <c r="AA616" s="203"/>
      <c r="AB616" s="288"/>
      <c r="AC616" s="201"/>
      <c r="AD616" s="298"/>
      <c r="AE616" s="297"/>
      <c r="AF616" s="58"/>
      <c r="AG616" s="204"/>
      <c r="AH616" s="57"/>
      <c r="AI616" s="201"/>
      <c r="AJ616" s="287"/>
      <c r="AK616" s="452"/>
      <c r="AL616" s="59"/>
      <c r="AM616" s="60"/>
      <c r="AO616" s="137" t="e">
        <f t="shared" si="77"/>
        <v>#N/A</v>
      </c>
      <c r="AP616" s="138" t="e">
        <f t="shared" si="78"/>
        <v>#N/A</v>
      </c>
      <c r="AQ616" s="138" t="e">
        <f t="shared" si="79"/>
        <v>#N/A</v>
      </c>
      <c r="AR616" s="138" t="e">
        <f t="shared" si="80"/>
        <v>#N/A</v>
      </c>
      <c r="AS616" s="138" t="e">
        <f t="shared" si="81"/>
        <v>#N/A</v>
      </c>
      <c r="AT616" s="139" t="e">
        <f t="shared" si="82"/>
        <v>#N/A</v>
      </c>
      <c r="BB616" s="16" t="s">
        <v>596</v>
      </c>
    </row>
    <row r="617" spans="1:54" ht="54" customHeight="1">
      <c r="A617" s="428">
        <f t="shared" si="76"/>
        <v>609</v>
      </c>
      <c r="B617" s="403"/>
      <c r="C617" s="404"/>
      <c r="D617" s="405"/>
      <c r="E617" s="405"/>
      <c r="F617" s="405"/>
      <c r="G617" s="405"/>
      <c r="H617" s="406"/>
      <c r="I617" s="407"/>
      <c r="J617" s="408"/>
      <c r="K617" s="409"/>
      <c r="L617" s="410"/>
      <c r="M617" s="404"/>
      <c r="N617" s="411" t="str">
        <f>IF($AI617&lt;&gt;"",Master!$N$37,IF($AC617&lt;&gt;"",Master!$N$38,IF($S617&lt;&gt;"",Master!$N$39,IF($C617&lt;&gt;"",Master!$N$40,Master!$N$41))))</f>
        <v>起票</v>
      </c>
      <c r="O617" s="412" t="str">
        <f>IF($N617=Master!$N$37,MAX($S617,$AC617,$AI617),"")</f>
        <v/>
      </c>
      <c r="P617" s="413"/>
      <c r="Q617" s="414"/>
      <c r="R617" s="409"/>
      <c r="S617" s="404"/>
      <c r="T617" s="418"/>
      <c r="U617" s="415"/>
      <c r="V617" s="409"/>
      <c r="W617" s="419"/>
      <c r="X617" s="419"/>
      <c r="Y617" s="416"/>
      <c r="Z617" s="417"/>
      <c r="AA617" s="418"/>
      <c r="AB617" s="419"/>
      <c r="AC617" s="404"/>
      <c r="AD617" s="404"/>
      <c r="AE617" s="420"/>
      <c r="AF617" s="421"/>
      <c r="AG617" s="418"/>
      <c r="AH617" s="409"/>
      <c r="AI617" s="404"/>
      <c r="AJ617" s="416"/>
      <c r="AK617" s="453"/>
      <c r="AL617" s="422"/>
      <c r="AM617" s="423"/>
      <c r="AO617" s="137" t="e">
        <f t="shared" si="77"/>
        <v>#N/A</v>
      </c>
      <c r="AP617" s="138" t="e">
        <f t="shared" si="78"/>
        <v>#N/A</v>
      </c>
      <c r="AQ617" s="138" t="e">
        <f t="shared" si="79"/>
        <v>#N/A</v>
      </c>
      <c r="AR617" s="138" t="e">
        <f t="shared" si="80"/>
        <v>#N/A</v>
      </c>
      <c r="AS617" s="138" t="e">
        <f t="shared" si="81"/>
        <v>#N/A</v>
      </c>
      <c r="AT617" s="139" t="e">
        <f t="shared" si="82"/>
        <v>#N/A</v>
      </c>
      <c r="BB617" s="16" t="s">
        <v>596</v>
      </c>
    </row>
    <row r="618" spans="1:54" ht="54" customHeight="1">
      <c r="A618" s="428">
        <f t="shared" si="76"/>
        <v>610</v>
      </c>
      <c r="B618" s="403"/>
      <c r="C618" s="404"/>
      <c r="D618" s="405"/>
      <c r="E618" s="405"/>
      <c r="F618" s="405"/>
      <c r="G618" s="405"/>
      <c r="H618" s="406"/>
      <c r="I618" s="407"/>
      <c r="J618" s="408"/>
      <c r="K618" s="409"/>
      <c r="L618" s="410"/>
      <c r="M618" s="404"/>
      <c r="N618" s="411" t="str">
        <f>IF($AI618&lt;&gt;"",Master!$N$37,IF($AC618&lt;&gt;"",Master!$N$38,IF($S618&lt;&gt;"",Master!$N$39,IF($C618&lt;&gt;"",Master!$N$40,Master!$N$41))))</f>
        <v>起票</v>
      </c>
      <c r="O618" s="412" t="str">
        <f>IF($N618=Master!$N$37,MAX($S618,$AC618,$AI618),"")</f>
        <v/>
      </c>
      <c r="P618" s="413"/>
      <c r="Q618" s="414"/>
      <c r="R618" s="409"/>
      <c r="S618" s="404"/>
      <c r="T618" s="418"/>
      <c r="U618" s="415"/>
      <c r="V618" s="409"/>
      <c r="W618" s="419"/>
      <c r="X618" s="419"/>
      <c r="Y618" s="416"/>
      <c r="Z618" s="417"/>
      <c r="AA618" s="418"/>
      <c r="AB618" s="419"/>
      <c r="AC618" s="404"/>
      <c r="AD618" s="404"/>
      <c r="AE618" s="420"/>
      <c r="AF618" s="421"/>
      <c r="AG618" s="418"/>
      <c r="AH618" s="409"/>
      <c r="AI618" s="404"/>
      <c r="AJ618" s="416"/>
      <c r="AK618" s="453"/>
      <c r="AL618" s="422"/>
      <c r="AM618" s="423"/>
      <c r="AO618" s="137" t="e">
        <f t="shared" si="77"/>
        <v>#N/A</v>
      </c>
      <c r="AP618" s="138" t="e">
        <f t="shared" si="78"/>
        <v>#N/A</v>
      </c>
      <c r="AQ618" s="138" t="e">
        <f t="shared" si="79"/>
        <v>#N/A</v>
      </c>
      <c r="AR618" s="138" t="e">
        <f t="shared" si="80"/>
        <v>#N/A</v>
      </c>
      <c r="AS618" s="138" t="e">
        <f t="shared" si="81"/>
        <v>#N/A</v>
      </c>
      <c r="AT618" s="139" t="e">
        <f t="shared" si="82"/>
        <v>#N/A</v>
      </c>
      <c r="BB618" s="16" t="s">
        <v>596</v>
      </c>
    </row>
    <row r="619" spans="1:54" ht="54" customHeight="1">
      <c r="A619" s="428">
        <f t="shared" si="76"/>
        <v>611</v>
      </c>
      <c r="B619" s="403"/>
      <c r="C619" s="404"/>
      <c r="D619" s="405"/>
      <c r="E619" s="405"/>
      <c r="F619" s="405"/>
      <c r="G619" s="405"/>
      <c r="H619" s="406"/>
      <c r="I619" s="407"/>
      <c r="J619" s="408"/>
      <c r="K619" s="409"/>
      <c r="L619" s="410"/>
      <c r="M619" s="404"/>
      <c r="N619" s="411" t="str">
        <f>IF($AI619&lt;&gt;"",Master!$N$37,IF($AC619&lt;&gt;"",Master!$N$38,IF($S619&lt;&gt;"",Master!$N$39,IF($C619&lt;&gt;"",Master!$N$40,Master!$N$41))))</f>
        <v>起票</v>
      </c>
      <c r="O619" s="412" t="str">
        <f>IF($N619=Master!$N$37,MAX($S619,$AC619,$AI619),"")</f>
        <v/>
      </c>
      <c r="P619" s="413"/>
      <c r="Q619" s="414"/>
      <c r="R619" s="409"/>
      <c r="S619" s="404"/>
      <c r="T619" s="418"/>
      <c r="U619" s="415"/>
      <c r="V619" s="409"/>
      <c r="W619" s="419"/>
      <c r="X619" s="419"/>
      <c r="Y619" s="416"/>
      <c r="Z619" s="417"/>
      <c r="AA619" s="418"/>
      <c r="AB619" s="419"/>
      <c r="AC619" s="404"/>
      <c r="AD619" s="404"/>
      <c r="AE619" s="420"/>
      <c r="AF619" s="421"/>
      <c r="AG619" s="418"/>
      <c r="AH619" s="409"/>
      <c r="AI619" s="404"/>
      <c r="AJ619" s="416"/>
      <c r="AK619" s="453"/>
      <c r="AL619" s="422"/>
      <c r="AM619" s="423"/>
      <c r="AO619" s="137" t="e">
        <f t="shared" si="77"/>
        <v>#N/A</v>
      </c>
      <c r="AP619" s="138" t="e">
        <f t="shared" si="78"/>
        <v>#N/A</v>
      </c>
      <c r="AQ619" s="138" t="e">
        <f t="shared" si="79"/>
        <v>#N/A</v>
      </c>
      <c r="AR619" s="138" t="e">
        <f t="shared" si="80"/>
        <v>#N/A</v>
      </c>
      <c r="AS619" s="138" t="e">
        <f t="shared" si="81"/>
        <v>#N/A</v>
      </c>
      <c r="AT619" s="139" t="e">
        <f t="shared" si="82"/>
        <v>#N/A</v>
      </c>
      <c r="BB619" s="16" t="s">
        <v>596</v>
      </c>
    </row>
    <row r="620" spans="1:54" ht="54" customHeight="1">
      <c r="A620" s="428">
        <f t="shared" si="76"/>
        <v>612</v>
      </c>
      <c r="B620" s="294"/>
      <c r="C620" s="201"/>
      <c r="D620" s="290"/>
      <c r="E620" s="301"/>
      <c r="F620" s="301"/>
      <c r="G620" s="290"/>
      <c r="H620" s="291"/>
      <c r="I620" s="292"/>
      <c r="J620" s="61"/>
      <c r="K620" s="57"/>
      <c r="L620" s="303"/>
      <c r="M620" s="201"/>
      <c r="N620" s="84" t="str">
        <f>IF($AI620&lt;&gt;"",Master!$N$37,IF($AC620&lt;&gt;"",Master!$N$38,IF($S620&lt;&gt;"",Master!$N$39,IF($C620&lt;&gt;"",Master!$N$40,Master!$N$41))))</f>
        <v>起票</v>
      </c>
      <c r="O620" s="202" t="str">
        <f>IF($N620=Master!$N$37,MAX($S620,$AC620,$AI620),"")</f>
        <v/>
      </c>
      <c r="P620" s="65"/>
      <c r="Q620" s="203"/>
      <c r="R620" s="57"/>
      <c r="S620" s="203"/>
      <c r="T620" s="310"/>
      <c r="U620" s="289"/>
      <c r="V620" s="57"/>
      <c r="W620" s="288"/>
      <c r="X620" s="288"/>
      <c r="Y620" s="296"/>
      <c r="Z620" s="57"/>
      <c r="AA620" s="203"/>
      <c r="AB620" s="288"/>
      <c r="AC620" s="201"/>
      <c r="AD620" s="298"/>
      <c r="AE620" s="297"/>
      <c r="AF620" s="58"/>
      <c r="AG620" s="204"/>
      <c r="AH620" s="57"/>
      <c r="AI620" s="201"/>
      <c r="AJ620" s="287"/>
      <c r="AK620" s="452"/>
      <c r="AL620" s="59"/>
      <c r="AM620" s="60"/>
      <c r="AO620" s="137" t="e">
        <f t="shared" si="77"/>
        <v>#N/A</v>
      </c>
      <c r="AP620" s="138" t="e">
        <f t="shared" si="78"/>
        <v>#N/A</v>
      </c>
      <c r="AQ620" s="138" t="e">
        <f t="shared" si="79"/>
        <v>#N/A</v>
      </c>
      <c r="AR620" s="138" t="e">
        <f t="shared" si="80"/>
        <v>#N/A</v>
      </c>
      <c r="AS620" s="138" t="e">
        <f t="shared" si="81"/>
        <v>#N/A</v>
      </c>
      <c r="AT620" s="139" t="e">
        <f t="shared" si="82"/>
        <v>#N/A</v>
      </c>
      <c r="BB620" s="16" t="s">
        <v>596</v>
      </c>
    </row>
    <row r="621" spans="1:54" ht="54" customHeight="1">
      <c r="A621" s="428">
        <f t="shared" si="76"/>
        <v>613</v>
      </c>
      <c r="B621" s="294"/>
      <c r="C621" s="201"/>
      <c r="D621" s="290"/>
      <c r="E621" s="301"/>
      <c r="F621" s="301"/>
      <c r="G621" s="290"/>
      <c r="H621" s="291"/>
      <c r="I621" s="292"/>
      <c r="J621" s="61"/>
      <c r="K621" s="57"/>
      <c r="L621" s="303"/>
      <c r="M621" s="201"/>
      <c r="N621" s="84" t="str">
        <f>IF($AI621&lt;&gt;"",Master!$N$37,IF($AC621&lt;&gt;"",Master!$N$38,IF($S621&lt;&gt;"",Master!$N$39,IF($C621&lt;&gt;"",Master!$N$40,Master!$N$41))))</f>
        <v>起票</v>
      </c>
      <c r="O621" s="202" t="str">
        <f>IF($N621=Master!$N$37,MAX($S621,$AC621,$AI621),"")</f>
        <v/>
      </c>
      <c r="P621" s="65"/>
      <c r="Q621" s="203"/>
      <c r="R621" s="57"/>
      <c r="S621" s="203"/>
      <c r="T621" s="310"/>
      <c r="U621" s="289"/>
      <c r="V621" s="57"/>
      <c r="W621" s="288"/>
      <c r="X621" s="288"/>
      <c r="Y621" s="296"/>
      <c r="Z621" s="57"/>
      <c r="AA621" s="203"/>
      <c r="AB621" s="288"/>
      <c r="AC621" s="201"/>
      <c r="AD621" s="298"/>
      <c r="AE621" s="297"/>
      <c r="AF621" s="58"/>
      <c r="AG621" s="204"/>
      <c r="AH621" s="57"/>
      <c r="AI621" s="201"/>
      <c r="AJ621" s="287"/>
      <c r="AK621" s="452"/>
      <c r="AL621" s="59"/>
      <c r="AM621" s="60"/>
      <c r="AO621" s="137" t="e">
        <f t="shared" si="77"/>
        <v>#N/A</v>
      </c>
      <c r="AP621" s="138" t="e">
        <f t="shared" si="78"/>
        <v>#N/A</v>
      </c>
      <c r="AQ621" s="138" t="e">
        <f t="shared" si="79"/>
        <v>#N/A</v>
      </c>
      <c r="AR621" s="138" t="e">
        <f t="shared" si="80"/>
        <v>#N/A</v>
      </c>
      <c r="AS621" s="138" t="e">
        <f t="shared" si="81"/>
        <v>#N/A</v>
      </c>
      <c r="AT621" s="139" t="e">
        <f t="shared" si="82"/>
        <v>#N/A</v>
      </c>
      <c r="BB621" s="16" t="s">
        <v>596</v>
      </c>
    </row>
    <row r="622" spans="1:54" ht="99.75" customHeight="1">
      <c r="A622" s="428">
        <f t="shared" si="76"/>
        <v>614</v>
      </c>
      <c r="B622" s="403"/>
      <c r="C622" s="404"/>
      <c r="D622" s="405"/>
      <c r="E622" s="405"/>
      <c r="F622" s="405"/>
      <c r="G622" s="405"/>
      <c r="H622" s="406"/>
      <c r="I622" s="407"/>
      <c r="J622" s="408"/>
      <c r="K622" s="409"/>
      <c r="L622" s="410"/>
      <c r="M622" s="404"/>
      <c r="N622" s="411" t="str">
        <f>IF($AI622&lt;&gt;"",Master!$N$37,IF($AC622&lt;&gt;"",Master!$N$38,IF($S622&lt;&gt;"",Master!$N$39,IF($C622&lt;&gt;"",Master!$N$40,Master!$N$41))))</f>
        <v>起票</v>
      </c>
      <c r="O622" s="412" t="str">
        <f>IF($N622=Master!$N$37,MAX($S622,$AC622,$AI622),"")</f>
        <v/>
      </c>
      <c r="P622" s="413"/>
      <c r="Q622" s="414"/>
      <c r="R622" s="409"/>
      <c r="S622" s="404"/>
      <c r="T622" s="418"/>
      <c r="U622" s="415"/>
      <c r="V622" s="409"/>
      <c r="W622" s="419"/>
      <c r="X622" s="419"/>
      <c r="Y622" s="416"/>
      <c r="Z622" s="417"/>
      <c r="AA622" s="418"/>
      <c r="AB622" s="419"/>
      <c r="AC622" s="404"/>
      <c r="AD622" s="404"/>
      <c r="AE622" s="420"/>
      <c r="AF622" s="421"/>
      <c r="AG622" s="418"/>
      <c r="AH622" s="409"/>
      <c r="AI622" s="404"/>
      <c r="AJ622" s="416"/>
      <c r="AK622" s="453"/>
      <c r="AL622" s="422"/>
      <c r="AM622" s="423"/>
      <c r="AO622" s="137" t="e">
        <f t="shared" si="77"/>
        <v>#N/A</v>
      </c>
      <c r="AP622" s="138" t="e">
        <f t="shared" si="78"/>
        <v>#N/A</v>
      </c>
      <c r="AQ622" s="138" t="e">
        <f t="shared" si="79"/>
        <v>#N/A</v>
      </c>
      <c r="AR622" s="138" t="e">
        <f t="shared" si="80"/>
        <v>#N/A</v>
      </c>
      <c r="AS622" s="138" t="e">
        <f t="shared" si="81"/>
        <v>#N/A</v>
      </c>
      <c r="AT622" s="139" t="e">
        <f t="shared" si="82"/>
        <v>#N/A</v>
      </c>
      <c r="BB622" s="16" t="s">
        <v>596</v>
      </c>
    </row>
    <row r="623" spans="1:54" ht="93.75" customHeight="1">
      <c r="A623" s="428">
        <f t="shared" si="76"/>
        <v>615</v>
      </c>
      <c r="B623" s="403"/>
      <c r="C623" s="404"/>
      <c r="D623" s="405"/>
      <c r="E623" s="405"/>
      <c r="F623" s="405"/>
      <c r="G623" s="405"/>
      <c r="H623" s="406"/>
      <c r="I623" s="407"/>
      <c r="J623" s="408"/>
      <c r="K623" s="409"/>
      <c r="L623" s="410"/>
      <c r="M623" s="404"/>
      <c r="N623" s="411" t="str">
        <f>IF($AI623&lt;&gt;"",Master!$N$37,IF($AC623&lt;&gt;"",Master!$N$38,IF($S623&lt;&gt;"",Master!$N$39,IF($C623&lt;&gt;"",Master!$N$40,Master!$N$41))))</f>
        <v>起票</v>
      </c>
      <c r="O623" s="412" t="str">
        <f>IF($N623=Master!$N$37,MAX($S623,$AC623,$AI623),"")</f>
        <v/>
      </c>
      <c r="P623" s="413"/>
      <c r="Q623" s="414"/>
      <c r="R623" s="409"/>
      <c r="S623" s="404"/>
      <c r="T623" s="418"/>
      <c r="U623" s="415"/>
      <c r="V623" s="409"/>
      <c r="W623" s="419"/>
      <c r="X623" s="419"/>
      <c r="Y623" s="416"/>
      <c r="Z623" s="417"/>
      <c r="AA623" s="418"/>
      <c r="AB623" s="419"/>
      <c r="AC623" s="404"/>
      <c r="AD623" s="404"/>
      <c r="AE623" s="420"/>
      <c r="AF623" s="421"/>
      <c r="AG623" s="418"/>
      <c r="AH623" s="409"/>
      <c r="AI623" s="404"/>
      <c r="AJ623" s="416"/>
      <c r="AK623" s="453"/>
      <c r="AL623" s="422"/>
      <c r="AM623" s="423"/>
      <c r="AO623" s="137" t="e">
        <f t="shared" si="77"/>
        <v>#N/A</v>
      </c>
      <c r="AP623" s="138" t="e">
        <f t="shared" si="78"/>
        <v>#N/A</v>
      </c>
      <c r="AQ623" s="138" t="e">
        <f t="shared" si="79"/>
        <v>#N/A</v>
      </c>
      <c r="AR623" s="138" t="e">
        <f t="shared" si="80"/>
        <v>#N/A</v>
      </c>
      <c r="AS623" s="138" t="e">
        <f t="shared" si="81"/>
        <v>#N/A</v>
      </c>
      <c r="AT623" s="139" t="e">
        <f t="shared" si="82"/>
        <v>#N/A</v>
      </c>
      <c r="BB623" s="16" t="s">
        <v>596</v>
      </c>
    </row>
    <row r="624" spans="1:54" ht="110.25" customHeight="1">
      <c r="A624" s="428">
        <f t="shared" si="76"/>
        <v>616</v>
      </c>
      <c r="B624" s="403"/>
      <c r="C624" s="404"/>
      <c r="D624" s="405"/>
      <c r="E624" s="405"/>
      <c r="F624" s="405"/>
      <c r="G624" s="405"/>
      <c r="H624" s="406"/>
      <c r="I624" s="407"/>
      <c r="J624" s="408"/>
      <c r="K624" s="409"/>
      <c r="L624" s="410"/>
      <c r="M624" s="404"/>
      <c r="N624" s="411" t="str">
        <f>IF($AI624&lt;&gt;"",Master!$N$37,IF($AC624&lt;&gt;"",Master!$N$38,IF($S624&lt;&gt;"",Master!$N$39,IF($C624&lt;&gt;"",Master!$N$40,Master!$N$41))))</f>
        <v>起票</v>
      </c>
      <c r="O624" s="412" t="str">
        <f>IF($N624=Master!$N$37,MAX($S624,$AC624,$AI624),"")</f>
        <v/>
      </c>
      <c r="P624" s="413"/>
      <c r="Q624" s="414"/>
      <c r="R624" s="409"/>
      <c r="S624" s="404"/>
      <c r="T624" s="418"/>
      <c r="U624" s="415"/>
      <c r="V624" s="409"/>
      <c r="W624" s="419"/>
      <c r="X624" s="419"/>
      <c r="Y624" s="416"/>
      <c r="Z624" s="417"/>
      <c r="AA624" s="418"/>
      <c r="AB624" s="419"/>
      <c r="AC624" s="404"/>
      <c r="AD624" s="404"/>
      <c r="AE624" s="420"/>
      <c r="AF624" s="421"/>
      <c r="AG624" s="418"/>
      <c r="AH624" s="409"/>
      <c r="AI624" s="404"/>
      <c r="AJ624" s="416"/>
      <c r="AK624" s="453"/>
      <c r="AL624" s="422"/>
      <c r="AM624" s="423"/>
      <c r="AO624" s="137" t="e">
        <f t="shared" si="77"/>
        <v>#N/A</v>
      </c>
      <c r="AP624" s="138" t="e">
        <f t="shared" si="78"/>
        <v>#N/A</v>
      </c>
      <c r="AQ624" s="138" t="e">
        <f t="shared" si="79"/>
        <v>#N/A</v>
      </c>
      <c r="AR624" s="138" t="e">
        <f t="shared" si="80"/>
        <v>#N/A</v>
      </c>
      <c r="AS624" s="138" t="e">
        <f t="shared" si="81"/>
        <v>#N/A</v>
      </c>
      <c r="AT624" s="139" t="e">
        <f t="shared" si="82"/>
        <v>#N/A</v>
      </c>
      <c r="BB624" s="16" t="s">
        <v>596</v>
      </c>
    </row>
    <row r="625" spans="1:54" ht="54" customHeight="1">
      <c r="A625" s="428">
        <f t="shared" si="76"/>
        <v>617</v>
      </c>
      <c r="B625" s="294"/>
      <c r="C625" s="201"/>
      <c r="D625" s="290"/>
      <c r="E625" s="301"/>
      <c r="F625" s="301"/>
      <c r="G625" s="290"/>
      <c r="H625" s="291"/>
      <c r="I625" s="292"/>
      <c r="J625" s="61"/>
      <c r="K625" s="57"/>
      <c r="L625" s="303"/>
      <c r="M625" s="201"/>
      <c r="N625" s="84" t="str">
        <f>IF($AI625&lt;&gt;"",Master!$N$37,IF($AC625&lt;&gt;"",Master!$N$38,IF($S625&lt;&gt;"",Master!$N$39,IF($C625&lt;&gt;"",Master!$N$40,Master!$N$41))))</f>
        <v>起票</v>
      </c>
      <c r="O625" s="202" t="str">
        <f>IF($N625=Master!$N$37,MAX($S625,$AC625,$AI625),"")</f>
        <v/>
      </c>
      <c r="P625" s="65"/>
      <c r="Q625" s="203"/>
      <c r="R625" s="57"/>
      <c r="S625" s="203"/>
      <c r="T625" s="310"/>
      <c r="U625" s="289"/>
      <c r="V625" s="57"/>
      <c r="W625" s="288"/>
      <c r="X625" s="288"/>
      <c r="Y625" s="296"/>
      <c r="Z625" s="57"/>
      <c r="AA625" s="203"/>
      <c r="AB625" s="288"/>
      <c r="AC625" s="201"/>
      <c r="AD625" s="298"/>
      <c r="AE625" s="297"/>
      <c r="AF625" s="58"/>
      <c r="AG625" s="204"/>
      <c r="AH625" s="57"/>
      <c r="AI625" s="201"/>
      <c r="AJ625" s="287"/>
      <c r="AK625" s="452"/>
      <c r="AL625" s="59"/>
      <c r="AM625" s="60"/>
      <c r="AO625" s="137" t="e">
        <f t="shared" si="77"/>
        <v>#N/A</v>
      </c>
      <c r="AP625" s="138" t="e">
        <f t="shared" si="78"/>
        <v>#N/A</v>
      </c>
      <c r="AQ625" s="138" t="e">
        <f t="shared" si="79"/>
        <v>#N/A</v>
      </c>
      <c r="AR625" s="138" t="e">
        <f t="shared" si="80"/>
        <v>#N/A</v>
      </c>
      <c r="AS625" s="138" t="e">
        <f t="shared" si="81"/>
        <v>#N/A</v>
      </c>
      <c r="AT625" s="139" t="e">
        <f t="shared" si="82"/>
        <v>#N/A</v>
      </c>
      <c r="BB625" s="16" t="s">
        <v>596</v>
      </c>
    </row>
    <row r="626" spans="1:54" ht="75.75" customHeight="1">
      <c r="A626" s="428">
        <f t="shared" si="76"/>
        <v>618</v>
      </c>
      <c r="B626" s="294"/>
      <c r="C626" s="201"/>
      <c r="D626" s="290"/>
      <c r="E626" s="301"/>
      <c r="F626" s="301"/>
      <c r="G626" s="290"/>
      <c r="H626" s="291"/>
      <c r="I626" s="292"/>
      <c r="J626" s="61"/>
      <c r="K626" s="57"/>
      <c r="L626" s="303"/>
      <c r="M626" s="201"/>
      <c r="N626" s="84" t="str">
        <f>IF($AI626&lt;&gt;"",Master!$N$37,IF($AC626&lt;&gt;"",Master!$N$38,IF($S626&lt;&gt;"",Master!$N$39,IF($C626&lt;&gt;"",Master!$N$40,Master!$N$41))))</f>
        <v>起票</v>
      </c>
      <c r="O626" s="202" t="str">
        <f>IF($N626=Master!$N$37,MAX($S626,$AC626,$AI626),"")</f>
        <v/>
      </c>
      <c r="P626" s="65"/>
      <c r="Q626" s="203"/>
      <c r="R626" s="57"/>
      <c r="S626" s="203"/>
      <c r="T626" s="310"/>
      <c r="U626" s="289"/>
      <c r="V626" s="57"/>
      <c r="W626" s="288"/>
      <c r="X626" s="288"/>
      <c r="Y626" s="296"/>
      <c r="Z626" s="57"/>
      <c r="AA626" s="203"/>
      <c r="AB626" s="288"/>
      <c r="AC626" s="201"/>
      <c r="AD626" s="298"/>
      <c r="AE626" s="297"/>
      <c r="AF626" s="58"/>
      <c r="AG626" s="204"/>
      <c r="AH626" s="57"/>
      <c r="AI626" s="201"/>
      <c r="AJ626" s="287"/>
      <c r="AK626" s="452"/>
      <c r="AL626" s="59"/>
      <c r="AM626" s="60"/>
      <c r="AO626" s="137" t="e">
        <f t="shared" si="77"/>
        <v>#N/A</v>
      </c>
      <c r="AP626" s="138" t="e">
        <f t="shared" si="78"/>
        <v>#N/A</v>
      </c>
      <c r="AQ626" s="138" t="e">
        <f t="shared" si="79"/>
        <v>#N/A</v>
      </c>
      <c r="AR626" s="138" t="e">
        <f t="shared" si="80"/>
        <v>#N/A</v>
      </c>
      <c r="AS626" s="138" t="e">
        <f t="shared" si="81"/>
        <v>#N/A</v>
      </c>
      <c r="AT626" s="139" t="e">
        <f t="shared" si="82"/>
        <v>#N/A</v>
      </c>
      <c r="BB626" s="16" t="s">
        <v>596</v>
      </c>
    </row>
    <row r="627" spans="1:54" ht="64.5" customHeight="1">
      <c r="A627" s="428">
        <f t="shared" si="76"/>
        <v>619</v>
      </c>
      <c r="B627" s="403"/>
      <c r="C627" s="404"/>
      <c r="D627" s="405"/>
      <c r="E627" s="405"/>
      <c r="F627" s="405"/>
      <c r="G627" s="405"/>
      <c r="H627" s="406"/>
      <c r="I627" s="407"/>
      <c r="J627" s="408"/>
      <c r="K627" s="409"/>
      <c r="L627" s="410"/>
      <c r="M627" s="404"/>
      <c r="N627" s="411" t="str">
        <f>IF($AI627&lt;&gt;"",Master!$N$37,IF($AC627&lt;&gt;"",Master!$N$38,IF($S627&lt;&gt;"",Master!$N$39,IF($C627&lt;&gt;"",Master!$N$40,Master!$N$41))))</f>
        <v>起票</v>
      </c>
      <c r="O627" s="412" t="str">
        <f>IF($N627=Master!$N$37,MAX($S627,$AC627,$AI627),"")</f>
        <v/>
      </c>
      <c r="P627" s="413"/>
      <c r="Q627" s="414"/>
      <c r="R627" s="409"/>
      <c r="S627" s="404"/>
      <c r="T627" s="418"/>
      <c r="U627" s="415"/>
      <c r="V627" s="409"/>
      <c r="W627" s="419"/>
      <c r="X627" s="419"/>
      <c r="Y627" s="416"/>
      <c r="Z627" s="417"/>
      <c r="AA627" s="418"/>
      <c r="AB627" s="419"/>
      <c r="AC627" s="404"/>
      <c r="AD627" s="404"/>
      <c r="AE627" s="420"/>
      <c r="AF627" s="421"/>
      <c r="AG627" s="418"/>
      <c r="AH627" s="409"/>
      <c r="AI627" s="404"/>
      <c r="AJ627" s="416"/>
      <c r="AK627" s="453"/>
      <c r="AL627" s="422"/>
      <c r="AM627" s="423"/>
      <c r="AO627" s="137" t="e">
        <f t="shared" si="77"/>
        <v>#N/A</v>
      </c>
      <c r="AP627" s="138" t="e">
        <f t="shared" si="78"/>
        <v>#N/A</v>
      </c>
      <c r="AQ627" s="138" t="e">
        <f t="shared" si="79"/>
        <v>#N/A</v>
      </c>
      <c r="AR627" s="138" t="e">
        <f t="shared" si="80"/>
        <v>#N/A</v>
      </c>
      <c r="AS627" s="138" t="e">
        <f t="shared" si="81"/>
        <v>#N/A</v>
      </c>
      <c r="AT627" s="139" t="e">
        <f t="shared" si="82"/>
        <v>#N/A</v>
      </c>
      <c r="BB627" s="16" t="s">
        <v>596</v>
      </c>
    </row>
    <row r="628" spans="1:54" ht="67.5" customHeight="1">
      <c r="A628" s="428">
        <f t="shared" si="76"/>
        <v>620</v>
      </c>
      <c r="B628" s="403"/>
      <c r="C628" s="404"/>
      <c r="D628" s="405"/>
      <c r="E628" s="405"/>
      <c r="F628" s="405"/>
      <c r="G628" s="405"/>
      <c r="H628" s="406"/>
      <c r="I628" s="407"/>
      <c r="J628" s="408"/>
      <c r="K628" s="409"/>
      <c r="L628" s="410"/>
      <c r="M628" s="404"/>
      <c r="N628" s="411" t="str">
        <f>IF($AI628&lt;&gt;"",Master!$N$37,IF($AC628&lt;&gt;"",Master!$N$38,IF($S628&lt;&gt;"",Master!$N$39,IF($C628&lt;&gt;"",Master!$N$40,Master!$N$41))))</f>
        <v>起票</v>
      </c>
      <c r="O628" s="412" t="str">
        <f>IF($N628=Master!$N$37,MAX($S628,$AC628,$AI628),"")</f>
        <v/>
      </c>
      <c r="P628" s="413"/>
      <c r="Q628" s="414"/>
      <c r="R628" s="409"/>
      <c r="S628" s="404"/>
      <c r="T628" s="418"/>
      <c r="U628" s="415"/>
      <c r="V628" s="409"/>
      <c r="W628" s="419"/>
      <c r="X628" s="419"/>
      <c r="Y628" s="416"/>
      <c r="Z628" s="417"/>
      <c r="AA628" s="418"/>
      <c r="AB628" s="419"/>
      <c r="AC628" s="404"/>
      <c r="AD628" s="404"/>
      <c r="AE628" s="420"/>
      <c r="AF628" s="421"/>
      <c r="AG628" s="418"/>
      <c r="AH628" s="409"/>
      <c r="AI628" s="404"/>
      <c r="AJ628" s="416"/>
      <c r="AK628" s="453"/>
      <c r="AL628" s="422"/>
      <c r="AM628" s="423"/>
      <c r="AO628" s="137" t="e">
        <f t="shared" si="77"/>
        <v>#N/A</v>
      </c>
      <c r="AP628" s="138" t="e">
        <f t="shared" si="78"/>
        <v>#N/A</v>
      </c>
      <c r="AQ628" s="138" t="e">
        <f t="shared" si="79"/>
        <v>#N/A</v>
      </c>
      <c r="AR628" s="138" t="e">
        <f t="shared" si="80"/>
        <v>#N/A</v>
      </c>
      <c r="AS628" s="138" t="e">
        <f t="shared" si="81"/>
        <v>#N/A</v>
      </c>
      <c r="AT628" s="139" t="e">
        <f t="shared" si="82"/>
        <v>#N/A</v>
      </c>
      <c r="BB628" s="16" t="s">
        <v>596</v>
      </c>
    </row>
    <row r="629" spans="1:54" ht="76.5" customHeight="1">
      <c r="A629" s="428">
        <f t="shared" si="76"/>
        <v>621</v>
      </c>
      <c r="B629" s="403"/>
      <c r="C629" s="404"/>
      <c r="D629" s="405"/>
      <c r="E629" s="405"/>
      <c r="F629" s="405"/>
      <c r="G629" s="405"/>
      <c r="H629" s="406"/>
      <c r="I629" s="407"/>
      <c r="J629" s="408"/>
      <c r="K629" s="409"/>
      <c r="L629" s="410"/>
      <c r="M629" s="404"/>
      <c r="N629" s="411" t="str">
        <f>IF($AI629&lt;&gt;"",Master!$N$37,IF($AC629&lt;&gt;"",Master!$N$38,IF($S629&lt;&gt;"",Master!$N$39,IF($C629&lt;&gt;"",Master!$N$40,Master!$N$41))))</f>
        <v>起票</v>
      </c>
      <c r="O629" s="412" t="str">
        <f>IF($N629=Master!$N$37,MAX($S629,$AC629,$AI629),"")</f>
        <v/>
      </c>
      <c r="P629" s="413"/>
      <c r="Q629" s="414"/>
      <c r="R629" s="409"/>
      <c r="S629" s="404"/>
      <c r="T629" s="418"/>
      <c r="U629" s="415"/>
      <c r="V629" s="409"/>
      <c r="W629" s="419"/>
      <c r="X629" s="419"/>
      <c r="Y629" s="416"/>
      <c r="Z629" s="417"/>
      <c r="AA629" s="418"/>
      <c r="AB629" s="419"/>
      <c r="AC629" s="404"/>
      <c r="AD629" s="404"/>
      <c r="AE629" s="420"/>
      <c r="AF629" s="421"/>
      <c r="AG629" s="418"/>
      <c r="AH629" s="409"/>
      <c r="AI629" s="404"/>
      <c r="AJ629" s="416"/>
      <c r="AK629" s="453"/>
      <c r="AL629" s="422"/>
      <c r="AM629" s="423"/>
      <c r="AO629" s="137" t="e">
        <f t="shared" si="77"/>
        <v>#N/A</v>
      </c>
      <c r="AP629" s="138" t="e">
        <f t="shared" si="78"/>
        <v>#N/A</v>
      </c>
      <c r="AQ629" s="138" t="e">
        <f t="shared" si="79"/>
        <v>#N/A</v>
      </c>
      <c r="AR629" s="138" t="e">
        <f t="shared" si="80"/>
        <v>#N/A</v>
      </c>
      <c r="AS629" s="138" t="e">
        <f t="shared" si="81"/>
        <v>#N/A</v>
      </c>
      <c r="AT629" s="139" t="e">
        <f t="shared" si="82"/>
        <v>#N/A</v>
      </c>
      <c r="BB629" s="16" t="s">
        <v>596</v>
      </c>
    </row>
    <row r="630" spans="1:54" ht="54" customHeight="1">
      <c r="A630" s="428">
        <f t="shared" si="76"/>
        <v>622</v>
      </c>
      <c r="B630" s="294"/>
      <c r="C630" s="201"/>
      <c r="D630" s="290"/>
      <c r="E630" s="301"/>
      <c r="F630" s="301"/>
      <c r="G630" s="290"/>
      <c r="H630" s="291"/>
      <c r="I630" s="292"/>
      <c r="J630" s="61"/>
      <c r="K630" s="57"/>
      <c r="L630" s="303"/>
      <c r="M630" s="201"/>
      <c r="N630" s="84" t="str">
        <f>IF($AI630&lt;&gt;"",Master!$N$37,IF($AC630&lt;&gt;"",Master!$N$38,IF($S630&lt;&gt;"",Master!$N$39,IF($C630&lt;&gt;"",Master!$N$40,Master!$N$41))))</f>
        <v>起票</v>
      </c>
      <c r="O630" s="202" t="str">
        <f>IF($N630=Master!$N$37,MAX($S630,$AC630,$AI630),"")</f>
        <v/>
      </c>
      <c r="P630" s="65"/>
      <c r="Q630" s="203"/>
      <c r="R630" s="57"/>
      <c r="S630" s="203"/>
      <c r="T630" s="310"/>
      <c r="U630" s="289"/>
      <c r="V630" s="57"/>
      <c r="W630" s="288"/>
      <c r="X630" s="288"/>
      <c r="Y630" s="296"/>
      <c r="Z630" s="57"/>
      <c r="AA630" s="203"/>
      <c r="AB630" s="288"/>
      <c r="AC630" s="201"/>
      <c r="AD630" s="298"/>
      <c r="AE630" s="297"/>
      <c r="AF630" s="58"/>
      <c r="AG630" s="204"/>
      <c r="AH630" s="57"/>
      <c r="AI630" s="201"/>
      <c r="AJ630" s="287"/>
      <c r="AK630" s="452"/>
      <c r="AL630" s="59"/>
      <c r="AM630" s="60"/>
      <c r="AO630" s="137" t="e">
        <f t="shared" si="77"/>
        <v>#N/A</v>
      </c>
      <c r="AP630" s="138" t="e">
        <f t="shared" si="78"/>
        <v>#N/A</v>
      </c>
      <c r="AQ630" s="138" t="e">
        <f t="shared" si="79"/>
        <v>#N/A</v>
      </c>
      <c r="AR630" s="138" t="e">
        <f t="shared" si="80"/>
        <v>#N/A</v>
      </c>
      <c r="AS630" s="138" t="e">
        <f t="shared" si="81"/>
        <v>#N/A</v>
      </c>
      <c r="AT630" s="139" t="e">
        <f t="shared" si="82"/>
        <v>#N/A</v>
      </c>
      <c r="BB630" s="16" t="s">
        <v>596</v>
      </c>
    </row>
    <row r="631" spans="1:54" ht="54" customHeight="1">
      <c r="A631" s="428">
        <f t="shared" si="76"/>
        <v>623</v>
      </c>
      <c r="B631" s="294"/>
      <c r="C631" s="201"/>
      <c r="D631" s="290"/>
      <c r="E631" s="301"/>
      <c r="F631" s="301"/>
      <c r="G631" s="290"/>
      <c r="H631" s="291"/>
      <c r="I631" s="292"/>
      <c r="J631" s="61"/>
      <c r="K631" s="57"/>
      <c r="L631" s="303"/>
      <c r="M631" s="201"/>
      <c r="N631" s="84" t="str">
        <f>IF($AI631&lt;&gt;"",Master!$N$37,IF($AC631&lt;&gt;"",Master!$N$38,IF($S631&lt;&gt;"",Master!$N$39,IF($C631&lt;&gt;"",Master!$N$40,Master!$N$41))))</f>
        <v>起票</v>
      </c>
      <c r="O631" s="202" t="str">
        <f>IF($N631=Master!$N$37,MAX($S631,$AC631,$AI631),"")</f>
        <v/>
      </c>
      <c r="P631" s="65"/>
      <c r="Q631" s="203"/>
      <c r="R631" s="57"/>
      <c r="S631" s="203"/>
      <c r="T631" s="310"/>
      <c r="U631" s="289"/>
      <c r="V631" s="57"/>
      <c r="W631" s="288"/>
      <c r="X631" s="288"/>
      <c r="Y631" s="296"/>
      <c r="Z631" s="57"/>
      <c r="AA631" s="203"/>
      <c r="AB631" s="288"/>
      <c r="AC631" s="201"/>
      <c r="AD631" s="298"/>
      <c r="AE631" s="297"/>
      <c r="AF631" s="58"/>
      <c r="AG631" s="204"/>
      <c r="AH631" s="57"/>
      <c r="AI631" s="201"/>
      <c r="AJ631" s="287"/>
      <c r="AK631" s="452"/>
      <c r="AL631" s="59"/>
      <c r="AM631" s="60"/>
      <c r="AO631" s="137" t="e">
        <f t="shared" si="77"/>
        <v>#N/A</v>
      </c>
      <c r="AP631" s="138" t="e">
        <f t="shared" si="78"/>
        <v>#N/A</v>
      </c>
      <c r="AQ631" s="138" t="e">
        <f t="shared" si="79"/>
        <v>#N/A</v>
      </c>
      <c r="AR631" s="138" t="e">
        <f t="shared" si="80"/>
        <v>#N/A</v>
      </c>
      <c r="AS631" s="138" t="e">
        <f t="shared" si="81"/>
        <v>#N/A</v>
      </c>
      <c r="AT631" s="139" t="e">
        <f t="shared" si="82"/>
        <v>#N/A</v>
      </c>
      <c r="BB631" s="16" t="s">
        <v>596</v>
      </c>
    </row>
    <row r="632" spans="1:54" ht="54" customHeight="1">
      <c r="A632" s="428">
        <f t="shared" si="76"/>
        <v>624</v>
      </c>
      <c r="B632" s="403"/>
      <c r="C632" s="404"/>
      <c r="D632" s="405"/>
      <c r="E632" s="405"/>
      <c r="F632" s="405"/>
      <c r="G632" s="405"/>
      <c r="H632" s="406"/>
      <c r="I632" s="407"/>
      <c r="J632" s="408"/>
      <c r="K632" s="409"/>
      <c r="L632" s="410"/>
      <c r="M632" s="404"/>
      <c r="N632" s="411" t="str">
        <f>IF($AI632&lt;&gt;"",Master!$N$37,IF($AC632&lt;&gt;"",Master!$N$38,IF($S632&lt;&gt;"",Master!$N$39,IF($C632&lt;&gt;"",Master!$N$40,Master!$N$41))))</f>
        <v>起票</v>
      </c>
      <c r="O632" s="412" t="str">
        <f>IF($N632=Master!$N$37,MAX($S632,$AC632,$AI632),"")</f>
        <v/>
      </c>
      <c r="P632" s="413"/>
      <c r="Q632" s="414"/>
      <c r="R632" s="409"/>
      <c r="S632" s="404"/>
      <c r="T632" s="418"/>
      <c r="U632" s="415"/>
      <c r="V632" s="409"/>
      <c r="W632" s="419"/>
      <c r="X632" s="419"/>
      <c r="Y632" s="416"/>
      <c r="Z632" s="417"/>
      <c r="AA632" s="418"/>
      <c r="AB632" s="419"/>
      <c r="AC632" s="404"/>
      <c r="AD632" s="404"/>
      <c r="AE632" s="420"/>
      <c r="AF632" s="421"/>
      <c r="AG632" s="418"/>
      <c r="AH632" s="409"/>
      <c r="AI632" s="404"/>
      <c r="AJ632" s="416"/>
      <c r="AK632" s="453"/>
      <c r="AL632" s="422"/>
      <c r="AM632" s="423"/>
      <c r="AO632" s="137" t="e">
        <f t="shared" si="77"/>
        <v>#N/A</v>
      </c>
      <c r="AP632" s="138" t="e">
        <f t="shared" si="78"/>
        <v>#N/A</v>
      </c>
      <c r="AQ632" s="138" t="e">
        <f t="shared" si="79"/>
        <v>#N/A</v>
      </c>
      <c r="AR632" s="138" t="e">
        <f t="shared" si="80"/>
        <v>#N/A</v>
      </c>
      <c r="AS632" s="138" t="e">
        <f t="shared" si="81"/>
        <v>#N/A</v>
      </c>
      <c r="AT632" s="139" t="e">
        <f t="shared" si="82"/>
        <v>#N/A</v>
      </c>
      <c r="BB632" s="16" t="s">
        <v>596</v>
      </c>
    </row>
    <row r="633" spans="1:54" ht="54" customHeight="1">
      <c r="A633" s="428">
        <f t="shared" si="76"/>
        <v>625</v>
      </c>
      <c r="B633" s="403"/>
      <c r="C633" s="404"/>
      <c r="D633" s="405"/>
      <c r="E633" s="405"/>
      <c r="F633" s="405"/>
      <c r="G633" s="405"/>
      <c r="H633" s="406"/>
      <c r="I633" s="407"/>
      <c r="J633" s="408"/>
      <c r="K633" s="409"/>
      <c r="L633" s="410"/>
      <c r="M633" s="404"/>
      <c r="N633" s="411" t="str">
        <f>IF($AI633&lt;&gt;"",Master!$N$37,IF($AC633&lt;&gt;"",Master!$N$38,IF($S633&lt;&gt;"",Master!$N$39,IF($C633&lt;&gt;"",Master!$N$40,Master!$N$41))))</f>
        <v>起票</v>
      </c>
      <c r="O633" s="412" t="str">
        <f>IF($N633=Master!$N$37,MAX($S633,$AC633,$AI633),"")</f>
        <v/>
      </c>
      <c r="P633" s="413"/>
      <c r="Q633" s="414"/>
      <c r="R633" s="409"/>
      <c r="S633" s="404"/>
      <c r="T633" s="418"/>
      <c r="U633" s="415"/>
      <c r="V633" s="409"/>
      <c r="W633" s="419"/>
      <c r="X633" s="419"/>
      <c r="Y633" s="416"/>
      <c r="Z633" s="417"/>
      <c r="AA633" s="418"/>
      <c r="AB633" s="419"/>
      <c r="AC633" s="404"/>
      <c r="AD633" s="404"/>
      <c r="AE633" s="420"/>
      <c r="AF633" s="421"/>
      <c r="AG633" s="418"/>
      <c r="AH633" s="409"/>
      <c r="AI633" s="404"/>
      <c r="AJ633" s="416"/>
      <c r="AK633" s="453"/>
      <c r="AL633" s="422"/>
      <c r="AM633" s="423"/>
      <c r="AO633" s="137" t="e">
        <f t="shared" si="77"/>
        <v>#N/A</v>
      </c>
      <c r="AP633" s="138" t="e">
        <f t="shared" si="78"/>
        <v>#N/A</v>
      </c>
      <c r="AQ633" s="138" t="e">
        <f t="shared" si="79"/>
        <v>#N/A</v>
      </c>
      <c r="AR633" s="138" t="e">
        <f t="shared" si="80"/>
        <v>#N/A</v>
      </c>
      <c r="AS633" s="138" t="e">
        <f t="shared" si="81"/>
        <v>#N/A</v>
      </c>
      <c r="AT633" s="139" t="e">
        <f t="shared" si="82"/>
        <v>#N/A</v>
      </c>
      <c r="BB633" s="16" t="s">
        <v>596</v>
      </c>
    </row>
    <row r="634" spans="1:54" ht="54" customHeight="1">
      <c r="A634" s="428">
        <f t="shared" si="76"/>
        <v>626</v>
      </c>
      <c r="B634" s="403"/>
      <c r="C634" s="404"/>
      <c r="D634" s="405"/>
      <c r="E634" s="405"/>
      <c r="F634" s="405"/>
      <c r="G634" s="405"/>
      <c r="H634" s="406"/>
      <c r="I634" s="407"/>
      <c r="J634" s="408"/>
      <c r="K634" s="409"/>
      <c r="L634" s="410"/>
      <c r="M634" s="404"/>
      <c r="N634" s="411" t="str">
        <f>IF($AI634&lt;&gt;"",Master!$N$37,IF($AC634&lt;&gt;"",Master!$N$38,IF($S634&lt;&gt;"",Master!$N$39,IF($C634&lt;&gt;"",Master!$N$40,Master!$N$41))))</f>
        <v>起票</v>
      </c>
      <c r="O634" s="412" t="str">
        <f>IF($N634=Master!$N$37,MAX($S634,$AC634,$AI634),"")</f>
        <v/>
      </c>
      <c r="P634" s="413"/>
      <c r="Q634" s="414"/>
      <c r="R634" s="409"/>
      <c r="S634" s="404"/>
      <c r="T634" s="418"/>
      <c r="U634" s="415"/>
      <c r="V634" s="409"/>
      <c r="W634" s="419"/>
      <c r="X634" s="419"/>
      <c r="Y634" s="416"/>
      <c r="Z634" s="417"/>
      <c r="AA634" s="418"/>
      <c r="AB634" s="419"/>
      <c r="AC634" s="404"/>
      <c r="AD634" s="404"/>
      <c r="AE634" s="420"/>
      <c r="AF634" s="421"/>
      <c r="AG634" s="418"/>
      <c r="AH634" s="409"/>
      <c r="AI634" s="404"/>
      <c r="AJ634" s="416"/>
      <c r="AK634" s="453"/>
      <c r="AL634" s="422"/>
      <c r="AM634" s="423"/>
      <c r="AO634" s="137" t="e">
        <f t="shared" si="77"/>
        <v>#N/A</v>
      </c>
      <c r="AP634" s="138" t="e">
        <f t="shared" si="78"/>
        <v>#N/A</v>
      </c>
      <c r="AQ634" s="138" t="e">
        <f t="shared" si="79"/>
        <v>#N/A</v>
      </c>
      <c r="AR634" s="138" t="e">
        <f t="shared" si="80"/>
        <v>#N/A</v>
      </c>
      <c r="AS634" s="138" t="e">
        <f t="shared" si="81"/>
        <v>#N/A</v>
      </c>
      <c r="AT634" s="139" t="e">
        <f t="shared" si="82"/>
        <v>#N/A</v>
      </c>
      <c r="BB634" s="16" t="s">
        <v>596</v>
      </c>
    </row>
    <row r="635" spans="1:54" ht="75.75" customHeight="1">
      <c r="A635" s="428">
        <f t="shared" si="76"/>
        <v>627</v>
      </c>
      <c r="B635" s="294"/>
      <c r="C635" s="201"/>
      <c r="D635" s="290"/>
      <c r="E635" s="301"/>
      <c r="F635" s="301"/>
      <c r="G635" s="290"/>
      <c r="H635" s="291"/>
      <c r="I635" s="292"/>
      <c r="J635" s="61"/>
      <c r="K635" s="57"/>
      <c r="L635" s="303"/>
      <c r="M635" s="201"/>
      <c r="N635" s="84" t="str">
        <f>IF($AI635&lt;&gt;"",Master!$N$37,IF($AC635&lt;&gt;"",Master!$N$38,IF($S635&lt;&gt;"",Master!$N$39,IF($C635&lt;&gt;"",Master!$N$40,Master!$N$41))))</f>
        <v>起票</v>
      </c>
      <c r="O635" s="202" t="str">
        <f>IF($N635=Master!$N$37,MAX($S635,$AC635,$AI635),"")</f>
        <v/>
      </c>
      <c r="P635" s="65"/>
      <c r="Q635" s="203"/>
      <c r="R635" s="57"/>
      <c r="S635" s="203"/>
      <c r="T635" s="310"/>
      <c r="U635" s="289"/>
      <c r="V635" s="57"/>
      <c r="W635" s="288"/>
      <c r="X635" s="288"/>
      <c r="Y635" s="296"/>
      <c r="Z635" s="57"/>
      <c r="AA635" s="203"/>
      <c r="AB635" s="288"/>
      <c r="AC635" s="201"/>
      <c r="AD635" s="298"/>
      <c r="AE635" s="297"/>
      <c r="AF635" s="58"/>
      <c r="AG635" s="204"/>
      <c r="AH635" s="57"/>
      <c r="AI635" s="201"/>
      <c r="AJ635" s="287"/>
      <c r="AK635" s="452"/>
      <c r="AL635" s="59"/>
      <c r="AM635" s="60"/>
      <c r="AO635" s="137" t="e">
        <f t="shared" si="77"/>
        <v>#N/A</v>
      </c>
      <c r="AP635" s="138" t="e">
        <f t="shared" si="78"/>
        <v>#N/A</v>
      </c>
      <c r="AQ635" s="138" t="e">
        <f t="shared" si="79"/>
        <v>#N/A</v>
      </c>
      <c r="AR635" s="138" t="e">
        <f t="shared" si="80"/>
        <v>#N/A</v>
      </c>
      <c r="AS635" s="138" t="e">
        <f t="shared" si="81"/>
        <v>#N/A</v>
      </c>
      <c r="AT635" s="139" t="e">
        <f t="shared" si="82"/>
        <v>#N/A</v>
      </c>
      <c r="BB635" s="16" t="s">
        <v>596</v>
      </c>
    </row>
    <row r="636" spans="1:54" ht="75.75" customHeight="1">
      <c r="A636" s="428">
        <f t="shared" si="76"/>
        <v>628</v>
      </c>
      <c r="B636" s="294"/>
      <c r="C636" s="201"/>
      <c r="D636" s="290"/>
      <c r="E636" s="301"/>
      <c r="F636" s="301"/>
      <c r="G636" s="290"/>
      <c r="H636" s="291"/>
      <c r="I636" s="292"/>
      <c r="J636" s="61"/>
      <c r="K636" s="57"/>
      <c r="L636" s="303"/>
      <c r="M636" s="201"/>
      <c r="N636" s="84" t="str">
        <f>IF($AI636&lt;&gt;"",Master!$N$37,IF($AC636&lt;&gt;"",Master!$N$38,IF($S636&lt;&gt;"",Master!$N$39,IF($C636&lt;&gt;"",Master!$N$40,Master!$N$41))))</f>
        <v>起票</v>
      </c>
      <c r="O636" s="202" t="str">
        <f>IF($N636=Master!$N$37,MAX($S636,$AC636,$AI636),"")</f>
        <v/>
      </c>
      <c r="P636" s="65"/>
      <c r="Q636" s="203"/>
      <c r="R636" s="57"/>
      <c r="S636" s="203"/>
      <c r="T636" s="310"/>
      <c r="U636" s="289"/>
      <c r="V636" s="57"/>
      <c r="W636" s="288"/>
      <c r="X636" s="288"/>
      <c r="Y636" s="296"/>
      <c r="Z636" s="57"/>
      <c r="AA636" s="203"/>
      <c r="AB636" s="288"/>
      <c r="AC636" s="201"/>
      <c r="AD636" s="298"/>
      <c r="AE636" s="297"/>
      <c r="AF636" s="58"/>
      <c r="AG636" s="204"/>
      <c r="AH636" s="57"/>
      <c r="AI636" s="201"/>
      <c r="AJ636" s="287"/>
      <c r="AK636" s="452"/>
      <c r="AL636" s="59"/>
      <c r="AM636" s="60"/>
      <c r="AO636" s="137" t="e">
        <f t="shared" si="77"/>
        <v>#N/A</v>
      </c>
      <c r="AP636" s="138" t="e">
        <f t="shared" si="78"/>
        <v>#N/A</v>
      </c>
      <c r="AQ636" s="138" t="e">
        <f t="shared" si="79"/>
        <v>#N/A</v>
      </c>
      <c r="AR636" s="138" t="e">
        <f t="shared" si="80"/>
        <v>#N/A</v>
      </c>
      <c r="AS636" s="138" t="e">
        <f t="shared" si="81"/>
        <v>#N/A</v>
      </c>
      <c r="AT636" s="139" t="e">
        <f t="shared" si="82"/>
        <v>#N/A</v>
      </c>
      <c r="BB636" s="16" t="s">
        <v>596</v>
      </c>
    </row>
    <row r="637" spans="1:54" ht="75.75" customHeight="1">
      <c r="A637" s="428">
        <f t="shared" si="76"/>
        <v>629</v>
      </c>
      <c r="B637" s="403"/>
      <c r="C637" s="404"/>
      <c r="D637" s="405"/>
      <c r="E637" s="405"/>
      <c r="F637" s="405"/>
      <c r="G637" s="405"/>
      <c r="H637" s="406"/>
      <c r="I637" s="407"/>
      <c r="J637" s="408"/>
      <c r="K637" s="409"/>
      <c r="L637" s="410"/>
      <c r="M637" s="404"/>
      <c r="N637" s="411" t="str">
        <f>IF($AI637&lt;&gt;"",Master!$N$37,IF($AC637&lt;&gt;"",Master!$N$38,IF($S637&lt;&gt;"",Master!$N$39,IF($C637&lt;&gt;"",Master!$N$40,Master!$N$41))))</f>
        <v>起票</v>
      </c>
      <c r="O637" s="412" t="str">
        <f>IF($N637=Master!$N$37,MAX($S637,$AC637,$AI637),"")</f>
        <v/>
      </c>
      <c r="P637" s="413"/>
      <c r="Q637" s="414"/>
      <c r="R637" s="409"/>
      <c r="S637" s="404"/>
      <c r="T637" s="418"/>
      <c r="U637" s="415"/>
      <c r="V637" s="409"/>
      <c r="W637" s="419"/>
      <c r="X637" s="419"/>
      <c r="Y637" s="416"/>
      <c r="Z637" s="417"/>
      <c r="AA637" s="418"/>
      <c r="AB637" s="419"/>
      <c r="AC637" s="404"/>
      <c r="AD637" s="404"/>
      <c r="AE637" s="420"/>
      <c r="AF637" s="421"/>
      <c r="AG637" s="418"/>
      <c r="AH637" s="409"/>
      <c r="AI637" s="404"/>
      <c r="AJ637" s="416"/>
      <c r="AK637" s="453"/>
      <c r="AL637" s="422"/>
      <c r="AM637" s="423"/>
      <c r="AO637" s="137" t="e">
        <f t="shared" si="77"/>
        <v>#N/A</v>
      </c>
      <c r="AP637" s="138" t="e">
        <f t="shared" si="78"/>
        <v>#N/A</v>
      </c>
      <c r="AQ637" s="138" t="e">
        <f t="shared" si="79"/>
        <v>#N/A</v>
      </c>
      <c r="AR637" s="138" t="e">
        <f t="shared" si="80"/>
        <v>#N/A</v>
      </c>
      <c r="AS637" s="138" t="e">
        <f t="shared" si="81"/>
        <v>#N/A</v>
      </c>
      <c r="AT637" s="139" t="e">
        <f t="shared" si="82"/>
        <v>#N/A</v>
      </c>
      <c r="BB637" s="16" t="s">
        <v>596</v>
      </c>
    </row>
    <row r="638" spans="1:54" ht="75.75" customHeight="1">
      <c r="A638" s="428">
        <f t="shared" si="76"/>
        <v>630</v>
      </c>
      <c r="B638" s="403"/>
      <c r="C638" s="404"/>
      <c r="D638" s="405"/>
      <c r="E638" s="405"/>
      <c r="F638" s="405"/>
      <c r="G638" s="405"/>
      <c r="H638" s="406"/>
      <c r="I638" s="407"/>
      <c r="J638" s="408"/>
      <c r="K638" s="409"/>
      <c r="L638" s="410"/>
      <c r="M638" s="404"/>
      <c r="N638" s="411" t="str">
        <f>IF($AI638&lt;&gt;"",Master!$N$37,IF($AC638&lt;&gt;"",Master!$N$38,IF($S638&lt;&gt;"",Master!$N$39,IF($C638&lt;&gt;"",Master!$N$40,Master!$N$41))))</f>
        <v>起票</v>
      </c>
      <c r="O638" s="412" t="str">
        <f>IF($N638=Master!$N$37,MAX($S638,$AC638,$AI638),"")</f>
        <v/>
      </c>
      <c r="P638" s="413"/>
      <c r="Q638" s="414"/>
      <c r="R638" s="409"/>
      <c r="S638" s="404"/>
      <c r="T638" s="418"/>
      <c r="U638" s="415"/>
      <c r="V638" s="409"/>
      <c r="W638" s="419"/>
      <c r="X638" s="419"/>
      <c r="Y638" s="416"/>
      <c r="Z638" s="417"/>
      <c r="AA638" s="418"/>
      <c r="AB638" s="419"/>
      <c r="AC638" s="404"/>
      <c r="AD638" s="404"/>
      <c r="AE638" s="420"/>
      <c r="AF638" s="421"/>
      <c r="AG638" s="418"/>
      <c r="AH638" s="409"/>
      <c r="AI638" s="404"/>
      <c r="AJ638" s="416"/>
      <c r="AK638" s="453"/>
      <c r="AL638" s="422"/>
      <c r="AM638" s="423"/>
      <c r="AO638" s="137" t="e">
        <f t="shared" si="77"/>
        <v>#N/A</v>
      </c>
      <c r="AP638" s="138" t="e">
        <f t="shared" si="78"/>
        <v>#N/A</v>
      </c>
      <c r="AQ638" s="138" t="e">
        <f t="shared" si="79"/>
        <v>#N/A</v>
      </c>
      <c r="AR638" s="138" t="e">
        <f t="shared" si="80"/>
        <v>#N/A</v>
      </c>
      <c r="AS638" s="138" t="e">
        <f t="shared" si="81"/>
        <v>#N/A</v>
      </c>
      <c r="AT638" s="139" t="e">
        <f t="shared" si="82"/>
        <v>#N/A</v>
      </c>
      <c r="BB638" s="16" t="s">
        <v>596</v>
      </c>
    </row>
    <row r="639" spans="1:54" ht="54" customHeight="1">
      <c r="A639" s="428">
        <f t="shared" si="76"/>
        <v>631</v>
      </c>
      <c r="B639" s="403"/>
      <c r="C639" s="404"/>
      <c r="D639" s="405"/>
      <c r="E639" s="405"/>
      <c r="F639" s="405"/>
      <c r="G639" s="405"/>
      <c r="H639" s="406"/>
      <c r="I639" s="407"/>
      <c r="J639" s="408"/>
      <c r="K639" s="409"/>
      <c r="L639" s="410"/>
      <c r="M639" s="404"/>
      <c r="N639" s="411" t="str">
        <f>IF($AI639&lt;&gt;"",Master!$N$37,IF($AC639&lt;&gt;"",Master!$N$38,IF($S639&lt;&gt;"",Master!$N$39,IF($C639&lt;&gt;"",Master!$N$40,Master!$N$41))))</f>
        <v>起票</v>
      </c>
      <c r="O639" s="412" t="str">
        <f>IF($N639=Master!$N$37,MAX($S639,$AC639,$AI639),"")</f>
        <v/>
      </c>
      <c r="P639" s="413"/>
      <c r="Q639" s="414"/>
      <c r="R639" s="409"/>
      <c r="S639" s="404"/>
      <c r="T639" s="418"/>
      <c r="U639" s="415"/>
      <c r="V639" s="409"/>
      <c r="W639" s="419"/>
      <c r="X639" s="419"/>
      <c r="Y639" s="416"/>
      <c r="Z639" s="417"/>
      <c r="AA639" s="418"/>
      <c r="AB639" s="419"/>
      <c r="AC639" s="404"/>
      <c r="AD639" s="404"/>
      <c r="AE639" s="420"/>
      <c r="AF639" s="421"/>
      <c r="AG639" s="418"/>
      <c r="AH639" s="409"/>
      <c r="AI639" s="404"/>
      <c r="AJ639" s="416"/>
      <c r="AK639" s="453"/>
      <c r="AL639" s="422"/>
      <c r="AM639" s="423"/>
      <c r="AO639" s="137" t="e">
        <f t="shared" si="77"/>
        <v>#N/A</v>
      </c>
      <c r="AP639" s="138" t="e">
        <f t="shared" si="78"/>
        <v>#N/A</v>
      </c>
      <c r="AQ639" s="138" t="e">
        <f t="shared" si="79"/>
        <v>#N/A</v>
      </c>
      <c r="AR639" s="138" t="e">
        <f t="shared" si="80"/>
        <v>#N/A</v>
      </c>
      <c r="AS639" s="138" t="e">
        <f t="shared" si="81"/>
        <v>#N/A</v>
      </c>
      <c r="AT639" s="139" t="e">
        <f t="shared" si="82"/>
        <v>#N/A</v>
      </c>
      <c r="BB639" s="16" t="s">
        <v>596</v>
      </c>
    </row>
    <row r="640" spans="1:54" ht="54" customHeight="1">
      <c r="A640" s="428">
        <f t="shared" si="76"/>
        <v>632</v>
      </c>
      <c r="B640" s="294"/>
      <c r="C640" s="201"/>
      <c r="D640" s="290"/>
      <c r="E640" s="301"/>
      <c r="F640" s="301"/>
      <c r="G640" s="290"/>
      <c r="H640" s="291"/>
      <c r="I640" s="292"/>
      <c r="J640" s="61"/>
      <c r="K640" s="57"/>
      <c r="L640" s="303"/>
      <c r="M640" s="201"/>
      <c r="N640" s="84" t="str">
        <f>IF($AI640&lt;&gt;"",Master!$N$37,IF($AC640&lt;&gt;"",Master!$N$38,IF($S640&lt;&gt;"",Master!$N$39,IF($C640&lt;&gt;"",Master!$N$40,Master!$N$41))))</f>
        <v>起票</v>
      </c>
      <c r="O640" s="202" t="str">
        <f>IF($N640=Master!$N$37,MAX($S640,$AC640,$AI640),"")</f>
        <v/>
      </c>
      <c r="P640" s="65"/>
      <c r="Q640" s="203"/>
      <c r="R640" s="57"/>
      <c r="S640" s="203"/>
      <c r="T640" s="310"/>
      <c r="U640" s="289"/>
      <c r="V640" s="57"/>
      <c r="W640" s="288"/>
      <c r="X640" s="288"/>
      <c r="Y640" s="296"/>
      <c r="Z640" s="57"/>
      <c r="AA640" s="203"/>
      <c r="AB640" s="288"/>
      <c r="AC640" s="201"/>
      <c r="AD640" s="298"/>
      <c r="AE640" s="297"/>
      <c r="AF640" s="58"/>
      <c r="AG640" s="204"/>
      <c r="AH640" s="57"/>
      <c r="AI640" s="201"/>
      <c r="AJ640" s="287"/>
      <c r="AK640" s="452"/>
      <c r="AL640" s="59"/>
      <c r="AM640" s="60"/>
      <c r="AO640" s="137" t="e">
        <f t="shared" si="77"/>
        <v>#N/A</v>
      </c>
      <c r="AP640" s="138" t="e">
        <f t="shared" si="78"/>
        <v>#N/A</v>
      </c>
      <c r="AQ640" s="138" t="e">
        <f t="shared" si="79"/>
        <v>#N/A</v>
      </c>
      <c r="AR640" s="138" t="e">
        <f t="shared" si="80"/>
        <v>#N/A</v>
      </c>
      <c r="AS640" s="138" t="e">
        <f t="shared" si="81"/>
        <v>#N/A</v>
      </c>
      <c r="AT640" s="139" t="e">
        <f t="shared" si="82"/>
        <v>#N/A</v>
      </c>
      <c r="BB640" s="16" t="s">
        <v>596</v>
      </c>
    </row>
    <row r="641" spans="1:54" ht="54" customHeight="1">
      <c r="A641" s="428">
        <f t="shared" si="76"/>
        <v>633</v>
      </c>
      <c r="B641" s="294"/>
      <c r="C641" s="201"/>
      <c r="D641" s="290"/>
      <c r="E641" s="301"/>
      <c r="F641" s="301"/>
      <c r="G641" s="290"/>
      <c r="H641" s="291"/>
      <c r="I641" s="292"/>
      <c r="J641" s="61"/>
      <c r="K641" s="57"/>
      <c r="L641" s="303"/>
      <c r="M641" s="201"/>
      <c r="N641" s="84" t="str">
        <f>IF($AI641&lt;&gt;"",Master!$N$37,IF($AC641&lt;&gt;"",Master!$N$38,IF($S641&lt;&gt;"",Master!$N$39,IF($C641&lt;&gt;"",Master!$N$40,Master!$N$41))))</f>
        <v>起票</v>
      </c>
      <c r="O641" s="202" t="str">
        <f>IF($N641=Master!$N$37,MAX($S641,$AC641,$AI641),"")</f>
        <v/>
      </c>
      <c r="P641" s="65"/>
      <c r="Q641" s="203"/>
      <c r="R641" s="57"/>
      <c r="S641" s="203"/>
      <c r="T641" s="310"/>
      <c r="U641" s="289"/>
      <c r="V641" s="57"/>
      <c r="W641" s="288"/>
      <c r="X641" s="288"/>
      <c r="Y641" s="296"/>
      <c r="Z641" s="57"/>
      <c r="AA641" s="203"/>
      <c r="AB641" s="288"/>
      <c r="AC641" s="201"/>
      <c r="AD641" s="298"/>
      <c r="AE641" s="297"/>
      <c r="AF641" s="58"/>
      <c r="AG641" s="204"/>
      <c r="AH641" s="57"/>
      <c r="AI641" s="201"/>
      <c r="AJ641" s="287"/>
      <c r="AK641" s="452"/>
      <c r="AL641" s="59"/>
      <c r="AM641" s="60"/>
      <c r="AO641" s="137" t="e">
        <f t="shared" si="77"/>
        <v>#N/A</v>
      </c>
      <c r="AP641" s="138" t="e">
        <f t="shared" si="78"/>
        <v>#N/A</v>
      </c>
      <c r="AQ641" s="138" t="e">
        <f t="shared" si="79"/>
        <v>#N/A</v>
      </c>
      <c r="AR641" s="138" t="e">
        <f t="shared" si="80"/>
        <v>#N/A</v>
      </c>
      <c r="AS641" s="138" t="e">
        <f t="shared" si="81"/>
        <v>#N/A</v>
      </c>
      <c r="AT641" s="139" t="e">
        <f t="shared" si="82"/>
        <v>#N/A</v>
      </c>
      <c r="BB641" s="16" t="s">
        <v>596</v>
      </c>
    </row>
    <row r="642" spans="1:54" ht="54" customHeight="1">
      <c r="A642" s="428">
        <f t="shared" si="76"/>
        <v>634</v>
      </c>
      <c r="B642" s="403"/>
      <c r="C642" s="404"/>
      <c r="D642" s="405"/>
      <c r="E642" s="405"/>
      <c r="F642" s="405"/>
      <c r="G642" s="405"/>
      <c r="H642" s="406"/>
      <c r="I642" s="407"/>
      <c r="J642" s="408"/>
      <c r="K642" s="409"/>
      <c r="L642" s="410"/>
      <c r="M642" s="404"/>
      <c r="N642" s="411" t="str">
        <f>IF($AI642&lt;&gt;"",Master!$N$37,IF($AC642&lt;&gt;"",Master!$N$38,IF($S642&lt;&gt;"",Master!$N$39,IF($C642&lt;&gt;"",Master!$N$40,Master!$N$41))))</f>
        <v>起票</v>
      </c>
      <c r="O642" s="412" t="str">
        <f>IF($N642=Master!$N$37,MAX($S642,$AC642,$AI642),"")</f>
        <v/>
      </c>
      <c r="P642" s="413"/>
      <c r="Q642" s="414"/>
      <c r="R642" s="409"/>
      <c r="S642" s="404"/>
      <c r="T642" s="418"/>
      <c r="U642" s="415"/>
      <c r="V642" s="409"/>
      <c r="W642" s="419"/>
      <c r="X642" s="419"/>
      <c r="Y642" s="416"/>
      <c r="Z642" s="417"/>
      <c r="AA642" s="418"/>
      <c r="AB642" s="419"/>
      <c r="AC642" s="404"/>
      <c r="AD642" s="404"/>
      <c r="AE642" s="420"/>
      <c r="AF642" s="421"/>
      <c r="AG642" s="418"/>
      <c r="AH642" s="409"/>
      <c r="AI642" s="404"/>
      <c r="AJ642" s="416"/>
      <c r="AK642" s="453"/>
      <c r="AL642" s="422"/>
      <c r="AM642" s="423"/>
      <c r="AO642" s="137" t="e">
        <f t="shared" si="77"/>
        <v>#N/A</v>
      </c>
      <c r="AP642" s="138" t="e">
        <f t="shared" si="78"/>
        <v>#N/A</v>
      </c>
      <c r="AQ642" s="138" t="e">
        <f t="shared" si="79"/>
        <v>#N/A</v>
      </c>
      <c r="AR642" s="138" t="e">
        <f t="shared" si="80"/>
        <v>#N/A</v>
      </c>
      <c r="AS642" s="138" t="e">
        <f t="shared" si="81"/>
        <v>#N/A</v>
      </c>
      <c r="AT642" s="139" t="e">
        <f t="shared" si="82"/>
        <v>#N/A</v>
      </c>
      <c r="BB642" s="16" t="s">
        <v>596</v>
      </c>
    </row>
    <row r="643" spans="1:54" ht="54" customHeight="1">
      <c r="A643" s="428">
        <f t="shared" si="76"/>
        <v>635</v>
      </c>
      <c r="B643" s="403"/>
      <c r="C643" s="404"/>
      <c r="D643" s="405"/>
      <c r="E643" s="405"/>
      <c r="F643" s="405"/>
      <c r="G643" s="405"/>
      <c r="H643" s="406"/>
      <c r="I643" s="407"/>
      <c r="J643" s="408"/>
      <c r="K643" s="409"/>
      <c r="L643" s="410"/>
      <c r="M643" s="404"/>
      <c r="N643" s="411" t="str">
        <f>IF($AI643&lt;&gt;"",Master!$N$37,IF($AC643&lt;&gt;"",Master!$N$38,IF($S643&lt;&gt;"",Master!$N$39,IF($C643&lt;&gt;"",Master!$N$40,Master!$N$41))))</f>
        <v>起票</v>
      </c>
      <c r="O643" s="412" t="str">
        <f>IF($N643=Master!$N$37,MAX($S643,$AC643,$AI643),"")</f>
        <v/>
      </c>
      <c r="P643" s="413"/>
      <c r="Q643" s="414"/>
      <c r="R643" s="409"/>
      <c r="S643" s="404"/>
      <c r="T643" s="418"/>
      <c r="U643" s="415"/>
      <c r="V643" s="409"/>
      <c r="W643" s="419"/>
      <c r="X643" s="419"/>
      <c r="Y643" s="416"/>
      <c r="Z643" s="417"/>
      <c r="AA643" s="418"/>
      <c r="AB643" s="419"/>
      <c r="AC643" s="404"/>
      <c r="AD643" s="404"/>
      <c r="AE643" s="420"/>
      <c r="AF643" s="421"/>
      <c r="AG643" s="418"/>
      <c r="AH643" s="409"/>
      <c r="AI643" s="404"/>
      <c r="AJ643" s="416"/>
      <c r="AK643" s="453"/>
      <c r="AL643" s="422"/>
      <c r="AM643" s="423"/>
      <c r="AO643" s="137" t="e">
        <f t="shared" si="77"/>
        <v>#N/A</v>
      </c>
      <c r="AP643" s="138" t="e">
        <f t="shared" si="78"/>
        <v>#N/A</v>
      </c>
      <c r="AQ643" s="138" t="e">
        <f t="shared" si="79"/>
        <v>#N/A</v>
      </c>
      <c r="AR643" s="138" t="e">
        <f t="shared" si="80"/>
        <v>#N/A</v>
      </c>
      <c r="AS643" s="138" t="e">
        <f t="shared" si="81"/>
        <v>#N/A</v>
      </c>
      <c r="AT643" s="139" t="e">
        <f t="shared" si="82"/>
        <v>#N/A</v>
      </c>
      <c r="BB643" s="16" t="s">
        <v>596</v>
      </c>
    </row>
    <row r="644" spans="1:54" ht="84.75" customHeight="1">
      <c r="A644" s="428">
        <f t="shared" si="76"/>
        <v>636</v>
      </c>
      <c r="B644" s="403"/>
      <c r="C644" s="404"/>
      <c r="D644" s="405"/>
      <c r="E644" s="405"/>
      <c r="F644" s="405"/>
      <c r="G644" s="405"/>
      <c r="H644" s="406"/>
      <c r="I644" s="407"/>
      <c r="J644" s="408"/>
      <c r="K644" s="409"/>
      <c r="L644" s="410"/>
      <c r="M644" s="404"/>
      <c r="N644" s="411" t="str">
        <f>IF($AI644&lt;&gt;"",Master!$N$37,IF($AC644&lt;&gt;"",Master!$N$38,IF($S644&lt;&gt;"",Master!$N$39,IF($C644&lt;&gt;"",Master!$N$40,Master!$N$41))))</f>
        <v>起票</v>
      </c>
      <c r="O644" s="412" t="str">
        <f>IF($N644=Master!$N$37,MAX($S644,$AC644,$AI644),"")</f>
        <v/>
      </c>
      <c r="P644" s="413"/>
      <c r="Q644" s="414"/>
      <c r="R644" s="409"/>
      <c r="S644" s="404"/>
      <c r="T644" s="418"/>
      <c r="U644" s="415"/>
      <c r="V644" s="409"/>
      <c r="W644" s="419"/>
      <c r="X644" s="419"/>
      <c r="Y644" s="416"/>
      <c r="Z644" s="417"/>
      <c r="AA644" s="418"/>
      <c r="AB644" s="419"/>
      <c r="AC644" s="404"/>
      <c r="AD644" s="404"/>
      <c r="AE644" s="420"/>
      <c r="AF644" s="421"/>
      <c r="AG644" s="418"/>
      <c r="AH644" s="409"/>
      <c r="AI644" s="404"/>
      <c r="AJ644" s="416"/>
      <c r="AK644" s="453"/>
      <c r="AL644" s="422"/>
      <c r="AM644" s="423"/>
      <c r="AO644" s="137" t="e">
        <f t="shared" si="77"/>
        <v>#N/A</v>
      </c>
      <c r="AP644" s="138" t="e">
        <f t="shared" si="78"/>
        <v>#N/A</v>
      </c>
      <c r="AQ644" s="138" t="e">
        <f t="shared" si="79"/>
        <v>#N/A</v>
      </c>
      <c r="AR644" s="138" t="e">
        <f t="shared" si="80"/>
        <v>#N/A</v>
      </c>
      <c r="AS644" s="138" t="e">
        <f t="shared" si="81"/>
        <v>#N/A</v>
      </c>
      <c r="AT644" s="139" t="e">
        <f t="shared" si="82"/>
        <v>#N/A</v>
      </c>
      <c r="BB644" s="16" t="s">
        <v>596</v>
      </c>
    </row>
    <row r="645" spans="1:54" ht="54" customHeight="1">
      <c r="A645" s="428">
        <f t="shared" si="76"/>
        <v>637</v>
      </c>
      <c r="B645" s="294"/>
      <c r="C645" s="201"/>
      <c r="D645" s="290"/>
      <c r="E645" s="301"/>
      <c r="F645" s="301"/>
      <c r="G645" s="290"/>
      <c r="H645" s="291"/>
      <c r="I645" s="292"/>
      <c r="J645" s="61"/>
      <c r="K645" s="57"/>
      <c r="L645" s="303"/>
      <c r="M645" s="201"/>
      <c r="N645" s="84" t="str">
        <f>IF($AI645&lt;&gt;"",Master!$N$37,IF($AC645&lt;&gt;"",Master!$N$38,IF($S645&lt;&gt;"",Master!$N$39,IF($C645&lt;&gt;"",Master!$N$40,Master!$N$41))))</f>
        <v>起票</v>
      </c>
      <c r="O645" s="202" t="str">
        <f>IF($N645=Master!$N$37,MAX($S645,$AC645,$AI645),"")</f>
        <v/>
      </c>
      <c r="P645" s="65"/>
      <c r="Q645" s="203"/>
      <c r="R645" s="57"/>
      <c r="S645" s="203"/>
      <c r="T645" s="310"/>
      <c r="U645" s="289"/>
      <c r="V645" s="57"/>
      <c r="W645" s="288"/>
      <c r="X645" s="288"/>
      <c r="Y645" s="296"/>
      <c r="Z645" s="57"/>
      <c r="AA645" s="203"/>
      <c r="AB645" s="288"/>
      <c r="AC645" s="201"/>
      <c r="AD645" s="298"/>
      <c r="AE645" s="297"/>
      <c r="AF645" s="58"/>
      <c r="AG645" s="204"/>
      <c r="AH645" s="57"/>
      <c r="AI645" s="201"/>
      <c r="AJ645" s="287"/>
      <c r="AK645" s="452"/>
      <c r="AL645" s="59"/>
      <c r="AM645" s="60"/>
      <c r="AO645" s="137" t="e">
        <f t="shared" si="77"/>
        <v>#N/A</v>
      </c>
      <c r="AP645" s="138" t="e">
        <f t="shared" si="78"/>
        <v>#N/A</v>
      </c>
      <c r="AQ645" s="138" t="e">
        <f t="shared" si="79"/>
        <v>#N/A</v>
      </c>
      <c r="AR645" s="138" t="e">
        <f t="shared" si="80"/>
        <v>#N/A</v>
      </c>
      <c r="AS645" s="138" t="e">
        <f t="shared" si="81"/>
        <v>#N/A</v>
      </c>
      <c r="AT645" s="139" t="e">
        <f t="shared" si="82"/>
        <v>#N/A</v>
      </c>
      <c r="BB645" s="16" t="s">
        <v>596</v>
      </c>
    </row>
    <row r="646" spans="1:54" ht="54" customHeight="1">
      <c r="A646" s="428">
        <f t="shared" si="76"/>
        <v>638</v>
      </c>
      <c r="B646" s="294"/>
      <c r="C646" s="201"/>
      <c r="D646" s="290"/>
      <c r="E646" s="301"/>
      <c r="F646" s="301"/>
      <c r="G646" s="290"/>
      <c r="H646" s="291"/>
      <c r="I646" s="292"/>
      <c r="J646" s="61"/>
      <c r="K646" s="57"/>
      <c r="L646" s="303"/>
      <c r="M646" s="201"/>
      <c r="N646" s="84" t="str">
        <f>IF($AI646&lt;&gt;"",Master!$N$37,IF($AC646&lt;&gt;"",Master!$N$38,IF($S646&lt;&gt;"",Master!$N$39,IF($C646&lt;&gt;"",Master!$N$40,Master!$N$41))))</f>
        <v>起票</v>
      </c>
      <c r="O646" s="202" t="str">
        <f>IF($N646=Master!$N$37,MAX($S646,$AC646,$AI646),"")</f>
        <v/>
      </c>
      <c r="P646" s="65"/>
      <c r="Q646" s="203"/>
      <c r="R646" s="57"/>
      <c r="S646" s="203"/>
      <c r="T646" s="310"/>
      <c r="U646" s="289"/>
      <c r="V646" s="57"/>
      <c r="W646" s="288"/>
      <c r="X646" s="288"/>
      <c r="Y646" s="296"/>
      <c r="Z646" s="57"/>
      <c r="AA646" s="203"/>
      <c r="AB646" s="288"/>
      <c r="AC646" s="201"/>
      <c r="AD646" s="298"/>
      <c r="AE646" s="297"/>
      <c r="AF646" s="58"/>
      <c r="AG646" s="204"/>
      <c r="AH646" s="57"/>
      <c r="AI646" s="201"/>
      <c r="AJ646" s="287"/>
      <c r="AK646" s="452"/>
      <c r="AL646" s="59"/>
      <c r="AM646" s="60"/>
      <c r="AO646" s="137" t="e">
        <f t="shared" si="77"/>
        <v>#N/A</v>
      </c>
      <c r="AP646" s="138" t="e">
        <f t="shared" si="78"/>
        <v>#N/A</v>
      </c>
      <c r="AQ646" s="138" t="e">
        <f t="shared" si="79"/>
        <v>#N/A</v>
      </c>
      <c r="AR646" s="138" t="e">
        <f t="shared" si="80"/>
        <v>#N/A</v>
      </c>
      <c r="AS646" s="138" t="e">
        <f t="shared" si="81"/>
        <v>#N/A</v>
      </c>
      <c r="AT646" s="139" t="e">
        <f t="shared" si="82"/>
        <v>#N/A</v>
      </c>
      <c r="BB646" s="16" t="s">
        <v>596</v>
      </c>
    </row>
    <row r="647" spans="1:54" ht="54" customHeight="1">
      <c r="A647" s="428">
        <f t="shared" si="76"/>
        <v>639</v>
      </c>
      <c r="B647" s="403"/>
      <c r="C647" s="404"/>
      <c r="D647" s="405"/>
      <c r="E647" s="405"/>
      <c r="F647" s="405"/>
      <c r="G647" s="405"/>
      <c r="H647" s="406"/>
      <c r="I647" s="407"/>
      <c r="J647" s="408"/>
      <c r="K647" s="409"/>
      <c r="L647" s="410"/>
      <c r="M647" s="404"/>
      <c r="N647" s="411" t="str">
        <f>IF($AI647&lt;&gt;"",Master!$N$37,IF($AC647&lt;&gt;"",Master!$N$38,IF($S647&lt;&gt;"",Master!$N$39,IF($C647&lt;&gt;"",Master!$N$40,Master!$N$41))))</f>
        <v>起票</v>
      </c>
      <c r="O647" s="412" t="str">
        <f>IF($N647=Master!$N$37,MAX($S647,$AC647,$AI647),"")</f>
        <v/>
      </c>
      <c r="P647" s="413"/>
      <c r="Q647" s="414"/>
      <c r="R647" s="409"/>
      <c r="S647" s="404"/>
      <c r="T647" s="418"/>
      <c r="U647" s="415"/>
      <c r="V647" s="409"/>
      <c r="W647" s="419"/>
      <c r="X647" s="419"/>
      <c r="Y647" s="416"/>
      <c r="Z647" s="417"/>
      <c r="AA647" s="418"/>
      <c r="AB647" s="419"/>
      <c r="AC647" s="404"/>
      <c r="AD647" s="404"/>
      <c r="AE647" s="420"/>
      <c r="AF647" s="421"/>
      <c r="AG647" s="418"/>
      <c r="AH647" s="409"/>
      <c r="AI647" s="404"/>
      <c r="AJ647" s="416"/>
      <c r="AK647" s="453"/>
      <c r="AL647" s="422"/>
      <c r="AM647" s="423"/>
      <c r="AO647" s="137" t="e">
        <f t="shared" si="77"/>
        <v>#N/A</v>
      </c>
      <c r="AP647" s="138" t="e">
        <f t="shared" si="78"/>
        <v>#N/A</v>
      </c>
      <c r="AQ647" s="138" t="e">
        <f t="shared" si="79"/>
        <v>#N/A</v>
      </c>
      <c r="AR647" s="138" t="e">
        <f t="shared" si="80"/>
        <v>#N/A</v>
      </c>
      <c r="AS647" s="138" t="e">
        <f t="shared" si="81"/>
        <v>#N/A</v>
      </c>
      <c r="AT647" s="139" t="e">
        <f t="shared" si="82"/>
        <v>#N/A</v>
      </c>
      <c r="BB647" s="16" t="s">
        <v>596</v>
      </c>
    </row>
    <row r="648" spans="1:54" ht="88.5" customHeight="1">
      <c r="A648" s="428">
        <f t="shared" si="76"/>
        <v>640</v>
      </c>
      <c r="B648" s="403"/>
      <c r="C648" s="404"/>
      <c r="D648" s="405"/>
      <c r="E648" s="405"/>
      <c r="F648" s="405"/>
      <c r="G648" s="405"/>
      <c r="H648" s="406"/>
      <c r="I648" s="407"/>
      <c r="J648" s="408"/>
      <c r="K648" s="409"/>
      <c r="L648" s="410"/>
      <c r="M648" s="404"/>
      <c r="N648" s="411" t="str">
        <f>IF($AI648&lt;&gt;"",Master!$N$37,IF($AC648&lt;&gt;"",Master!$N$38,IF($S648&lt;&gt;"",Master!$N$39,IF($C648&lt;&gt;"",Master!$N$40,Master!$N$41))))</f>
        <v>起票</v>
      </c>
      <c r="O648" s="412" t="str">
        <f>IF($N648=Master!$N$37,MAX($S648,$AC648,$AI648),"")</f>
        <v/>
      </c>
      <c r="P648" s="413"/>
      <c r="Q648" s="414"/>
      <c r="R648" s="409"/>
      <c r="S648" s="404"/>
      <c r="T648" s="418"/>
      <c r="U648" s="415"/>
      <c r="V648" s="409"/>
      <c r="W648" s="419"/>
      <c r="X648" s="419"/>
      <c r="Y648" s="416"/>
      <c r="Z648" s="417"/>
      <c r="AA648" s="418"/>
      <c r="AB648" s="419"/>
      <c r="AC648" s="404"/>
      <c r="AD648" s="404"/>
      <c r="AE648" s="420"/>
      <c r="AF648" s="421"/>
      <c r="AG648" s="418"/>
      <c r="AH648" s="409"/>
      <c r="AI648" s="404"/>
      <c r="AJ648" s="416"/>
      <c r="AK648" s="453"/>
      <c r="AL648" s="422"/>
      <c r="AM648" s="423"/>
      <c r="AO648" s="137" t="e">
        <f t="shared" si="77"/>
        <v>#N/A</v>
      </c>
      <c r="AP648" s="138" t="e">
        <f t="shared" si="78"/>
        <v>#N/A</v>
      </c>
      <c r="AQ648" s="138" t="e">
        <f t="shared" si="79"/>
        <v>#N/A</v>
      </c>
      <c r="AR648" s="138" t="e">
        <f t="shared" si="80"/>
        <v>#N/A</v>
      </c>
      <c r="AS648" s="138" t="e">
        <f t="shared" si="81"/>
        <v>#N/A</v>
      </c>
      <c r="AT648" s="139" t="e">
        <f t="shared" si="82"/>
        <v>#N/A</v>
      </c>
    </row>
    <row r="649" spans="1:54" ht="71.25" customHeight="1">
      <c r="A649" s="428">
        <f t="shared" si="76"/>
        <v>641</v>
      </c>
      <c r="B649" s="403"/>
      <c r="C649" s="404"/>
      <c r="D649" s="405"/>
      <c r="E649" s="405"/>
      <c r="F649" s="405"/>
      <c r="G649" s="405"/>
      <c r="H649" s="406"/>
      <c r="I649" s="407"/>
      <c r="J649" s="408"/>
      <c r="K649" s="409"/>
      <c r="L649" s="410"/>
      <c r="M649" s="404"/>
      <c r="N649" s="411" t="str">
        <f>IF($AI649&lt;&gt;"",Master!$N$37,IF($AC649&lt;&gt;"",Master!$N$38,IF($S649&lt;&gt;"",Master!$N$39,IF($C649&lt;&gt;"",Master!$N$40,Master!$N$41))))</f>
        <v>起票</v>
      </c>
      <c r="O649" s="412" t="str">
        <f>IF($N649=Master!$N$37,MAX($S649,$AC649,$AI649),"")</f>
        <v/>
      </c>
      <c r="P649" s="413"/>
      <c r="Q649" s="414"/>
      <c r="R649" s="409"/>
      <c r="S649" s="404"/>
      <c r="T649" s="418"/>
      <c r="U649" s="415"/>
      <c r="V649" s="409"/>
      <c r="W649" s="419"/>
      <c r="X649" s="419"/>
      <c r="Y649" s="416"/>
      <c r="Z649" s="417"/>
      <c r="AA649" s="418"/>
      <c r="AB649" s="419"/>
      <c r="AC649" s="404"/>
      <c r="AD649" s="404"/>
      <c r="AE649" s="420"/>
      <c r="AF649" s="421"/>
      <c r="AG649" s="418"/>
      <c r="AH649" s="409"/>
      <c r="AI649" s="404"/>
      <c r="AJ649" s="416"/>
      <c r="AK649" s="453"/>
      <c r="AL649" s="422"/>
      <c r="AM649" s="423"/>
      <c r="AO649" s="137" t="e">
        <f t="shared" si="77"/>
        <v>#N/A</v>
      </c>
      <c r="AP649" s="138" t="e">
        <f t="shared" si="78"/>
        <v>#N/A</v>
      </c>
      <c r="AQ649" s="138" t="e">
        <f t="shared" si="79"/>
        <v>#N/A</v>
      </c>
      <c r="AR649" s="138" t="e">
        <f t="shared" si="80"/>
        <v>#N/A</v>
      </c>
      <c r="AS649" s="138" t="e">
        <f t="shared" si="81"/>
        <v>#N/A</v>
      </c>
      <c r="AT649" s="139" t="e">
        <f t="shared" si="82"/>
        <v>#N/A</v>
      </c>
    </row>
    <row r="650" spans="1:54" ht="54" customHeight="1">
      <c r="A650" s="428">
        <f t="shared" si="76"/>
        <v>642</v>
      </c>
      <c r="B650" s="294"/>
      <c r="C650" s="201"/>
      <c r="D650" s="290"/>
      <c r="E650" s="301"/>
      <c r="F650" s="301"/>
      <c r="G650" s="290"/>
      <c r="H650" s="291"/>
      <c r="I650" s="292"/>
      <c r="J650" s="61"/>
      <c r="K650" s="57"/>
      <c r="L650" s="303"/>
      <c r="M650" s="201"/>
      <c r="N650" s="84" t="str">
        <f>IF($AI650&lt;&gt;"",Master!$N$37,IF($AC650&lt;&gt;"",Master!$N$38,IF($S650&lt;&gt;"",Master!$N$39,IF($C650&lt;&gt;"",Master!$N$40,Master!$N$41))))</f>
        <v>起票</v>
      </c>
      <c r="O650" s="202" t="str">
        <f>IF($N650=Master!$N$37,MAX($S650,$AC650,$AI650),"")</f>
        <v/>
      </c>
      <c r="P650" s="65"/>
      <c r="Q650" s="203"/>
      <c r="R650" s="57"/>
      <c r="S650" s="203"/>
      <c r="T650" s="310"/>
      <c r="U650" s="289"/>
      <c r="V650" s="57"/>
      <c r="W650" s="288"/>
      <c r="X650" s="288"/>
      <c r="Y650" s="296"/>
      <c r="Z650" s="57"/>
      <c r="AA650" s="203"/>
      <c r="AB650" s="288"/>
      <c r="AC650" s="201"/>
      <c r="AD650" s="298"/>
      <c r="AE650" s="297"/>
      <c r="AF650" s="58"/>
      <c r="AG650" s="204"/>
      <c r="AH650" s="57"/>
      <c r="AI650" s="201"/>
      <c r="AJ650" s="287"/>
      <c r="AK650" s="452"/>
      <c r="AL650" s="59"/>
      <c r="AM650" s="60"/>
      <c r="AO650" s="137" t="e">
        <f t="shared" si="77"/>
        <v>#N/A</v>
      </c>
      <c r="AP650" s="138" t="e">
        <f t="shared" si="78"/>
        <v>#N/A</v>
      </c>
      <c r="AQ650" s="138" t="e">
        <f t="shared" si="79"/>
        <v>#N/A</v>
      </c>
      <c r="AR650" s="138" t="e">
        <f t="shared" si="80"/>
        <v>#N/A</v>
      </c>
      <c r="AS650" s="138" t="e">
        <f t="shared" si="81"/>
        <v>#N/A</v>
      </c>
      <c r="AT650" s="139" t="e">
        <f t="shared" si="82"/>
        <v>#N/A</v>
      </c>
    </row>
    <row r="651" spans="1:54" ht="54" customHeight="1">
      <c r="A651" s="428">
        <f t="shared" si="76"/>
        <v>643</v>
      </c>
      <c r="B651" s="294"/>
      <c r="C651" s="201"/>
      <c r="D651" s="290"/>
      <c r="E651" s="301"/>
      <c r="F651" s="301"/>
      <c r="G651" s="290"/>
      <c r="H651" s="291"/>
      <c r="I651" s="292"/>
      <c r="J651" s="61"/>
      <c r="K651" s="57"/>
      <c r="L651" s="303"/>
      <c r="M651" s="201"/>
      <c r="N651" s="84" t="str">
        <f>IF($AI651&lt;&gt;"",Master!$N$37,IF($AC651&lt;&gt;"",Master!$N$38,IF($S651&lt;&gt;"",Master!$N$39,IF($C651&lt;&gt;"",Master!$N$40,Master!$N$41))))</f>
        <v>起票</v>
      </c>
      <c r="O651" s="202" t="str">
        <f>IF($N651=Master!$N$37,MAX($S651,$AC651,$AI651),"")</f>
        <v/>
      </c>
      <c r="P651" s="65"/>
      <c r="Q651" s="203"/>
      <c r="R651" s="57"/>
      <c r="S651" s="203"/>
      <c r="T651" s="310"/>
      <c r="U651" s="289"/>
      <c r="V651" s="57"/>
      <c r="W651" s="288"/>
      <c r="X651" s="288"/>
      <c r="Y651" s="296"/>
      <c r="Z651" s="57"/>
      <c r="AA651" s="203"/>
      <c r="AB651" s="288"/>
      <c r="AC651" s="201"/>
      <c r="AD651" s="298"/>
      <c r="AE651" s="297"/>
      <c r="AF651" s="58"/>
      <c r="AG651" s="204"/>
      <c r="AH651" s="57"/>
      <c r="AI651" s="201"/>
      <c r="AJ651" s="287"/>
      <c r="AK651" s="452"/>
      <c r="AL651" s="59"/>
      <c r="AM651" s="60"/>
      <c r="AO651" s="137" t="e">
        <f t="shared" si="77"/>
        <v>#N/A</v>
      </c>
      <c r="AP651" s="138" t="e">
        <f t="shared" si="78"/>
        <v>#N/A</v>
      </c>
      <c r="AQ651" s="138" t="e">
        <f t="shared" si="79"/>
        <v>#N/A</v>
      </c>
      <c r="AR651" s="138" t="e">
        <f t="shared" si="80"/>
        <v>#N/A</v>
      </c>
      <c r="AS651" s="138" t="e">
        <f t="shared" si="81"/>
        <v>#N/A</v>
      </c>
      <c r="AT651" s="139" t="e">
        <f t="shared" si="82"/>
        <v>#N/A</v>
      </c>
    </row>
    <row r="652" spans="1:54" ht="54" customHeight="1">
      <c r="A652" s="428">
        <f t="shared" ref="A652:A715" si="83">A651+1</f>
        <v>644</v>
      </c>
      <c r="B652" s="403"/>
      <c r="C652" s="404"/>
      <c r="D652" s="405"/>
      <c r="E652" s="405"/>
      <c r="F652" s="405"/>
      <c r="G652" s="405"/>
      <c r="H652" s="406"/>
      <c r="I652" s="407"/>
      <c r="J652" s="408"/>
      <c r="K652" s="409"/>
      <c r="L652" s="410"/>
      <c r="M652" s="404"/>
      <c r="N652" s="411" t="str">
        <f>IF($AI652&lt;&gt;"",Master!$N$37,IF($AC652&lt;&gt;"",Master!$N$38,IF($S652&lt;&gt;"",Master!$N$39,IF($C652&lt;&gt;"",Master!$N$40,Master!$N$41))))</f>
        <v>起票</v>
      </c>
      <c r="O652" s="412" t="str">
        <f>IF($N652=Master!$N$37,MAX($S652,$AC652,$AI652),"")</f>
        <v/>
      </c>
      <c r="P652" s="413"/>
      <c r="Q652" s="414"/>
      <c r="R652" s="409"/>
      <c r="S652" s="404"/>
      <c r="T652" s="418"/>
      <c r="U652" s="415"/>
      <c r="V652" s="409"/>
      <c r="W652" s="419"/>
      <c r="X652" s="419"/>
      <c r="Y652" s="416"/>
      <c r="Z652" s="417"/>
      <c r="AA652" s="418"/>
      <c r="AB652" s="419"/>
      <c r="AC652" s="404"/>
      <c r="AD652" s="404"/>
      <c r="AE652" s="420"/>
      <c r="AF652" s="421"/>
      <c r="AG652" s="418"/>
      <c r="AH652" s="409"/>
      <c r="AI652" s="404"/>
      <c r="AJ652" s="416"/>
      <c r="AK652" s="453"/>
      <c r="AL652" s="422"/>
      <c r="AM652" s="423"/>
      <c r="AO652" s="137" t="e">
        <f t="shared" si="77"/>
        <v>#N/A</v>
      </c>
      <c r="AP652" s="138" t="e">
        <f t="shared" si="78"/>
        <v>#N/A</v>
      </c>
      <c r="AQ652" s="138" t="e">
        <f t="shared" si="79"/>
        <v>#N/A</v>
      </c>
      <c r="AR652" s="138" t="e">
        <f t="shared" si="80"/>
        <v>#N/A</v>
      </c>
      <c r="AS652" s="138" t="e">
        <f t="shared" si="81"/>
        <v>#N/A</v>
      </c>
      <c r="AT652" s="139" t="e">
        <f t="shared" si="82"/>
        <v>#N/A</v>
      </c>
    </row>
    <row r="653" spans="1:54" ht="54" customHeight="1">
      <c r="A653" s="428">
        <f t="shared" si="83"/>
        <v>645</v>
      </c>
      <c r="B653" s="403"/>
      <c r="C653" s="404"/>
      <c r="D653" s="405"/>
      <c r="E653" s="405"/>
      <c r="F653" s="405"/>
      <c r="G653" s="405"/>
      <c r="H653" s="406"/>
      <c r="I653" s="407"/>
      <c r="J653" s="408"/>
      <c r="K653" s="409"/>
      <c r="L653" s="410"/>
      <c r="M653" s="404"/>
      <c r="N653" s="411" t="str">
        <f>IF($AI653&lt;&gt;"",Master!$N$37,IF($AC653&lt;&gt;"",Master!$N$38,IF($S653&lt;&gt;"",Master!$N$39,IF($C653&lt;&gt;"",Master!$N$40,Master!$N$41))))</f>
        <v>起票</v>
      </c>
      <c r="O653" s="412" t="str">
        <f>IF($N653=Master!$N$37,MAX($S653,$AC653,$AI653),"")</f>
        <v/>
      </c>
      <c r="P653" s="413"/>
      <c r="Q653" s="414"/>
      <c r="R653" s="409"/>
      <c r="S653" s="404"/>
      <c r="T653" s="418"/>
      <c r="U653" s="415"/>
      <c r="V653" s="409"/>
      <c r="W653" s="419"/>
      <c r="X653" s="419"/>
      <c r="Y653" s="416"/>
      <c r="Z653" s="417"/>
      <c r="AA653" s="418"/>
      <c r="AB653" s="419"/>
      <c r="AC653" s="404"/>
      <c r="AD653" s="404"/>
      <c r="AE653" s="420"/>
      <c r="AF653" s="421"/>
      <c r="AG653" s="418"/>
      <c r="AH653" s="409"/>
      <c r="AI653" s="404"/>
      <c r="AJ653" s="416"/>
      <c r="AK653" s="453"/>
      <c r="AL653" s="422"/>
      <c r="AM653" s="423"/>
      <c r="AO653" s="137" t="e">
        <f t="shared" si="77"/>
        <v>#N/A</v>
      </c>
      <c r="AP653" s="138" t="e">
        <f t="shared" si="78"/>
        <v>#N/A</v>
      </c>
      <c r="AQ653" s="138" t="e">
        <f t="shared" si="79"/>
        <v>#N/A</v>
      </c>
      <c r="AR653" s="138" t="e">
        <f t="shared" si="80"/>
        <v>#N/A</v>
      </c>
      <c r="AS653" s="138" t="e">
        <f t="shared" si="81"/>
        <v>#N/A</v>
      </c>
      <c r="AT653" s="139" t="e">
        <f t="shared" si="82"/>
        <v>#N/A</v>
      </c>
    </row>
    <row r="654" spans="1:54" ht="54" customHeight="1">
      <c r="A654" s="428">
        <f t="shared" si="83"/>
        <v>646</v>
      </c>
      <c r="B654" s="403"/>
      <c r="C654" s="404"/>
      <c r="D654" s="405"/>
      <c r="E654" s="405"/>
      <c r="F654" s="405"/>
      <c r="G654" s="405"/>
      <c r="H654" s="406"/>
      <c r="I654" s="407"/>
      <c r="J654" s="408"/>
      <c r="K654" s="409"/>
      <c r="L654" s="410"/>
      <c r="M654" s="404"/>
      <c r="N654" s="411" t="str">
        <f>IF($AI654&lt;&gt;"",Master!$N$37,IF($AC654&lt;&gt;"",Master!$N$38,IF($S654&lt;&gt;"",Master!$N$39,IF($C654&lt;&gt;"",Master!$N$40,Master!$N$41))))</f>
        <v>起票</v>
      </c>
      <c r="O654" s="412" t="str">
        <f>IF($N654=Master!$N$37,MAX($S654,$AC654,$AI654),"")</f>
        <v/>
      </c>
      <c r="P654" s="413"/>
      <c r="Q654" s="414"/>
      <c r="R654" s="409"/>
      <c r="S654" s="404"/>
      <c r="T654" s="418"/>
      <c r="U654" s="415"/>
      <c r="V654" s="409"/>
      <c r="W654" s="419"/>
      <c r="X654" s="419"/>
      <c r="Y654" s="416"/>
      <c r="Z654" s="417"/>
      <c r="AA654" s="418"/>
      <c r="AB654" s="419"/>
      <c r="AC654" s="404"/>
      <c r="AD654" s="404"/>
      <c r="AE654" s="420"/>
      <c r="AF654" s="421"/>
      <c r="AG654" s="418"/>
      <c r="AH654" s="409"/>
      <c r="AI654" s="404"/>
      <c r="AJ654" s="416"/>
      <c r="AK654" s="453"/>
      <c r="AL654" s="422"/>
      <c r="AM654" s="423"/>
      <c r="AO654" s="137" t="e">
        <f t="shared" si="77"/>
        <v>#N/A</v>
      </c>
      <c r="AP654" s="138" t="e">
        <f t="shared" si="78"/>
        <v>#N/A</v>
      </c>
      <c r="AQ654" s="138" t="e">
        <f t="shared" si="79"/>
        <v>#N/A</v>
      </c>
      <c r="AR654" s="138" t="e">
        <f t="shared" si="80"/>
        <v>#N/A</v>
      </c>
      <c r="AS654" s="138" t="e">
        <f t="shared" si="81"/>
        <v>#N/A</v>
      </c>
      <c r="AT654" s="139" t="e">
        <f t="shared" si="82"/>
        <v>#N/A</v>
      </c>
    </row>
    <row r="655" spans="1:54" ht="54" customHeight="1">
      <c r="A655" s="428">
        <f t="shared" si="83"/>
        <v>647</v>
      </c>
      <c r="B655" s="294"/>
      <c r="C655" s="201"/>
      <c r="D655" s="290"/>
      <c r="E655" s="301"/>
      <c r="F655" s="301"/>
      <c r="G655" s="290"/>
      <c r="H655" s="291"/>
      <c r="I655" s="292"/>
      <c r="J655" s="61"/>
      <c r="K655" s="57"/>
      <c r="L655" s="303"/>
      <c r="M655" s="201"/>
      <c r="N655" s="84" t="str">
        <f>IF($AI655&lt;&gt;"",Master!$N$37,IF($AC655&lt;&gt;"",Master!$N$38,IF($S655&lt;&gt;"",Master!$N$39,IF($C655&lt;&gt;"",Master!$N$40,Master!$N$41))))</f>
        <v>起票</v>
      </c>
      <c r="O655" s="202" t="str">
        <f>IF($N655=Master!$N$37,MAX($S655,$AC655,$AI655),"")</f>
        <v/>
      </c>
      <c r="P655" s="65"/>
      <c r="Q655" s="203"/>
      <c r="R655" s="57"/>
      <c r="S655" s="203"/>
      <c r="T655" s="310"/>
      <c r="U655" s="289"/>
      <c r="V655" s="57"/>
      <c r="W655" s="288"/>
      <c r="X655" s="288"/>
      <c r="Y655" s="296"/>
      <c r="Z655" s="57"/>
      <c r="AA655" s="203"/>
      <c r="AB655" s="288"/>
      <c r="AC655" s="201"/>
      <c r="AD655" s="298"/>
      <c r="AE655" s="297"/>
      <c r="AF655" s="58"/>
      <c r="AG655" s="204"/>
      <c r="AH655" s="57"/>
      <c r="AI655" s="201"/>
      <c r="AJ655" s="287"/>
      <c r="AK655" s="452"/>
      <c r="AL655" s="59"/>
      <c r="AM655" s="60"/>
      <c r="AO655" s="137" t="e">
        <f t="shared" ref="AO655:AO714" si="84">IF(AND(C655&lt;&gt;"",C655&lt;=$AI$3),IF(E655="","",E655),NA())</f>
        <v>#N/A</v>
      </c>
      <c r="AP655" s="138" t="e">
        <f t="shared" ref="AP655:AP714" si="85">IF(AND(C655&lt;&gt;"",C655&lt;=$AI$3),IF(F655="","",F655),NA())</f>
        <v>#N/A</v>
      </c>
      <c r="AQ655" s="138" t="e">
        <f t="shared" ref="AQ655:AQ714" si="86">IF(AND(C655&lt;&gt;"",C655&lt;=$AI$3),IF(H655="","",H655),NA())</f>
        <v>#N/A</v>
      </c>
      <c r="AR655" s="138" t="e">
        <f t="shared" ref="AR655:AR714" si="87">IF(AND(C655&lt;&gt;"",C655&lt;=$AI$3),IF(U655="","",U655),NA())</f>
        <v>#N/A</v>
      </c>
      <c r="AS655" s="138" t="e">
        <f t="shared" ref="AS655:AS714" si="88">IF(AND(C655&lt;&gt;"",C655&lt;=$AI$3),IF(V655="","",V655),NA())</f>
        <v>#N/A</v>
      </c>
      <c r="AT655" s="139" t="e">
        <f t="shared" ref="AT655:AT714" si="89">IF(AND(C655&lt;&gt;"",C655&lt;=$AI$3),IF(AB655="","",AB655),NA())</f>
        <v>#N/A</v>
      </c>
    </row>
    <row r="656" spans="1:54" ht="75" customHeight="1">
      <c r="A656" s="428">
        <f t="shared" si="83"/>
        <v>648</v>
      </c>
      <c r="B656" s="294"/>
      <c r="C656" s="201"/>
      <c r="D656" s="290"/>
      <c r="E656" s="301"/>
      <c r="F656" s="301"/>
      <c r="G656" s="290"/>
      <c r="H656" s="291"/>
      <c r="I656" s="292"/>
      <c r="J656" s="61"/>
      <c r="K656" s="57"/>
      <c r="L656" s="303"/>
      <c r="M656" s="201"/>
      <c r="N656" s="84" t="str">
        <f>IF($AI656&lt;&gt;"",Master!$N$37,IF($AC656&lt;&gt;"",Master!$N$38,IF($S656&lt;&gt;"",Master!$N$39,IF($C656&lt;&gt;"",Master!$N$40,Master!$N$41))))</f>
        <v>起票</v>
      </c>
      <c r="O656" s="202" t="str">
        <f>IF($N656=Master!$N$37,MAX($S656,$AC656,$AI656),"")</f>
        <v/>
      </c>
      <c r="P656" s="65"/>
      <c r="Q656" s="203"/>
      <c r="R656" s="57"/>
      <c r="S656" s="203"/>
      <c r="T656" s="310"/>
      <c r="U656" s="289"/>
      <c r="V656" s="57"/>
      <c r="W656" s="288"/>
      <c r="X656" s="288"/>
      <c r="Y656" s="296"/>
      <c r="Z656" s="57"/>
      <c r="AA656" s="203"/>
      <c r="AB656" s="288"/>
      <c r="AC656" s="201"/>
      <c r="AD656" s="298"/>
      <c r="AE656" s="297"/>
      <c r="AF656" s="58"/>
      <c r="AG656" s="204"/>
      <c r="AH656" s="57"/>
      <c r="AI656" s="201"/>
      <c r="AJ656" s="287"/>
      <c r="AK656" s="452"/>
      <c r="AL656" s="59"/>
      <c r="AM656" s="60"/>
      <c r="AO656" s="137" t="e">
        <f t="shared" si="84"/>
        <v>#N/A</v>
      </c>
      <c r="AP656" s="138" t="e">
        <f t="shared" si="85"/>
        <v>#N/A</v>
      </c>
      <c r="AQ656" s="138" t="e">
        <f t="shared" si="86"/>
        <v>#N/A</v>
      </c>
      <c r="AR656" s="138" t="e">
        <f t="shared" si="87"/>
        <v>#N/A</v>
      </c>
      <c r="AS656" s="138" t="e">
        <f t="shared" si="88"/>
        <v>#N/A</v>
      </c>
      <c r="AT656" s="139" t="e">
        <f t="shared" si="89"/>
        <v>#N/A</v>
      </c>
    </row>
    <row r="657" spans="1:46" ht="67.5" customHeight="1">
      <c r="A657" s="428">
        <f t="shared" si="83"/>
        <v>649</v>
      </c>
      <c r="B657" s="403"/>
      <c r="C657" s="404"/>
      <c r="D657" s="405"/>
      <c r="E657" s="405"/>
      <c r="F657" s="405"/>
      <c r="G657" s="405"/>
      <c r="H657" s="406"/>
      <c r="I657" s="407"/>
      <c r="J657" s="408"/>
      <c r="K657" s="409"/>
      <c r="L657" s="410"/>
      <c r="M657" s="404"/>
      <c r="N657" s="411" t="str">
        <f>IF($AI657&lt;&gt;"",Master!$N$37,IF($AC657&lt;&gt;"",Master!$N$38,IF($S657&lt;&gt;"",Master!$N$39,IF($C657&lt;&gt;"",Master!$N$40,Master!$N$41))))</f>
        <v>起票</v>
      </c>
      <c r="O657" s="412" t="str">
        <f>IF($N657=Master!$N$37,MAX($S657,$AC657,$AI657),"")</f>
        <v/>
      </c>
      <c r="P657" s="413"/>
      <c r="Q657" s="414"/>
      <c r="R657" s="409"/>
      <c r="S657" s="404"/>
      <c r="T657" s="418"/>
      <c r="U657" s="415"/>
      <c r="V657" s="409"/>
      <c r="W657" s="419"/>
      <c r="X657" s="419"/>
      <c r="Y657" s="416"/>
      <c r="Z657" s="417"/>
      <c r="AA657" s="418"/>
      <c r="AB657" s="419"/>
      <c r="AC657" s="404"/>
      <c r="AD657" s="404"/>
      <c r="AE657" s="420"/>
      <c r="AF657" s="421"/>
      <c r="AG657" s="418"/>
      <c r="AH657" s="409"/>
      <c r="AI657" s="404"/>
      <c r="AJ657" s="416"/>
      <c r="AK657" s="453"/>
      <c r="AL657" s="422"/>
      <c r="AM657" s="423"/>
      <c r="AO657" s="137" t="e">
        <f t="shared" si="84"/>
        <v>#N/A</v>
      </c>
      <c r="AP657" s="138" t="e">
        <f t="shared" si="85"/>
        <v>#N/A</v>
      </c>
      <c r="AQ657" s="138" t="e">
        <f t="shared" si="86"/>
        <v>#N/A</v>
      </c>
      <c r="AR657" s="138" t="e">
        <f t="shared" si="87"/>
        <v>#N/A</v>
      </c>
      <c r="AS657" s="138" t="e">
        <f t="shared" si="88"/>
        <v>#N/A</v>
      </c>
      <c r="AT657" s="139" t="e">
        <f t="shared" si="89"/>
        <v>#N/A</v>
      </c>
    </row>
    <row r="658" spans="1:46" ht="54" customHeight="1">
      <c r="A658" s="428">
        <f t="shared" si="83"/>
        <v>650</v>
      </c>
      <c r="B658" s="403"/>
      <c r="C658" s="404"/>
      <c r="D658" s="405"/>
      <c r="E658" s="405"/>
      <c r="F658" s="405"/>
      <c r="G658" s="405"/>
      <c r="H658" s="406"/>
      <c r="I658" s="407"/>
      <c r="J658" s="408"/>
      <c r="K658" s="409"/>
      <c r="L658" s="410"/>
      <c r="M658" s="404"/>
      <c r="N658" s="411" t="str">
        <f>IF($AI658&lt;&gt;"",Master!$N$37,IF($AC658&lt;&gt;"",Master!$N$38,IF($S658&lt;&gt;"",Master!$N$39,IF($C658&lt;&gt;"",Master!$N$40,Master!$N$41))))</f>
        <v>起票</v>
      </c>
      <c r="O658" s="412" t="str">
        <f>IF($N658=Master!$N$37,MAX($S658,$AC658,$AI658),"")</f>
        <v/>
      </c>
      <c r="P658" s="413"/>
      <c r="Q658" s="414"/>
      <c r="R658" s="409"/>
      <c r="S658" s="404"/>
      <c r="T658" s="418"/>
      <c r="U658" s="415"/>
      <c r="V658" s="409"/>
      <c r="W658" s="419"/>
      <c r="X658" s="419"/>
      <c r="Y658" s="416"/>
      <c r="Z658" s="417"/>
      <c r="AA658" s="418"/>
      <c r="AB658" s="419"/>
      <c r="AC658" s="404"/>
      <c r="AD658" s="404"/>
      <c r="AE658" s="420"/>
      <c r="AF658" s="421"/>
      <c r="AG658" s="418"/>
      <c r="AH658" s="409"/>
      <c r="AI658" s="404"/>
      <c r="AJ658" s="416"/>
      <c r="AK658" s="453"/>
      <c r="AL658" s="422"/>
      <c r="AM658" s="423"/>
      <c r="AO658" s="137" t="e">
        <f t="shared" si="84"/>
        <v>#N/A</v>
      </c>
      <c r="AP658" s="138" t="e">
        <f t="shared" si="85"/>
        <v>#N/A</v>
      </c>
      <c r="AQ658" s="138" t="e">
        <f t="shared" si="86"/>
        <v>#N/A</v>
      </c>
      <c r="AR658" s="138" t="e">
        <f t="shared" si="87"/>
        <v>#N/A</v>
      </c>
      <c r="AS658" s="138" t="e">
        <f t="shared" si="88"/>
        <v>#N/A</v>
      </c>
      <c r="AT658" s="139" t="e">
        <f t="shared" si="89"/>
        <v>#N/A</v>
      </c>
    </row>
    <row r="659" spans="1:46" ht="54" customHeight="1">
      <c r="A659" s="428">
        <f t="shared" si="83"/>
        <v>651</v>
      </c>
      <c r="B659" s="403"/>
      <c r="C659" s="404"/>
      <c r="D659" s="405"/>
      <c r="E659" s="405"/>
      <c r="F659" s="405"/>
      <c r="G659" s="405"/>
      <c r="H659" s="406"/>
      <c r="I659" s="407"/>
      <c r="J659" s="408"/>
      <c r="K659" s="409"/>
      <c r="L659" s="410"/>
      <c r="M659" s="404"/>
      <c r="N659" s="411" t="str">
        <f>IF($AI659&lt;&gt;"",Master!$N$37,IF($AC659&lt;&gt;"",Master!$N$38,IF($S659&lt;&gt;"",Master!$N$39,IF($C659&lt;&gt;"",Master!$N$40,Master!$N$41))))</f>
        <v>起票</v>
      </c>
      <c r="O659" s="412" t="str">
        <f>IF($N659=Master!$N$37,MAX($S659,$AC659,$AI659),"")</f>
        <v/>
      </c>
      <c r="P659" s="413"/>
      <c r="Q659" s="414"/>
      <c r="R659" s="409"/>
      <c r="S659" s="404"/>
      <c r="T659" s="418"/>
      <c r="U659" s="415"/>
      <c r="V659" s="409"/>
      <c r="W659" s="419"/>
      <c r="X659" s="419"/>
      <c r="Y659" s="416"/>
      <c r="Z659" s="417"/>
      <c r="AA659" s="418"/>
      <c r="AB659" s="419"/>
      <c r="AC659" s="404"/>
      <c r="AD659" s="404"/>
      <c r="AE659" s="420"/>
      <c r="AF659" s="421"/>
      <c r="AG659" s="418"/>
      <c r="AH659" s="409"/>
      <c r="AI659" s="404"/>
      <c r="AJ659" s="416"/>
      <c r="AK659" s="453"/>
      <c r="AL659" s="422"/>
      <c r="AM659" s="423"/>
      <c r="AO659" s="137" t="e">
        <f t="shared" si="84"/>
        <v>#N/A</v>
      </c>
      <c r="AP659" s="138" t="e">
        <f t="shared" si="85"/>
        <v>#N/A</v>
      </c>
      <c r="AQ659" s="138" t="e">
        <f t="shared" si="86"/>
        <v>#N/A</v>
      </c>
      <c r="AR659" s="138" t="e">
        <f t="shared" si="87"/>
        <v>#N/A</v>
      </c>
      <c r="AS659" s="138" t="e">
        <f t="shared" si="88"/>
        <v>#N/A</v>
      </c>
      <c r="AT659" s="139" t="e">
        <f t="shared" si="89"/>
        <v>#N/A</v>
      </c>
    </row>
    <row r="660" spans="1:46" ht="54" customHeight="1">
      <c r="A660" s="428">
        <f t="shared" si="83"/>
        <v>652</v>
      </c>
      <c r="B660" s="294"/>
      <c r="C660" s="201"/>
      <c r="D660" s="290"/>
      <c r="E660" s="301"/>
      <c r="F660" s="301"/>
      <c r="G660" s="290"/>
      <c r="H660" s="291"/>
      <c r="I660" s="292"/>
      <c r="J660" s="61"/>
      <c r="K660" s="57"/>
      <c r="L660" s="303"/>
      <c r="M660" s="201"/>
      <c r="N660" s="84" t="str">
        <f>IF($AI660&lt;&gt;"",Master!$N$37,IF($AC660&lt;&gt;"",Master!$N$38,IF($S660&lt;&gt;"",Master!$N$39,IF($C660&lt;&gt;"",Master!$N$40,Master!$N$41))))</f>
        <v>起票</v>
      </c>
      <c r="O660" s="202" t="str">
        <f>IF($N660=Master!$N$37,MAX($S660,$AC660,$AI660),"")</f>
        <v/>
      </c>
      <c r="P660" s="65"/>
      <c r="Q660" s="203"/>
      <c r="R660" s="57"/>
      <c r="S660" s="203"/>
      <c r="T660" s="310"/>
      <c r="U660" s="289"/>
      <c r="V660" s="57"/>
      <c r="W660" s="288"/>
      <c r="X660" s="288"/>
      <c r="Y660" s="296"/>
      <c r="Z660" s="57"/>
      <c r="AA660" s="203"/>
      <c r="AB660" s="288"/>
      <c r="AC660" s="201"/>
      <c r="AD660" s="298"/>
      <c r="AE660" s="297"/>
      <c r="AF660" s="58"/>
      <c r="AG660" s="204"/>
      <c r="AH660" s="57"/>
      <c r="AI660" s="201"/>
      <c r="AJ660" s="287"/>
      <c r="AK660" s="452"/>
      <c r="AL660" s="59"/>
      <c r="AM660" s="60"/>
      <c r="AO660" s="137" t="e">
        <f t="shared" si="84"/>
        <v>#N/A</v>
      </c>
      <c r="AP660" s="138" t="e">
        <f t="shared" si="85"/>
        <v>#N/A</v>
      </c>
      <c r="AQ660" s="138" t="e">
        <f t="shared" si="86"/>
        <v>#N/A</v>
      </c>
      <c r="AR660" s="138" t="e">
        <f t="shared" si="87"/>
        <v>#N/A</v>
      </c>
      <c r="AS660" s="138" t="e">
        <f t="shared" si="88"/>
        <v>#N/A</v>
      </c>
      <c r="AT660" s="139" t="e">
        <f t="shared" si="89"/>
        <v>#N/A</v>
      </c>
    </row>
    <row r="661" spans="1:46" ht="54" customHeight="1">
      <c r="A661" s="428">
        <f t="shared" si="83"/>
        <v>653</v>
      </c>
      <c r="B661" s="294"/>
      <c r="C661" s="201"/>
      <c r="D661" s="290"/>
      <c r="E661" s="301"/>
      <c r="F661" s="301"/>
      <c r="G661" s="290"/>
      <c r="H661" s="291"/>
      <c r="I661" s="292"/>
      <c r="J661" s="61"/>
      <c r="K661" s="57"/>
      <c r="L661" s="303"/>
      <c r="M661" s="201"/>
      <c r="N661" s="84" t="str">
        <f>IF($AI661&lt;&gt;"",Master!$N$37,IF($AC661&lt;&gt;"",Master!$N$38,IF($S661&lt;&gt;"",Master!$N$39,IF($C661&lt;&gt;"",Master!$N$40,Master!$N$41))))</f>
        <v>起票</v>
      </c>
      <c r="O661" s="202" t="str">
        <f>IF($N661=Master!$N$37,MAX($S661,$AC661,$AI661),"")</f>
        <v/>
      </c>
      <c r="P661" s="65"/>
      <c r="Q661" s="203"/>
      <c r="R661" s="57"/>
      <c r="S661" s="203"/>
      <c r="T661" s="310"/>
      <c r="U661" s="289"/>
      <c r="V661" s="57"/>
      <c r="W661" s="288"/>
      <c r="X661" s="288"/>
      <c r="Y661" s="296"/>
      <c r="Z661" s="57"/>
      <c r="AA661" s="203"/>
      <c r="AB661" s="288"/>
      <c r="AC661" s="201"/>
      <c r="AD661" s="298"/>
      <c r="AE661" s="297"/>
      <c r="AF661" s="58"/>
      <c r="AG661" s="204"/>
      <c r="AH661" s="57"/>
      <c r="AI661" s="201"/>
      <c r="AJ661" s="287"/>
      <c r="AK661" s="452"/>
      <c r="AL661" s="59"/>
      <c r="AM661" s="60"/>
      <c r="AO661" s="137" t="e">
        <f t="shared" si="84"/>
        <v>#N/A</v>
      </c>
      <c r="AP661" s="138" t="e">
        <f t="shared" si="85"/>
        <v>#N/A</v>
      </c>
      <c r="AQ661" s="138" t="e">
        <f t="shared" si="86"/>
        <v>#N/A</v>
      </c>
      <c r="AR661" s="138" t="e">
        <f t="shared" si="87"/>
        <v>#N/A</v>
      </c>
      <c r="AS661" s="138" t="e">
        <f t="shared" si="88"/>
        <v>#N/A</v>
      </c>
      <c r="AT661" s="139" t="e">
        <f t="shared" si="89"/>
        <v>#N/A</v>
      </c>
    </row>
    <row r="662" spans="1:46" ht="54" customHeight="1">
      <c r="A662" s="428">
        <f t="shared" si="83"/>
        <v>654</v>
      </c>
      <c r="B662" s="403"/>
      <c r="C662" s="404"/>
      <c r="D662" s="405"/>
      <c r="E662" s="405"/>
      <c r="F662" s="405"/>
      <c r="G662" s="405"/>
      <c r="H662" s="406"/>
      <c r="I662" s="407"/>
      <c r="J662" s="408"/>
      <c r="K662" s="409"/>
      <c r="L662" s="410"/>
      <c r="M662" s="404"/>
      <c r="N662" s="411" t="str">
        <f>IF($AI662&lt;&gt;"",Master!$N$37,IF($AC662&lt;&gt;"",Master!$N$38,IF($S662&lt;&gt;"",Master!$N$39,IF($C662&lt;&gt;"",Master!$N$40,Master!$N$41))))</f>
        <v>起票</v>
      </c>
      <c r="O662" s="412" t="str">
        <f>IF($N662=Master!$N$37,MAX($S662,$AC662,$AI662),"")</f>
        <v/>
      </c>
      <c r="P662" s="413"/>
      <c r="Q662" s="414"/>
      <c r="R662" s="409"/>
      <c r="S662" s="404"/>
      <c r="T662" s="418"/>
      <c r="U662" s="415"/>
      <c r="V662" s="409"/>
      <c r="W662" s="419"/>
      <c r="X662" s="419"/>
      <c r="Y662" s="416"/>
      <c r="Z662" s="417"/>
      <c r="AA662" s="418"/>
      <c r="AB662" s="419"/>
      <c r="AC662" s="404"/>
      <c r="AD662" s="404"/>
      <c r="AE662" s="420"/>
      <c r="AF662" s="421"/>
      <c r="AG662" s="418"/>
      <c r="AH662" s="409"/>
      <c r="AI662" s="404"/>
      <c r="AJ662" s="416"/>
      <c r="AK662" s="453"/>
      <c r="AL662" s="422"/>
      <c r="AM662" s="423"/>
      <c r="AO662" s="137" t="e">
        <f t="shared" si="84"/>
        <v>#N/A</v>
      </c>
      <c r="AP662" s="138" t="e">
        <f t="shared" si="85"/>
        <v>#N/A</v>
      </c>
      <c r="AQ662" s="138" t="e">
        <f t="shared" si="86"/>
        <v>#N/A</v>
      </c>
      <c r="AR662" s="138" t="e">
        <f t="shared" si="87"/>
        <v>#N/A</v>
      </c>
      <c r="AS662" s="138" t="e">
        <f t="shared" si="88"/>
        <v>#N/A</v>
      </c>
      <c r="AT662" s="139" t="e">
        <f t="shared" si="89"/>
        <v>#N/A</v>
      </c>
    </row>
    <row r="663" spans="1:46" ht="54" customHeight="1">
      <c r="A663" s="428">
        <f t="shared" si="83"/>
        <v>655</v>
      </c>
      <c r="B663" s="403"/>
      <c r="C663" s="404"/>
      <c r="D663" s="405"/>
      <c r="E663" s="405"/>
      <c r="F663" s="405"/>
      <c r="G663" s="405"/>
      <c r="H663" s="406"/>
      <c r="I663" s="407"/>
      <c r="J663" s="408"/>
      <c r="K663" s="409"/>
      <c r="L663" s="410"/>
      <c r="M663" s="404"/>
      <c r="N663" s="411" t="str">
        <f>IF($AI663&lt;&gt;"",Master!$N$37,IF($AC663&lt;&gt;"",Master!$N$38,IF($S663&lt;&gt;"",Master!$N$39,IF($C663&lt;&gt;"",Master!$N$40,Master!$N$41))))</f>
        <v>起票</v>
      </c>
      <c r="O663" s="412" t="str">
        <f>IF($N663=Master!$N$37,MAX($S663,$AC663,$AI663),"")</f>
        <v/>
      </c>
      <c r="P663" s="413"/>
      <c r="Q663" s="414"/>
      <c r="R663" s="409"/>
      <c r="S663" s="404"/>
      <c r="T663" s="418"/>
      <c r="U663" s="415"/>
      <c r="V663" s="409"/>
      <c r="W663" s="419"/>
      <c r="X663" s="419"/>
      <c r="Y663" s="416"/>
      <c r="Z663" s="417"/>
      <c r="AA663" s="418"/>
      <c r="AB663" s="419"/>
      <c r="AC663" s="404"/>
      <c r="AD663" s="404"/>
      <c r="AE663" s="420"/>
      <c r="AF663" s="421"/>
      <c r="AG663" s="418"/>
      <c r="AH663" s="409"/>
      <c r="AI663" s="404"/>
      <c r="AJ663" s="416"/>
      <c r="AK663" s="453"/>
      <c r="AL663" s="422"/>
      <c r="AM663" s="423"/>
      <c r="AO663" s="137" t="e">
        <f t="shared" si="84"/>
        <v>#N/A</v>
      </c>
      <c r="AP663" s="138" t="e">
        <f t="shared" si="85"/>
        <v>#N/A</v>
      </c>
      <c r="AQ663" s="138" t="e">
        <f t="shared" si="86"/>
        <v>#N/A</v>
      </c>
      <c r="AR663" s="138" t="e">
        <f t="shared" si="87"/>
        <v>#N/A</v>
      </c>
      <c r="AS663" s="138" t="e">
        <f t="shared" si="88"/>
        <v>#N/A</v>
      </c>
      <c r="AT663" s="139" t="e">
        <f t="shared" si="89"/>
        <v>#N/A</v>
      </c>
    </row>
    <row r="664" spans="1:46" ht="54" customHeight="1">
      <c r="A664" s="428">
        <f t="shared" si="83"/>
        <v>656</v>
      </c>
      <c r="B664" s="403"/>
      <c r="C664" s="404"/>
      <c r="D664" s="405"/>
      <c r="E664" s="405"/>
      <c r="F664" s="405"/>
      <c r="G664" s="405"/>
      <c r="H664" s="406"/>
      <c r="I664" s="407"/>
      <c r="J664" s="408"/>
      <c r="K664" s="409"/>
      <c r="L664" s="410"/>
      <c r="M664" s="404"/>
      <c r="N664" s="411" t="str">
        <f>IF($AI664&lt;&gt;"",Master!$N$37,IF($AC664&lt;&gt;"",Master!$N$38,IF($S664&lt;&gt;"",Master!$N$39,IF($C664&lt;&gt;"",Master!$N$40,Master!$N$41))))</f>
        <v>起票</v>
      </c>
      <c r="O664" s="412" t="str">
        <f>IF($N664=Master!$N$37,MAX($S664,$AC664,$AI664),"")</f>
        <v/>
      </c>
      <c r="P664" s="413"/>
      <c r="Q664" s="414"/>
      <c r="R664" s="409"/>
      <c r="S664" s="404"/>
      <c r="T664" s="418"/>
      <c r="U664" s="415"/>
      <c r="V664" s="409"/>
      <c r="W664" s="419"/>
      <c r="X664" s="419"/>
      <c r="Y664" s="416"/>
      <c r="Z664" s="417"/>
      <c r="AA664" s="418"/>
      <c r="AB664" s="419"/>
      <c r="AC664" s="404"/>
      <c r="AD664" s="404"/>
      <c r="AE664" s="420"/>
      <c r="AF664" s="421"/>
      <c r="AG664" s="418"/>
      <c r="AH664" s="409"/>
      <c r="AI664" s="404"/>
      <c r="AJ664" s="416"/>
      <c r="AK664" s="453"/>
      <c r="AL664" s="422"/>
      <c r="AM664" s="423"/>
      <c r="AO664" s="137" t="e">
        <f t="shared" si="84"/>
        <v>#N/A</v>
      </c>
      <c r="AP664" s="138" t="e">
        <f t="shared" si="85"/>
        <v>#N/A</v>
      </c>
      <c r="AQ664" s="138" t="e">
        <f t="shared" si="86"/>
        <v>#N/A</v>
      </c>
      <c r="AR664" s="138" t="e">
        <f t="shared" si="87"/>
        <v>#N/A</v>
      </c>
      <c r="AS664" s="138" t="e">
        <f t="shared" si="88"/>
        <v>#N/A</v>
      </c>
      <c r="AT664" s="139" t="e">
        <f t="shared" si="89"/>
        <v>#N/A</v>
      </c>
    </row>
    <row r="665" spans="1:46" ht="54" customHeight="1">
      <c r="A665" s="428">
        <f t="shared" si="83"/>
        <v>657</v>
      </c>
      <c r="B665" s="294"/>
      <c r="C665" s="201"/>
      <c r="D665" s="290"/>
      <c r="E665" s="301"/>
      <c r="F665" s="301"/>
      <c r="G665" s="290"/>
      <c r="H665" s="291"/>
      <c r="I665" s="292"/>
      <c r="J665" s="61"/>
      <c r="K665" s="57"/>
      <c r="L665" s="303"/>
      <c r="M665" s="201"/>
      <c r="N665" s="84" t="str">
        <f>IF($AI665&lt;&gt;"",Master!$N$37,IF($AC665&lt;&gt;"",Master!$N$38,IF($S665&lt;&gt;"",Master!$N$39,IF($C665&lt;&gt;"",Master!$N$40,Master!$N$41))))</f>
        <v>起票</v>
      </c>
      <c r="O665" s="202" t="str">
        <f>IF($N665=Master!$N$37,MAX($S665,$AC665,$AI665),"")</f>
        <v/>
      </c>
      <c r="P665" s="65"/>
      <c r="Q665" s="203"/>
      <c r="R665" s="57"/>
      <c r="S665" s="203"/>
      <c r="T665" s="310"/>
      <c r="U665" s="289"/>
      <c r="V665" s="57"/>
      <c r="W665" s="288"/>
      <c r="X665" s="288"/>
      <c r="Y665" s="296"/>
      <c r="Z665" s="57"/>
      <c r="AA665" s="203"/>
      <c r="AB665" s="288"/>
      <c r="AC665" s="201"/>
      <c r="AD665" s="298"/>
      <c r="AE665" s="297"/>
      <c r="AF665" s="58"/>
      <c r="AG665" s="204"/>
      <c r="AH665" s="57"/>
      <c r="AI665" s="201"/>
      <c r="AJ665" s="287"/>
      <c r="AK665" s="452"/>
      <c r="AL665" s="59"/>
      <c r="AM665" s="60"/>
      <c r="AO665" s="137" t="e">
        <f t="shared" si="84"/>
        <v>#N/A</v>
      </c>
      <c r="AP665" s="138" t="e">
        <f t="shared" si="85"/>
        <v>#N/A</v>
      </c>
      <c r="AQ665" s="138" t="e">
        <f t="shared" si="86"/>
        <v>#N/A</v>
      </c>
      <c r="AR665" s="138" t="e">
        <f t="shared" si="87"/>
        <v>#N/A</v>
      </c>
      <c r="AS665" s="138" t="e">
        <f t="shared" si="88"/>
        <v>#N/A</v>
      </c>
      <c r="AT665" s="139" t="e">
        <f t="shared" si="89"/>
        <v>#N/A</v>
      </c>
    </row>
    <row r="666" spans="1:46" ht="54" customHeight="1">
      <c r="A666" s="428">
        <f t="shared" si="83"/>
        <v>658</v>
      </c>
      <c r="B666" s="294"/>
      <c r="C666" s="201"/>
      <c r="D666" s="290"/>
      <c r="E666" s="301"/>
      <c r="F666" s="301"/>
      <c r="G666" s="290"/>
      <c r="H666" s="291"/>
      <c r="I666" s="292"/>
      <c r="J666" s="61"/>
      <c r="K666" s="57"/>
      <c r="L666" s="303"/>
      <c r="M666" s="201"/>
      <c r="N666" s="84" t="str">
        <f>IF($AI666&lt;&gt;"",Master!$N$37,IF($AC666&lt;&gt;"",Master!$N$38,IF($S666&lt;&gt;"",Master!$N$39,IF($C666&lt;&gt;"",Master!$N$40,Master!$N$41))))</f>
        <v>起票</v>
      </c>
      <c r="O666" s="202" t="str">
        <f>IF($N666=Master!$N$37,MAX($S666,$AC666,$AI666),"")</f>
        <v/>
      </c>
      <c r="P666" s="65"/>
      <c r="Q666" s="203"/>
      <c r="R666" s="57"/>
      <c r="S666" s="203"/>
      <c r="T666" s="310"/>
      <c r="U666" s="289"/>
      <c r="V666" s="57"/>
      <c r="W666" s="288"/>
      <c r="X666" s="288"/>
      <c r="Y666" s="296"/>
      <c r="Z666" s="57"/>
      <c r="AA666" s="203"/>
      <c r="AB666" s="288"/>
      <c r="AC666" s="201"/>
      <c r="AD666" s="298"/>
      <c r="AE666" s="297"/>
      <c r="AF666" s="58"/>
      <c r="AG666" s="204"/>
      <c r="AH666" s="57"/>
      <c r="AI666" s="201"/>
      <c r="AJ666" s="287"/>
      <c r="AK666" s="452"/>
      <c r="AL666" s="59"/>
      <c r="AM666" s="60"/>
      <c r="AO666" s="137" t="e">
        <f t="shared" si="84"/>
        <v>#N/A</v>
      </c>
      <c r="AP666" s="138" t="e">
        <f t="shared" si="85"/>
        <v>#N/A</v>
      </c>
      <c r="AQ666" s="138" t="e">
        <f t="shared" si="86"/>
        <v>#N/A</v>
      </c>
      <c r="AR666" s="138" t="e">
        <f t="shared" si="87"/>
        <v>#N/A</v>
      </c>
      <c r="AS666" s="138" t="e">
        <f t="shared" si="88"/>
        <v>#N/A</v>
      </c>
      <c r="AT666" s="139" t="e">
        <f t="shared" si="89"/>
        <v>#N/A</v>
      </c>
    </row>
    <row r="667" spans="1:46" ht="54" customHeight="1">
      <c r="A667" s="428">
        <f t="shared" si="83"/>
        <v>659</v>
      </c>
      <c r="B667" s="403"/>
      <c r="C667" s="404"/>
      <c r="D667" s="405"/>
      <c r="E667" s="405"/>
      <c r="F667" s="405"/>
      <c r="G667" s="405"/>
      <c r="H667" s="406"/>
      <c r="I667" s="407"/>
      <c r="J667" s="408"/>
      <c r="K667" s="409"/>
      <c r="L667" s="410"/>
      <c r="M667" s="404"/>
      <c r="N667" s="411" t="str">
        <f>IF($AI667&lt;&gt;"",Master!$N$37,IF($AC667&lt;&gt;"",Master!$N$38,IF($S667&lt;&gt;"",Master!$N$39,IF($C667&lt;&gt;"",Master!$N$40,Master!$N$41))))</f>
        <v>起票</v>
      </c>
      <c r="O667" s="412" t="str">
        <f>IF($N667=Master!$N$37,MAX($S667,$AC667,$AI667),"")</f>
        <v/>
      </c>
      <c r="P667" s="413"/>
      <c r="Q667" s="414"/>
      <c r="R667" s="409"/>
      <c r="S667" s="404"/>
      <c r="T667" s="418"/>
      <c r="U667" s="415"/>
      <c r="V667" s="409"/>
      <c r="W667" s="419"/>
      <c r="X667" s="419"/>
      <c r="Y667" s="416"/>
      <c r="Z667" s="417"/>
      <c r="AA667" s="418"/>
      <c r="AB667" s="419"/>
      <c r="AC667" s="404"/>
      <c r="AD667" s="404"/>
      <c r="AE667" s="420"/>
      <c r="AF667" s="421"/>
      <c r="AG667" s="418"/>
      <c r="AH667" s="409"/>
      <c r="AI667" s="404"/>
      <c r="AJ667" s="416"/>
      <c r="AK667" s="453"/>
      <c r="AL667" s="422"/>
      <c r="AM667" s="423"/>
      <c r="AO667" s="137" t="e">
        <f t="shared" si="84"/>
        <v>#N/A</v>
      </c>
      <c r="AP667" s="138" t="e">
        <f t="shared" si="85"/>
        <v>#N/A</v>
      </c>
      <c r="AQ667" s="138" t="e">
        <f t="shared" si="86"/>
        <v>#N/A</v>
      </c>
      <c r="AR667" s="138" t="e">
        <f t="shared" si="87"/>
        <v>#N/A</v>
      </c>
      <c r="AS667" s="138" t="e">
        <f t="shared" si="88"/>
        <v>#N/A</v>
      </c>
      <c r="AT667" s="139" t="e">
        <f t="shared" si="89"/>
        <v>#N/A</v>
      </c>
    </row>
    <row r="668" spans="1:46" ht="54" customHeight="1">
      <c r="A668" s="428">
        <f t="shared" si="83"/>
        <v>660</v>
      </c>
      <c r="B668" s="403"/>
      <c r="C668" s="404"/>
      <c r="D668" s="405"/>
      <c r="E668" s="405"/>
      <c r="F668" s="405"/>
      <c r="G668" s="405"/>
      <c r="H668" s="406"/>
      <c r="I668" s="407"/>
      <c r="J668" s="408"/>
      <c r="K668" s="409"/>
      <c r="L668" s="410"/>
      <c r="M668" s="404"/>
      <c r="N668" s="411" t="str">
        <f>IF($AI668&lt;&gt;"",Master!$N$37,IF($AC668&lt;&gt;"",Master!$N$38,IF($S668&lt;&gt;"",Master!$N$39,IF($C668&lt;&gt;"",Master!$N$40,Master!$N$41))))</f>
        <v>起票</v>
      </c>
      <c r="O668" s="412" t="str">
        <f>IF($N668=Master!$N$37,MAX($S668,$AC668,$AI668),"")</f>
        <v/>
      </c>
      <c r="P668" s="413"/>
      <c r="Q668" s="414"/>
      <c r="R668" s="409"/>
      <c r="S668" s="404"/>
      <c r="T668" s="418"/>
      <c r="U668" s="415"/>
      <c r="V668" s="409"/>
      <c r="W668" s="419"/>
      <c r="X668" s="419"/>
      <c r="Y668" s="416"/>
      <c r="Z668" s="417"/>
      <c r="AA668" s="418"/>
      <c r="AB668" s="419"/>
      <c r="AC668" s="404"/>
      <c r="AD668" s="404"/>
      <c r="AE668" s="420"/>
      <c r="AF668" s="421"/>
      <c r="AG668" s="418"/>
      <c r="AH668" s="409"/>
      <c r="AI668" s="404"/>
      <c r="AJ668" s="416"/>
      <c r="AK668" s="453"/>
      <c r="AL668" s="422"/>
      <c r="AM668" s="423"/>
      <c r="AO668" s="137" t="e">
        <f t="shared" si="84"/>
        <v>#N/A</v>
      </c>
      <c r="AP668" s="138" t="e">
        <f t="shared" si="85"/>
        <v>#N/A</v>
      </c>
      <c r="AQ668" s="138" t="e">
        <f t="shared" si="86"/>
        <v>#N/A</v>
      </c>
      <c r="AR668" s="138" t="e">
        <f t="shared" si="87"/>
        <v>#N/A</v>
      </c>
      <c r="AS668" s="138" t="e">
        <f t="shared" si="88"/>
        <v>#N/A</v>
      </c>
      <c r="AT668" s="139" t="e">
        <f t="shared" si="89"/>
        <v>#N/A</v>
      </c>
    </row>
    <row r="669" spans="1:46" ht="54" customHeight="1">
      <c r="A669" s="428">
        <f t="shared" si="83"/>
        <v>661</v>
      </c>
      <c r="B669" s="403"/>
      <c r="C669" s="404"/>
      <c r="D669" s="405"/>
      <c r="E669" s="405"/>
      <c r="F669" s="405"/>
      <c r="G669" s="405"/>
      <c r="H669" s="406"/>
      <c r="I669" s="407"/>
      <c r="J669" s="408"/>
      <c r="K669" s="409"/>
      <c r="L669" s="410"/>
      <c r="M669" s="404"/>
      <c r="N669" s="411" t="str">
        <f>IF($AI669&lt;&gt;"",Master!$N$37,IF($AC669&lt;&gt;"",Master!$N$38,IF($S669&lt;&gt;"",Master!$N$39,IF($C669&lt;&gt;"",Master!$N$40,Master!$N$41))))</f>
        <v>起票</v>
      </c>
      <c r="O669" s="412" t="str">
        <f>IF($N669=Master!$N$37,MAX($S669,$AC669,$AI669),"")</f>
        <v/>
      </c>
      <c r="P669" s="413"/>
      <c r="Q669" s="414"/>
      <c r="R669" s="409"/>
      <c r="S669" s="404"/>
      <c r="T669" s="418"/>
      <c r="U669" s="415"/>
      <c r="V669" s="409"/>
      <c r="W669" s="419"/>
      <c r="X669" s="419"/>
      <c r="Y669" s="416"/>
      <c r="Z669" s="417"/>
      <c r="AA669" s="418"/>
      <c r="AB669" s="419"/>
      <c r="AC669" s="404"/>
      <c r="AD669" s="404"/>
      <c r="AE669" s="420"/>
      <c r="AF669" s="421"/>
      <c r="AG669" s="418"/>
      <c r="AH669" s="409"/>
      <c r="AI669" s="404"/>
      <c r="AJ669" s="416"/>
      <c r="AK669" s="453"/>
      <c r="AL669" s="422"/>
      <c r="AM669" s="423"/>
      <c r="AO669" s="137" t="e">
        <f t="shared" si="84"/>
        <v>#N/A</v>
      </c>
      <c r="AP669" s="138" t="e">
        <f t="shared" si="85"/>
        <v>#N/A</v>
      </c>
      <c r="AQ669" s="138" t="e">
        <f t="shared" si="86"/>
        <v>#N/A</v>
      </c>
      <c r="AR669" s="138" t="e">
        <f t="shared" si="87"/>
        <v>#N/A</v>
      </c>
      <c r="AS669" s="138" t="e">
        <f t="shared" si="88"/>
        <v>#N/A</v>
      </c>
      <c r="AT669" s="139" t="e">
        <f t="shared" si="89"/>
        <v>#N/A</v>
      </c>
    </row>
    <row r="670" spans="1:46" ht="54" customHeight="1">
      <c r="A670" s="428">
        <f t="shared" si="83"/>
        <v>662</v>
      </c>
      <c r="B670" s="294"/>
      <c r="C670" s="201"/>
      <c r="D670" s="290"/>
      <c r="E670" s="301"/>
      <c r="F670" s="301"/>
      <c r="G670" s="290"/>
      <c r="H670" s="291"/>
      <c r="I670" s="292"/>
      <c r="J670" s="61"/>
      <c r="K670" s="57"/>
      <c r="L670" s="303"/>
      <c r="M670" s="201"/>
      <c r="N670" s="84" t="str">
        <f>IF($AI670&lt;&gt;"",Master!$N$37,IF($AC670&lt;&gt;"",Master!$N$38,IF($S670&lt;&gt;"",Master!$N$39,IF($C670&lt;&gt;"",Master!$N$40,Master!$N$41))))</f>
        <v>起票</v>
      </c>
      <c r="O670" s="202" t="str">
        <f>IF($N670=Master!$N$37,MAX($S670,$AC670,$AI670),"")</f>
        <v/>
      </c>
      <c r="P670" s="65"/>
      <c r="Q670" s="203"/>
      <c r="R670" s="57"/>
      <c r="S670" s="203"/>
      <c r="T670" s="310"/>
      <c r="U670" s="289"/>
      <c r="V670" s="57"/>
      <c r="W670" s="288"/>
      <c r="X670" s="288"/>
      <c r="Y670" s="296"/>
      <c r="Z670" s="57"/>
      <c r="AA670" s="203"/>
      <c r="AB670" s="288"/>
      <c r="AC670" s="201"/>
      <c r="AD670" s="298"/>
      <c r="AE670" s="297"/>
      <c r="AF670" s="58"/>
      <c r="AG670" s="204"/>
      <c r="AH670" s="57"/>
      <c r="AI670" s="201"/>
      <c r="AJ670" s="287"/>
      <c r="AK670" s="452"/>
      <c r="AL670" s="59"/>
      <c r="AM670" s="60"/>
      <c r="AO670" s="137" t="e">
        <f t="shared" si="84"/>
        <v>#N/A</v>
      </c>
      <c r="AP670" s="138" t="e">
        <f t="shared" si="85"/>
        <v>#N/A</v>
      </c>
      <c r="AQ670" s="138" t="e">
        <f t="shared" si="86"/>
        <v>#N/A</v>
      </c>
      <c r="AR670" s="138" t="e">
        <f t="shared" si="87"/>
        <v>#N/A</v>
      </c>
      <c r="AS670" s="138" t="e">
        <f t="shared" si="88"/>
        <v>#N/A</v>
      </c>
      <c r="AT670" s="139" t="e">
        <f t="shared" si="89"/>
        <v>#N/A</v>
      </c>
    </row>
    <row r="671" spans="1:46" ht="54" customHeight="1">
      <c r="A671" s="428">
        <f t="shared" si="83"/>
        <v>663</v>
      </c>
      <c r="B671" s="294"/>
      <c r="C671" s="201"/>
      <c r="D671" s="290"/>
      <c r="E671" s="301"/>
      <c r="F671" s="301"/>
      <c r="G671" s="290"/>
      <c r="H671" s="291"/>
      <c r="I671" s="292"/>
      <c r="J671" s="61"/>
      <c r="K671" s="57"/>
      <c r="L671" s="303"/>
      <c r="M671" s="201"/>
      <c r="N671" s="84" t="str">
        <f>IF($AI671&lt;&gt;"",Master!$N$37,IF($AC671&lt;&gt;"",Master!$N$38,IF($S671&lt;&gt;"",Master!$N$39,IF($C671&lt;&gt;"",Master!$N$40,Master!$N$41))))</f>
        <v>起票</v>
      </c>
      <c r="O671" s="202" t="str">
        <f>IF($N671=Master!$N$37,MAX($S671,$AC671,$AI671),"")</f>
        <v/>
      </c>
      <c r="P671" s="65"/>
      <c r="Q671" s="203"/>
      <c r="R671" s="57"/>
      <c r="S671" s="203"/>
      <c r="T671" s="310"/>
      <c r="U671" s="289"/>
      <c r="V671" s="57"/>
      <c r="W671" s="288"/>
      <c r="X671" s="288"/>
      <c r="Y671" s="296"/>
      <c r="Z671" s="57"/>
      <c r="AA671" s="203"/>
      <c r="AB671" s="288"/>
      <c r="AC671" s="201"/>
      <c r="AD671" s="298"/>
      <c r="AE671" s="297"/>
      <c r="AF671" s="58"/>
      <c r="AG671" s="204"/>
      <c r="AH671" s="57"/>
      <c r="AI671" s="201"/>
      <c r="AJ671" s="287"/>
      <c r="AK671" s="452"/>
      <c r="AL671" s="59"/>
      <c r="AM671" s="60"/>
      <c r="AO671" s="137" t="e">
        <f t="shared" si="84"/>
        <v>#N/A</v>
      </c>
      <c r="AP671" s="138" t="e">
        <f t="shared" si="85"/>
        <v>#N/A</v>
      </c>
      <c r="AQ671" s="138" t="e">
        <f t="shared" si="86"/>
        <v>#N/A</v>
      </c>
      <c r="AR671" s="138" t="e">
        <f t="shared" si="87"/>
        <v>#N/A</v>
      </c>
      <c r="AS671" s="138" t="e">
        <f t="shared" si="88"/>
        <v>#N/A</v>
      </c>
      <c r="AT671" s="139" t="e">
        <f t="shared" si="89"/>
        <v>#N/A</v>
      </c>
    </row>
    <row r="672" spans="1:46" ht="54" customHeight="1">
      <c r="A672" s="428">
        <f t="shared" si="83"/>
        <v>664</v>
      </c>
      <c r="B672" s="403"/>
      <c r="C672" s="404"/>
      <c r="D672" s="405"/>
      <c r="E672" s="405"/>
      <c r="F672" s="405"/>
      <c r="G672" s="405"/>
      <c r="H672" s="406"/>
      <c r="I672" s="407"/>
      <c r="J672" s="408"/>
      <c r="K672" s="409"/>
      <c r="L672" s="410"/>
      <c r="M672" s="404"/>
      <c r="N672" s="411" t="str">
        <f>IF($AI672&lt;&gt;"",Master!$N$37,IF($AC672&lt;&gt;"",Master!$N$38,IF($S672&lt;&gt;"",Master!$N$39,IF($C672&lt;&gt;"",Master!$N$40,Master!$N$41))))</f>
        <v>起票</v>
      </c>
      <c r="O672" s="412" t="str">
        <f>IF($N672=Master!$N$37,MAX($S672,$AC672,$AI672),"")</f>
        <v/>
      </c>
      <c r="P672" s="413"/>
      <c r="Q672" s="414"/>
      <c r="R672" s="409"/>
      <c r="S672" s="404"/>
      <c r="T672" s="418"/>
      <c r="U672" s="415"/>
      <c r="V672" s="409"/>
      <c r="W672" s="419"/>
      <c r="X672" s="419"/>
      <c r="Y672" s="416"/>
      <c r="Z672" s="417"/>
      <c r="AA672" s="418"/>
      <c r="AB672" s="419"/>
      <c r="AC672" s="404"/>
      <c r="AD672" s="404"/>
      <c r="AE672" s="420"/>
      <c r="AF672" s="421"/>
      <c r="AG672" s="418"/>
      <c r="AH672" s="409"/>
      <c r="AI672" s="404"/>
      <c r="AJ672" s="416"/>
      <c r="AK672" s="453"/>
      <c r="AL672" s="422"/>
      <c r="AM672" s="423"/>
      <c r="AO672" s="137" t="e">
        <f t="shared" si="84"/>
        <v>#N/A</v>
      </c>
      <c r="AP672" s="138" t="e">
        <f t="shared" si="85"/>
        <v>#N/A</v>
      </c>
      <c r="AQ672" s="138" t="e">
        <f t="shared" si="86"/>
        <v>#N/A</v>
      </c>
      <c r="AR672" s="138" t="e">
        <f t="shared" si="87"/>
        <v>#N/A</v>
      </c>
      <c r="AS672" s="138" t="e">
        <f t="shared" si="88"/>
        <v>#N/A</v>
      </c>
      <c r="AT672" s="139" t="e">
        <f t="shared" si="89"/>
        <v>#N/A</v>
      </c>
    </row>
    <row r="673" spans="1:46" ht="54" customHeight="1">
      <c r="A673" s="428">
        <f t="shared" si="83"/>
        <v>665</v>
      </c>
      <c r="B673" s="403"/>
      <c r="C673" s="404"/>
      <c r="D673" s="405"/>
      <c r="E673" s="405"/>
      <c r="F673" s="405"/>
      <c r="G673" s="405"/>
      <c r="H673" s="406"/>
      <c r="I673" s="407"/>
      <c r="J673" s="408"/>
      <c r="K673" s="409"/>
      <c r="L673" s="410"/>
      <c r="M673" s="404"/>
      <c r="N673" s="411" t="str">
        <f>IF($AI673&lt;&gt;"",Master!$N$37,IF($AC673&lt;&gt;"",Master!$N$38,IF($S673&lt;&gt;"",Master!$N$39,IF($C673&lt;&gt;"",Master!$N$40,Master!$N$41))))</f>
        <v>起票</v>
      </c>
      <c r="O673" s="412" t="str">
        <f>IF($N673=Master!$N$37,MAX($S673,$AC673,$AI673),"")</f>
        <v/>
      </c>
      <c r="P673" s="413"/>
      <c r="Q673" s="414"/>
      <c r="R673" s="409"/>
      <c r="S673" s="404"/>
      <c r="T673" s="418"/>
      <c r="U673" s="415"/>
      <c r="V673" s="409"/>
      <c r="W673" s="419"/>
      <c r="X673" s="419"/>
      <c r="Y673" s="416"/>
      <c r="Z673" s="417"/>
      <c r="AA673" s="418"/>
      <c r="AB673" s="419"/>
      <c r="AC673" s="404"/>
      <c r="AD673" s="404"/>
      <c r="AE673" s="420"/>
      <c r="AF673" s="421"/>
      <c r="AG673" s="418"/>
      <c r="AH673" s="409"/>
      <c r="AI673" s="404"/>
      <c r="AJ673" s="416"/>
      <c r="AK673" s="453"/>
      <c r="AL673" s="422"/>
      <c r="AM673" s="423"/>
      <c r="AO673" s="137" t="e">
        <f t="shared" si="84"/>
        <v>#N/A</v>
      </c>
      <c r="AP673" s="138" t="e">
        <f t="shared" si="85"/>
        <v>#N/A</v>
      </c>
      <c r="AQ673" s="138" t="e">
        <f t="shared" si="86"/>
        <v>#N/A</v>
      </c>
      <c r="AR673" s="138" t="e">
        <f t="shared" si="87"/>
        <v>#N/A</v>
      </c>
      <c r="AS673" s="138" t="e">
        <f t="shared" si="88"/>
        <v>#N/A</v>
      </c>
      <c r="AT673" s="139" t="e">
        <f t="shared" si="89"/>
        <v>#N/A</v>
      </c>
    </row>
    <row r="674" spans="1:46" ht="54" customHeight="1">
      <c r="A674" s="428">
        <f t="shared" si="83"/>
        <v>666</v>
      </c>
      <c r="B674" s="403"/>
      <c r="C674" s="404"/>
      <c r="D674" s="405"/>
      <c r="E674" s="405"/>
      <c r="F674" s="405"/>
      <c r="G674" s="405"/>
      <c r="H674" s="406"/>
      <c r="I674" s="407"/>
      <c r="J674" s="408"/>
      <c r="K674" s="409"/>
      <c r="L674" s="410"/>
      <c r="M674" s="404"/>
      <c r="N674" s="411" t="str">
        <f>IF($AI674&lt;&gt;"",Master!$N$37,IF($AC674&lt;&gt;"",Master!$N$38,IF($S674&lt;&gt;"",Master!$N$39,IF($C674&lt;&gt;"",Master!$N$40,Master!$N$41))))</f>
        <v>起票</v>
      </c>
      <c r="O674" s="412" t="str">
        <f>IF($N674=Master!$N$37,MAX($S674,$AC674,$AI674),"")</f>
        <v/>
      </c>
      <c r="P674" s="413"/>
      <c r="Q674" s="414"/>
      <c r="R674" s="409"/>
      <c r="S674" s="404"/>
      <c r="T674" s="418"/>
      <c r="U674" s="415"/>
      <c r="V674" s="409"/>
      <c r="W674" s="419"/>
      <c r="X674" s="419"/>
      <c r="Y674" s="416"/>
      <c r="Z674" s="417"/>
      <c r="AA674" s="418"/>
      <c r="AB674" s="419"/>
      <c r="AC674" s="404"/>
      <c r="AD674" s="404"/>
      <c r="AE674" s="420"/>
      <c r="AF674" s="421"/>
      <c r="AG674" s="418"/>
      <c r="AH674" s="409"/>
      <c r="AI674" s="404"/>
      <c r="AJ674" s="416"/>
      <c r="AK674" s="453"/>
      <c r="AL674" s="422"/>
      <c r="AM674" s="423"/>
      <c r="AO674" s="137" t="e">
        <f t="shared" si="84"/>
        <v>#N/A</v>
      </c>
      <c r="AP674" s="138" t="e">
        <f t="shared" si="85"/>
        <v>#N/A</v>
      </c>
      <c r="AQ674" s="138" t="e">
        <f t="shared" si="86"/>
        <v>#N/A</v>
      </c>
      <c r="AR674" s="138" t="e">
        <f t="shared" si="87"/>
        <v>#N/A</v>
      </c>
      <c r="AS674" s="138" t="e">
        <f t="shared" si="88"/>
        <v>#N/A</v>
      </c>
      <c r="AT674" s="139" t="e">
        <f t="shared" si="89"/>
        <v>#N/A</v>
      </c>
    </row>
    <row r="675" spans="1:46" ht="54" customHeight="1">
      <c r="A675" s="428">
        <f t="shared" si="83"/>
        <v>667</v>
      </c>
      <c r="B675" s="294"/>
      <c r="C675" s="201"/>
      <c r="D675" s="290"/>
      <c r="E675" s="301"/>
      <c r="F675" s="301"/>
      <c r="G675" s="290"/>
      <c r="H675" s="291"/>
      <c r="I675" s="292"/>
      <c r="J675" s="61"/>
      <c r="K675" s="57"/>
      <c r="L675" s="303"/>
      <c r="M675" s="201"/>
      <c r="N675" s="84" t="str">
        <f>IF($AI675&lt;&gt;"",Master!$N$37,IF($AC675&lt;&gt;"",Master!$N$38,IF($S675&lt;&gt;"",Master!$N$39,IF($C675&lt;&gt;"",Master!$N$40,Master!$N$41))))</f>
        <v>起票</v>
      </c>
      <c r="O675" s="202" t="str">
        <f>IF($N675=Master!$N$37,MAX($S675,$AC675,$AI675),"")</f>
        <v/>
      </c>
      <c r="P675" s="65"/>
      <c r="Q675" s="203"/>
      <c r="R675" s="57"/>
      <c r="S675" s="203"/>
      <c r="T675" s="310"/>
      <c r="U675" s="289"/>
      <c r="V675" s="57"/>
      <c r="W675" s="288"/>
      <c r="X675" s="288"/>
      <c r="Y675" s="296"/>
      <c r="Z675" s="57"/>
      <c r="AA675" s="203"/>
      <c r="AB675" s="288"/>
      <c r="AC675" s="201"/>
      <c r="AD675" s="298"/>
      <c r="AE675" s="297"/>
      <c r="AF675" s="58"/>
      <c r="AG675" s="204"/>
      <c r="AH675" s="57"/>
      <c r="AI675" s="201"/>
      <c r="AJ675" s="287"/>
      <c r="AK675" s="452"/>
      <c r="AL675" s="59"/>
      <c r="AM675" s="60"/>
      <c r="AO675" s="137" t="e">
        <f t="shared" si="84"/>
        <v>#N/A</v>
      </c>
      <c r="AP675" s="138" t="e">
        <f t="shared" si="85"/>
        <v>#N/A</v>
      </c>
      <c r="AQ675" s="138" t="e">
        <f t="shared" si="86"/>
        <v>#N/A</v>
      </c>
      <c r="AR675" s="138" t="e">
        <f t="shared" si="87"/>
        <v>#N/A</v>
      </c>
      <c r="AS675" s="138" t="e">
        <f t="shared" si="88"/>
        <v>#N/A</v>
      </c>
      <c r="AT675" s="139" t="e">
        <f t="shared" si="89"/>
        <v>#N/A</v>
      </c>
    </row>
    <row r="676" spans="1:46" ht="54" customHeight="1">
      <c r="A676" s="428">
        <f t="shared" si="83"/>
        <v>668</v>
      </c>
      <c r="B676" s="294"/>
      <c r="C676" s="201"/>
      <c r="D676" s="290"/>
      <c r="E676" s="301"/>
      <c r="F676" s="301"/>
      <c r="G676" s="290"/>
      <c r="H676" s="291"/>
      <c r="I676" s="292"/>
      <c r="J676" s="61"/>
      <c r="K676" s="57"/>
      <c r="L676" s="303"/>
      <c r="M676" s="201"/>
      <c r="N676" s="84" t="str">
        <f>IF($AI676&lt;&gt;"",Master!$N$37,IF($AC676&lt;&gt;"",Master!$N$38,IF($S676&lt;&gt;"",Master!$N$39,IF($C676&lt;&gt;"",Master!$N$40,Master!$N$41))))</f>
        <v>起票</v>
      </c>
      <c r="O676" s="202" t="str">
        <f>IF($N676=Master!$N$37,MAX($S676,$AC676,$AI676),"")</f>
        <v/>
      </c>
      <c r="P676" s="65"/>
      <c r="Q676" s="203"/>
      <c r="R676" s="57"/>
      <c r="S676" s="203"/>
      <c r="T676" s="310"/>
      <c r="U676" s="289"/>
      <c r="V676" s="57"/>
      <c r="W676" s="288"/>
      <c r="X676" s="288"/>
      <c r="Y676" s="296"/>
      <c r="Z676" s="57"/>
      <c r="AA676" s="203"/>
      <c r="AB676" s="288"/>
      <c r="AC676" s="201"/>
      <c r="AD676" s="298"/>
      <c r="AE676" s="297"/>
      <c r="AF676" s="58"/>
      <c r="AG676" s="204"/>
      <c r="AH676" s="57"/>
      <c r="AI676" s="201"/>
      <c r="AJ676" s="287"/>
      <c r="AK676" s="452"/>
      <c r="AL676" s="59"/>
      <c r="AM676" s="60"/>
      <c r="AO676" s="137" t="e">
        <f t="shared" si="84"/>
        <v>#N/A</v>
      </c>
      <c r="AP676" s="138" t="e">
        <f t="shared" si="85"/>
        <v>#N/A</v>
      </c>
      <c r="AQ676" s="138" t="e">
        <f t="shared" si="86"/>
        <v>#N/A</v>
      </c>
      <c r="AR676" s="138" t="e">
        <f t="shared" si="87"/>
        <v>#N/A</v>
      </c>
      <c r="AS676" s="138" t="e">
        <f t="shared" si="88"/>
        <v>#N/A</v>
      </c>
      <c r="AT676" s="139" t="e">
        <f t="shared" si="89"/>
        <v>#N/A</v>
      </c>
    </row>
    <row r="677" spans="1:46" ht="54" customHeight="1">
      <c r="A677" s="428">
        <f t="shared" si="83"/>
        <v>669</v>
      </c>
      <c r="B677" s="403"/>
      <c r="C677" s="404"/>
      <c r="D677" s="405"/>
      <c r="E677" s="405"/>
      <c r="F677" s="405"/>
      <c r="G677" s="405"/>
      <c r="H677" s="406"/>
      <c r="I677" s="407"/>
      <c r="J677" s="408"/>
      <c r="K677" s="409"/>
      <c r="L677" s="410"/>
      <c r="M677" s="404"/>
      <c r="N677" s="411" t="str">
        <f>IF($AI677&lt;&gt;"",Master!$N$37,IF($AC677&lt;&gt;"",Master!$N$38,IF($S677&lt;&gt;"",Master!$N$39,IF($C677&lt;&gt;"",Master!$N$40,Master!$N$41))))</f>
        <v>起票</v>
      </c>
      <c r="O677" s="412" t="str">
        <f>IF($N677=Master!$N$37,MAX($S677,$AC677,$AI677),"")</f>
        <v/>
      </c>
      <c r="P677" s="413"/>
      <c r="Q677" s="414"/>
      <c r="R677" s="409"/>
      <c r="S677" s="404"/>
      <c r="T677" s="418"/>
      <c r="U677" s="415"/>
      <c r="V677" s="409"/>
      <c r="W677" s="419"/>
      <c r="X677" s="419"/>
      <c r="Y677" s="416"/>
      <c r="Z677" s="417"/>
      <c r="AA677" s="418"/>
      <c r="AB677" s="419"/>
      <c r="AC677" s="404"/>
      <c r="AD677" s="404"/>
      <c r="AE677" s="420"/>
      <c r="AF677" s="421"/>
      <c r="AG677" s="418"/>
      <c r="AH677" s="409"/>
      <c r="AI677" s="404"/>
      <c r="AJ677" s="416"/>
      <c r="AK677" s="453"/>
      <c r="AL677" s="422"/>
      <c r="AM677" s="423"/>
      <c r="AO677" s="137" t="e">
        <f t="shared" si="84"/>
        <v>#N/A</v>
      </c>
      <c r="AP677" s="138" t="e">
        <f t="shared" si="85"/>
        <v>#N/A</v>
      </c>
      <c r="AQ677" s="138" t="e">
        <f t="shared" si="86"/>
        <v>#N/A</v>
      </c>
      <c r="AR677" s="138" t="e">
        <f t="shared" si="87"/>
        <v>#N/A</v>
      </c>
      <c r="AS677" s="138" t="e">
        <f t="shared" si="88"/>
        <v>#N/A</v>
      </c>
      <c r="AT677" s="139" t="e">
        <f t="shared" si="89"/>
        <v>#N/A</v>
      </c>
    </row>
    <row r="678" spans="1:46" ht="54" customHeight="1">
      <c r="A678" s="428">
        <f t="shared" si="83"/>
        <v>670</v>
      </c>
      <c r="B678" s="403"/>
      <c r="C678" s="404"/>
      <c r="D678" s="405"/>
      <c r="E678" s="405"/>
      <c r="F678" s="405"/>
      <c r="G678" s="405"/>
      <c r="H678" s="406"/>
      <c r="I678" s="407"/>
      <c r="J678" s="408"/>
      <c r="K678" s="409"/>
      <c r="L678" s="410"/>
      <c r="M678" s="404"/>
      <c r="N678" s="411" t="str">
        <f>IF($AI678&lt;&gt;"",Master!$N$37,IF($AC678&lt;&gt;"",Master!$N$38,IF($S678&lt;&gt;"",Master!$N$39,IF($C678&lt;&gt;"",Master!$N$40,Master!$N$41))))</f>
        <v>起票</v>
      </c>
      <c r="O678" s="412" t="str">
        <f>IF($N678=Master!$N$37,MAX($S678,$AC678,$AI678),"")</f>
        <v/>
      </c>
      <c r="P678" s="413"/>
      <c r="Q678" s="414"/>
      <c r="R678" s="409"/>
      <c r="S678" s="404"/>
      <c r="T678" s="418"/>
      <c r="U678" s="415"/>
      <c r="V678" s="409"/>
      <c r="W678" s="419"/>
      <c r="X678" s="419"/>
      <c r="Y678" s="416"/>
      <c r="Z678" s="417"/>
      <c r="AA678" s="418"/>
      <c r="AB678" s="419"/>
      <c r="AC678" s="404"/>
      <c r="AD678" s="404"/>
      <c r="AE678" s="420"/>
      <c r="AF678" s="421"/>
      <c r="AG678" s="418"/>
      <c r="AH678" s="409"/>
      <c r="AI678" s="404"/>
      <c r="AJ678" s="416"/>
      <c r="AK678" s="453"/>
      <c r="AL678" s="422"/>
      <c r="AM678" s="423"/>
      <c r="AO678" s="137" t="e">
        <f t="shared" si="84"/>
        <v>#N/A</v>
      </c>
      <c r="AP678" s="138" t="e">
        <f t="shared" si="85"/>
        <v>#N/A</v>
      </c>
      <c r="AQ678" s="138" t="e">
        <f t="shared" si="86"/>
        <v>#N/A</v>
      </c>
      <c r="AR678" s="138" t="e">
        <f t="shared" si="87"/>
        <v>#N/A</v>
      </c>
      <c r="AS678" s="138" t="e">
        <f t="shared" si="88"/>
        <v>#N/A</v>
      </c>
      <c r="AT678" s="139" t="e">
        <f t="shared" si="89"/>
        <v>#N/A</v>
      </c>
    </row>
    <row r="679" spans="1:46" ht="54" customHeight="1">
      <c r="A679" s="428">
        <f t="shared" si="83"/>
        <v>671</v>
      </c>
      <c r="B679" s="403"/>
      <c r="C679" s="404"/>
      <c r="D679" s="405"/>
      <c r="E679" s="405"/>
      <c r="F679" s="405"/>
      <c r="G679" s="405"/>
      <c r="H679" s="406"/>
      <c r="I679" s="407"/>
      <c r="J679" s="408"/>
      <c r="K679" s="409"/>
      <c r="L679" s="410"/>
      <c r="M679" s="404"/>
      <c r="N679" s="411" t="str">
        <f>IF($AI679&lt;&gt;"",Master!$N$37,IF($AC679&lt;&gt;"",Master!$N$38,IF($S679&lt;&gt;"",Master!$N$39,IF($C679&lt;&gt;"",Master!$N$40,Master!$N$41))))</f>
        <v>起票</v>
      </c>
      <c r="O679" s="412" t="str">
        <f>IF($N679=Master!$N$37,MAX($S679,$AC679,$AI679),"")</f>
        <v/>
      </c>
      <c r="P679" s="413"/>
      <c r="Q679" s="414"/>
      <c r="R679" s="409"/>
      <c r="S679" s="404"/>
      <c r="T679" s="418"/>
      <c r="U679" s="415"/>
      <c r="V679" s="409"/>
      <c r="W679" s="419"/>
      <c r="X679" s="419"/>
      <c r="Y679" s="416"/>
      <c r="Z679" s="417"/>
      <c r="AA679" s="418"/>
      <c r="AB679" s="419"/>
      <c r="AC679" s="404"/>
      <c r="AD679" s="404"/>
      <c r="AE679" s="420"/>
      <c r="AF679" s="421"/>
      <c r="AG679" s="418"/>
      <c r="AH679" s="409"/>
      <c r="AI679" s="404"/>
      <c r="AJ679" s="416"/>
      <c r="AK679" s="453"/>
      <c r="AL679" s="422"/>
      <c r="AM679" s="423"/>
      <c r="AO679" s="137" t="e">
        <f t="shared" si="84"/>
        <v>#N/A</v>
      </c>
      <c r="AP679" s="138" t="e">
        <f t="shared" si="85"/>
        <v>#N/A</v>
      </c>
      <c r="AQ679" s="138" t="e">
        <f t="shared" si="86"/>
        <v>#N/A</v>
      </c>
      <c r="AR679" s="138" t="e">
        <f t="shared" si="87"/>
        <v>#N/A</v>
      </c>
      <c r="AS679" s="138" t="e">
        <f t="shared" si="88"/>
        <v>#N/A</v>
      </c>
      <c r="AT679" s="139" t="e">
        <f t="shared" si="89"/>
        <v>#N/A</v>
      </c>
    </row>
    <row r="680" spans="1:46" ht="54" customHeight="1">
      <c r="A680" s="428">
        <f t="shared" si="83"/>
        <v>672</v>
      </c>
      <c r="B680" s="294"/>
      <c r="C680" s="201"/>
      <c r="D680" s="290"/>
      <c r="E680" s="301"/>
      <c r="F680" s="301"/>
      <c r="G680" s="290"/>
      <c r="H680" s="291"/>
      <c r="I680" s="292"/>
      <c r="J680" s="61"/>
      <c r="K680" s="57"/>
      <c r="L680" s="303"/>
      <c r="M680" s="201"/>
      <c r="N680" s="84" t="str">
        <f>IF($AI680&lt;&gt;"",Master!$N$37,IF($AC680&lt;&gt;"",Master!$N$38,IF($S680&lt;&gt;"",Master!$N$39,IF($C680&lt;&gt;"",Master!$N$40,Master!$N$41))))</f>
        <v>起票</v>
      </c>
      <c r="O680" s="202" t="str">
        <f>IF($N680=Master!$N$37,MAX($S680,$AC680,$AI680),"")</f>
        <v/>
      </c>
      <c r="P680" s="65"/>
      <c r="Q680" s="203"/>
      <c r="R680" s="57"/>
      <c r="S680" s="203"/>
      <c r="T680" s="310"/>
      <c r="U680" s="289"/>
      <c r="V680" s="57"/>
      <c r="W680" s="288"/>
      <c r="X680" s="288"/>
      <c r="Y680" s="296"/>
      <c r="Z680" s="57"/>
      <c r="AA680" s="203"/>
      <c r="AB680" s="288"/>
      <c r="AC680" s="201"/>
      <c r="AD680" s="298"/>
      <c r="AE680" s="297"/>
      <c r="AF680" s="58"/>
      <c r="AG680" s="204"/>
      <c r="AH680" s="57"/>
      <c r="AI680" s="201"/>
      <c r="AJ680" s="287"/>
      <c r="AK680" s="452"/>
      <c r="AL680" s="59"/>
      <c r="AM680" s="60"/>
      <c r="AO680" s="137" t="e">
        <f t="shared" si="84"/>
        <v>#N/A</v>
      </c>
      <c r="AP680" s="138" t="e">
        <f t="shared" si="85"/>
        <v>#N/A</v>
      </c>
      <c r="AQ680" s="138" t="e">
        <f t="shared" si="86"/>
        <v>#N/A</v>
      </c>
      <c r="AR680" s="138" t="e">
        <f t="shared" si="87"/>
        <v>#N/A</v>
      </c>
      <c r="AS680" s="138" t="e">
        <f t="shared" si="88"/>
        <v>#N/A</v>
      </c>
      <c r="AT680" s="139" t="e">
        <f t="shared" si="89"/>
        <v>#N/A</v>
      </c>
    </row>
    <row r="681" spans="1:46" ht="54" customHeight="1">
      <c r="A681" s="428">
        <f t="shared" si="83"/>
        <v>673</v>
      </c>
      <c r="B681" s="294"/>
      <c r="C681" s="201"/>
      <c r="D681" s="290"/>
      <c r="E681" s="301"/>
      <c r="F681" s="301"/>
      <c r="G681" s="290"/>
      <c r="H681" s="291"/>
      <c r="I681" s="292"/>
      <c r="J681" s="61"/>
      <c r="K681" s="57"/>
      <c r="L681" s="303"/>
      <c r="M681" s="201"/>
      <c r="N681" s="84" t="str">
        <f>IF($AI681&lt;&gt;"",Master!$N$37,IF($AC681&lt;&gt;"",Master!$N$38,IF($S681&lt;&gt;"",Master!$N$39,IF($C681&lt;&gt;"",Master!$N$40,Master!$N$41))))</f>
        <v>起票</v>
      </c>
      <c r="O681" s="202" t="str">
        <f>IF($N681=Master!$N$37,MAX($S681,$AC681,$AI681),"")</f>
        <v/>
      </c>
      <c r="P681" s="65"/>
      <c r="Q681" s="203"/>
      <c r="R681" s="57"/>
      <c r="S681" s="203"/>
      <c r="T681" s="310"/>
      <c r="U681" s="289"/>
      <c r="V681" s="57"/>
      <c r="W681" s="288"/>
      <c r="X681" s="288"/>
      <c r="Y681" s="296"/>
      <c r="Z681" s="57"/>
      <c r="AA681" s="203"/>
      <c r="AB681" s="288"/>
      <c r="AC681" s="201"/>
      <c r="AD681" s="298"/>
      <c r="AE681" s="297"/>
      <c r="AF681" s="58"/>
      <c r="AG681" s="204"/>
      <c r="AH681" s="57"/>
      <c r="AI681" s="201"/>
      <c r="AJ681" s="287"/>
      <c r="AK681" s="452"/>
      <c r="AL681" s="59"/>
      <c r="AM681" s="60"/>
      <c r="AO681" s="137" t="e">
        <f t="shared" si="84"/>
        <v>#N/A</v>
      </c>
      <c r="AP681" s="138" t="e">
        <f t="shared" si="85"/>
        <v>#N/A</v>
      </c>
      <c r="AQ681" s="138" t="e">
        <f t="shared" si="86"/>
        <v>#N/A</v>
      </c>
      <c r="AR681" s="138" t="e">
        <f t="shared" si="87"/>
        <v>#N/A</v>
      </c>
      <c r="AS681" s="138" t="e">
        <f t="shared" si="88"/>
        <v>#N/A</v>
      </c>
      <c r="AT681" s="139" t="e">
        <f t="shared" si="89"/>
        <v>#N/A</v>
      </c>
    </row>
    <row r="682" spans="1:46" ht="54" customHeight="1">
      <c r="A682" s="428">
        <f t="shared" si="83"/>
        <v>674</v>
      </c>
      <c r="B682" s="403"/>
      <c r="C682" s="404"/>
      <c r="D682" s="405"/>
      <c r="E682" s="405"/>
      <c r="F682" s="405"/>
      <c r="G682" s="405"/>
      <c r="H682" s="406"/>
      <c r="I682" s="407"/>
      <c r="J682" s="408"/>
      <c r="K682" s="409"/>
      <c r="L682" s="410"/>
      <c r="M682" s="404"/>
      <c r="N682" s="411" t="str">
        <f>IF($AI682&lt;&gt;"",Master!$N$37,IF($AC682&lt;&gt;"",Master!$N$38,IF($S682&lt;&gt;"",Master!$N$39,IF($C682&lt;&gt;"",Master!$N$40,Master!$N$41))))</f>
        <v>起票</v>
      </c>
      <c r="O682" s="412" t="str">
        <f>IF($N682=Master!$N$37,MAX($S682,$AC682,$AI682),"")</f>
        <v/>
      </c>
      <c r="P682" s="413"/>
      <c r="Q682" s="414"/>
      <c r="R682" s="409"/>
      <c r="S682" s="404"/>
      <c r="T682" s="418"/>
      <c r="U682" s="415"/>
      <c r="V682" s="409"/>
      <c r="W682" s="419"/>
      <c r="X682" s="419"/>
      <c r="Y682" s="416"/>
      <c r="Z682" s="417"/>
      <c r="AA682" s="418"/>
      <c r="AB682" s="419"/>
      <c r="AC682" s="404"/>
      <c r="AD682" s="404"/>
      <c r="AE682" s="420"/>
      <c r="AF682" s="421"/>
      <c r="AG682" s="418"/>
      <c r="AH682" s="409"/>
      <c r="AI682" s="404"/>
      <c r="AJ682" s="416"/>
      <c r="AK682" s="453"/>
      <c r="AL682" s="422"/>
      <c r="AM682" s="423"/>
      <c r="AO682" s="137" t="e">
        <f t="shared" si="84"/>
        <v>#N/A</v>
      </c>
      <c r="AP682" s="138" t="e">
        <f t="shared" si="85"/>
        <v>#N/A</v>
      </c>
      <c r="AQ682" s="138" t="e">
        <f t="shared" si="86"/>
        <v>#N/A</v>
      </c>
      <c r="AR682" s="138" t="e">
        <f t="shared" si="87"/>
        <v>#N/A</v>
      </c>
      <c r="AS682" s="138" t="e">
        <f t="shared" si="88"/>
        <v>#N/A</v>
      </c>
      <c r="AT682" s="139" t="e">
        <f t="shared" si="89"/>
        <v>#N/A</v>
      </c>
    </row>
    <row r="683" spans="1:46" ht="54" customHeight="1">
      <c r="A683" s="428">
        <f t="shared" si="83"/>
        <v>675</v>
      </c>
      <c r="B683" s="403"/>
      <c r="C683" s="404"/>
      <c r="D683" s="405"/>
      <c r="E683" s="405"/>
      <c r="F683" s="405"/>
      <c r="G683" s="405"/>
      <c r="H683" s="406"/>
      <c r="I683" s="407"/>
      <c r="J683" s="408"/>
      <c r="K683" s="409"/>
      <c r="L683" s="410"/>
      <c r="M683" s="404"/>
      <c r="N683" s="411" t="str">
        <f>IF($AI683&lt;&gt;"",Master!$N$37,IF($AC683&lt;&gt;"",Master!$N$38,IF($S683&lt;&gt;"",Master!$N$39,IF($C683&lt;&gt;"",Master!$N$40,Master!$N$41))))</f>
        <v>起票</v>
      </c>
      <c r="O683" s="412" t="str">
        <f>IF($N683=Master!$N$37,MAX($S683,$AC683,$AI683),"")</f>
        <v/>
      </c>
      <c r="P683" s="413"/>
      <c r="Q683" s="414"/>
      <c r="R683" s="409"/>
      <c r="S683" s="404"/>
      <c r="T683" s="418"/>
      <c r="U683" s="415"/>
      <c r="V683" s="409"/>
      <c r="W683" s="419"/>
      <c r="X683" s="419"/>
      <c r="Y683" s="416"/>
      <c r="Z683" s="417"/>
      <c r="AA683" s="418"/>
      <c r="AB683" s="419"/>
      <c r="AC683" s="404"/>
      <c r="AD683" s="404"/>
      <c r="AE683" s="420"/>
      <c r="AF683" s="421"/>
      <c r="AG683" s="418"/>
      <c r="AH683" s="409"/>
      <c r="AI683" s="404"/>
      <c r="AJ683" s="416"/>
      <c r="AK683" s="453"/>
      <c r="AL683" s="422"/>
      <c r="AM683" s="423"/>
      <c r="AO683" s="137" t="e">
        <f t="shared" si="84"/>
        <v>#N/A</v>
      </c>
      <c r="AP683" s="138" t="e">
        <f t="shared" si="85"/>
        <v>#N/A</v>
      </c>
      <c r="AQ683" s="138" t="e">
        <f t="shared" si="86"/>
        <v>#N/A</v>
      </c>
      <c r="AR683" s="138" t="e">
        <f t="shared" si="87"/>
        <v>#N/A</v>
      </c>
      <c r="AS683" s="138" t="e">
        <f t="shared" si="88"/>
        <v>#N/A</v>
      </c>
      <c r="AT683" s="139" t="e">
        <f t="shared" si="89"/>
        <v>#N/A</v>
      </c>
    </row>
    <row r="684" spans="1:46" ht="54" customHeight="1">
      <c r="A684" s="428">
        <f t="shared" si="83"/>
        <v>676</v>
      </c>
      <c r="B684" s="403"/>
      <c r="C684" s="404"/>
      <c r="D684" s="405"/>
      <c r="E684" s="405"/>
      <c r="F684" s="405"/>
      <c r="G684" s="405"/>
      <c r="H684" s="406"/>
      <c r="I684" s="407"/>
      <c r="J684" s="408"/>
      <c r="K684" s="409"/>
      <c r="L684" s="410"/>
      <c r="M684" s="404"/>
      <c r="N684" s="411" t="str">
        <f>IF($AI684&lt;&gt;"",Master!$N$37,IF($AC684&lt;&gt;"",Master!$N$38,IF($S684&lt;&gt;"",Master!$N$39,IF($C684&lt;&gt;"",Master!$N$40,Master!$N$41))))</f>
        <v>起票</v>
      </c>
      <c r="O684" s="412" t="str">
        <f>IF($N684=Master!$N$37,MAX($S684,$AC684,$AI684),"")</f>
        <v/>
      </c>
      <c r="P684" s="413"/>
      <c r="Q684" s="414"/>
      <c r="R684" s="409"/>
      <c r="S684" s="404"/>
      <c r="T684" s="418"/>
      <c r="U684" s="415"/>
      <c r="V684" s="409"/>
      <c r="W684" s="419"/>
      <c r="X684" s="419"/>
      <c r="Y684" s="416"/>
      <c r="Z684" s="417"/>
      <c r="AA684" s="418"/>
      <c r="AB684" s="419"/>
      <c r="AC684" s="404"/>
      <c r="AD684" s="404"/>
      <c r="AE684" s="420"/>
      <c r="AF684" s="421"/>
      <c r="AG684" s="418"/>
      <c r="AH684" s="409"/>
      <c r="AI684" s="404"/>
      <c r="AJ684" s="416"/>
      <c r="AK684" s="453"/>
      <c r="AL684" s="422"/>
      <c r="AM684" s="423"/>
      <c r="AO684" s="137" t="e">
        <f t="shared" si="84"/>
        <v>#N/A</v>
      </c>
      <c r="AP684" s="138" t="e">
        <f t="shared" si="85"/>
        <v>#N/A</v>
      </c>
      <c r="AQ684" s="138" t="e">
        <f t="shared" si="86"/>
        <v>#N/A</v>
      </c>
      <c r="AR684" s="138" t="e">
        <f t="shared" si="87"/>
        <v>#N/A</v>
      </c>
      <c r="AS684" s="138" t="e">
        <f t="shared" si="88"/>
        <v>#N/A</v>
      </c>
      <c r="AT684" s="139" t="e">
        <f t="shared" si="89"/>
        <v>#N/A</v>
      </c>
    </row>
    <row r="685" spans="1:46" ht="54" customHeight="1">
      <c r="A685" s="428">
        <f t="shared" si="83"/>
        <v>677</v>
      </c>
      <c r="B685" s="294"/>
      <c r="C685" s="201"/>
      <c r="D685" s="290"/>
      <c r="E685" s="301"/>
      <c r="F685" s="301"/>
      <c r="G685" s="290"/>
      <c r="H685" s="291"/>
      <c r="I685" s="292"/>
      <c r="J685" s="61"/>
      <c r="K685" s="57"/>
      <c r="L685" s="303"/>
      <c r="M685" s="201"/>
      <c r="N685" s="84" t="str">
        <f>IF($AI685&lt;&gt;"",Master!$N$37,IF($AC685&lt;&gt;"",Master!$N$38,IF($S685&lt;&gt;"",Master!$N$39,IF($C685&lt;&gt;"",Master!$N$40,Master!$N$41))))</f>
        <v>起票</v>
      </c>
      <c r="O685" s="202" t="str">
        <f>IF($N685=Master!$N$37,MAX($S685,$AC685,$AI685),"")</f>
        <v/>
      </c>
      <c r="P685" s="65"/>
      <c r="Q685" s="203"/>
      <c r="R685" s="57"/>
      <c r="S685" s="203"/>
      <c r="T685" s="310"/>
      <c r="U685" s="289"/>
      <c r="V685" s="57"/>
      <c r="W685" s="288"/>
      <c r="X685" s="288"/>
      <c r="Y685" s="296"/>
      <c r="Z685" s="57"/>
      <c r="AA685" s="203"/>
      <c r="AB685" s="288"/>
      <c r="AC685" s="201"/>
      <c r="AD685" s="298"/>
      <c r="AE685" s="297"/>
      <c r="AF685" s="58"/>
      <c r="AG685" s="204"/>
      <c r="AH685" s="57"/>
      <c r="AI685" s="201"/>
      <c r="AJ685" s="287"/>
      <c r="AK685" s="452"/>
      <c r="AL685" s="59"/>
      <c r="AM685" s="60"/>
      <c r="AO685" s="137" t="e">
        <f t="shared" si="84"/>
        <v>#N/A</v>
      </c>
      <c r="AP685" s="138" t="e">
        <f t="shared" si="85"/>
        <v>#N/A</v>
      </c>
      <c r="AQ685" s="138" t="e">
        <f t="shared" si="86"/>
        <v>#N/A</v>
      </c>
      <c r="AR685" s="138" t="e">
        <f t="shared" si="87"/>
        <v>#N/A</v>
      </c>
      <c r="AS685" s="138" t="e">
        <f t="shared" si="88"/>
        <v>#N/A</v>
      </c>
      <c r="AT685" s="139" t="e">
        <f t="shared" si="89"/>
        <v>#N/A</v>
      </c>
    </row>
    <row r="686" spans="1:46" ht="54" customHeight="1">
      <c r="A686" s="428">
        <f t="shared" si="83"/>
        <v>678</v>
      </c>
      <c r="B686" s="294"/>
      <c r="C686" s="201"/>
      <c r="D686" s="290"/>
      <c r="E686" s="301"/>
      <c r="F686" s="301"/>
      <c r="G686" s="290"/>
      <c r="H686" s="291"/>
      <c r="I686" s="292"/>
      <c r="J686" s="61"/>
      <c r="K686" s="57"/>
      <c r="L686" s="303"/>
      <c r="M686" s="201"/>
      <c r="N686" s="84" t="str">
        <f>IF($AI686&lt;&gt;"",Master!$N$37,IF($AC686&lt;&gt;"",Master!$N$38,IF($S686&lt;&gt;"",Master!$N$39,IF($C686&lt;&gt;"",Master!$N$40,Master!$N$41))))</f>
        <v>起票</v>
      </c>
      <c r="O686" s="202" t="str">
        <f>IF($N686=Master!$N$37,MAX($S686,$AC686,$AI686),"")</f>
        <v/>
      </c>
      <c r="P686" s="65"/>
      <c r="Q686" s="203"/>
      <c r="R686" s="57"/>
      <c r="S686" s="203"/>
      <c r="T686" s="310"/>
      <c r="U686" s="289"/>
      <c r="V686" s="57"/>
      <c r="W686" s="288"/>
      <c r="X686" s="288"/>
      <c r="Y686" s="296"/>
      <c r="Z686" s="57"/>
      <c r="AA686" s="203"/>
      <c r="AB686" s="288"/>
      <c r="AC686" s="201"/>
      <c r="AD686" s="298"/>
      <c r="AE686" s="297"/>
      <c r="AF686" s="58"/>
      <c r="AG686" s="204"/>
      <c r="AH686" s="57"/>
      <c r="AI686" s="201"/>
      <c r="AJ686" s="287"/>
      <c r="AK686" s="452"/>
      <c r="AL686" s="59"/>
      <c r="AM686" s="60"/>
      <c r="AO686" s="137" t="e">
        <f t="shared" si="84"/>
        <v>#N/A</v>
      </c>
      <c r="AP686" s="138" t="e">
        <f t="shared" si="85"/>
        <v>#N/A</v>
      </c>
      <c r="AQ686" s="138" t="e">
        <f t="shared" si="86"/>
        <v>#N/A</v>
      </c>
      <c r="AR686" s="138" t="e">
        <f t="shared" si="87"/>
        <v>#N/A</v>
      </c>
      <c r="AS686" s="138" t="e">
        <f t="shared" si="88"/>
        <v>#N/A</v>
      </c>
      <c r="AT686" s="139" t="e">
        <f t="shared" si="89"/>
        <v>#N/A</v>
      </c>
    </row>
    <row r="687" spans="1:46" ht="54" customHeight="1">
      <c r="A687" s="428">
        <f t="shared" si="83"/>
        <v>679</v>
      </c>
      <c r="B687" s="403"/>
      <c r="C687" s="404"/>
      <c r="D687" s="405"/>
      <c r="E687" s="405"/>
      <c r="F687" s="405"/>
      <c r="G687" s="405"/>
      <c r="H687" s="406"/>
      <c r="I687" s="407"/>
      <c r="J687" s="408"/>
      <c r="K687" s="409"/>
      <c r="L687" s="410"/>
      <c r="M687" s="404"/>
      <c r="N687" s="411" t="str">
        <f>IF($AI687&lt;&gt;"",Master!$N$37,IF($AC687&lt;&gt;"",Master!$N$38,IF($S687&lt;&gt;"",Master!$N$39,IF($C687&lt;&gt;"",Master!$N$40,Master!$N$41))))</f>
        <v>起票</v>
      </c>
      <c r="O687" s="412" t="str">
        <f>IF($N687=Master!$N$37,MAX($S687,$AC687,$AI687),"")</f>
        <v/>
      </c>
      <c r="P687" s="413"/>
      <c r="Q687" s="414"/>
      <c r="R687" s="409"/>
      <c r="S687" s="404"/>
      <c r="T687" s="418"/>
      <c r="U687" s="415"/>
      <c r="V687" s="409"/>
      <c r="W687" s="419"/>
      <c r="X687" s="419"/>
      <c r="Y687" s="416"/>
      <c r="Z687" s="417"/>
      <c r="AA687" s="418"/>
      <c r="AB687" s="419"/>
      <c r="AC687" s="404"/>
      <c r="AD687" s="404"/>
      <c r="AE687" s="420"/>
      <c r="AF687" s="421"/>
      <c r="AG687" s="418"/>
      <c r="AH687" s="409"/>
      <c r="AI687" s="404"/>
      <c r="AJ687" s="416"/>
      <c r="AK687" s="453"/>
      <c r="AL687" s="422"/>
      <c r="AM687" s="423"/>
      <c r="AO687" s="137" t="e">
        <f t="shared" si="84"/>
        <v>#N/A</v>
      </c>
      <c r="AP687" s="138" t="e">
        <f t="shared" si="85"/>
        <v>#N/A</v>
      </c>
      <c r="AQ687" s="138" t="e">
        <f t="shared" si="86"/>
        <v>#N/A</v>
      </c>
      <c r="AR687" s="138" t="e">
        <f t="shared" si="87"/>
        <v>#N/A</v>
      </c>
      <c r="AS687" s="138" t="e">
        <f t="shared" si="88"/>
        <v>#N/A</v>
      </c>
      <c r="AT687" s="139" t="e">
        <f t="shared" si="89"/>
        <v>#N/A</v>
      </c>
    </row>
    <row r="688" spans="1:46" ht="54" customHeight="1">
      <c r="A688" s="428">
        <f t="shared" si="83"/>
        <v>680</v>
      </c>
      <c r="B688" s="403"/>
      <c r="C688" s="404"/>
      <c r="D688" s="405"/>
      <c r="E688" s="405"/>
      <c r="F688" s="405"/>
      <c r="G688" s="405"/>
      <c r="H688" s="406"/>
      <c r="I688" s="407"/>
      <c r="J688" s="408"/>
      <c r="K688" s="409"/>
      <c r="L688" s="410"/>
      <c r="M688" s="404"/>
      <c r="N688" s="411" t="str">
        <f>IF($AI688&lt;&gt;"",Master!$N$37,IF($AC688&lt;&gt;"",Master!$N$38,IF($S688&lt;&gt;"",Master!$N$39,IF($C688&lt;&gt;"",Master!$N$40,Master!$N$41))))</f>
        <v>起票</v>
      </c>
      <c r="O688" s="412" t="str">
        <f>IF($N688=Master!$N$37,MAX($S688,$AC688,$AI688),"")</f>
        <v/>
      </c>
      <c r="P688" s="413"/>
      <c r="Q688" s="414"/>
      <c r="R688" s="409"/>
      <c r="S688" s="404"/>
      <c r="T688" s="418"/>
      <c r="U688" s="415"/>
      <c r="V688" s="409"/>
      <c r="W688" s="419"/>
      <c r="X688" s="419"/>
      <c r="Y688" s="416"/>
      <c r="Z688" s="417"/>
      <c r="AA688" s="418"/>
      <c r="AB688" s="419"/>
      <c r="AC688" s="404"/>
      <c r="AD688" s="404"/>
      <c r="AE688" s="420"/>
      <c r="AF688" s="421"/>
      <c r="AG688" s="418"/>
      <c r="AH688" s="409"/>
      <c r="AI688" s="404"/>
      <c r="AJ688" s="416"/>
      <c r="AK688" s="453"/>
      <c r="AL688" s="422"/>
      <c r="AM688" s="423"/>
      <c r="AO688" s="137" t="e">
        <f t="shared" si="84"/>
        <v>#N/A</v>
      </c>
      <c r="AP688" s="138" t="e">
        <f t="shared" si="85"/>
        <v>#N/A</v>
      </c>
      <c r="AQ688" s="138" t="e">
        <f t="shared" si="86"/>
        <v>#N/A</v>
      </c>
      <c r="AR688" s="138" t="e">
        <f t="shared" si="87"/>
        <v>#N/A</v>
      </c>
      <c r="AS688" s="138" t="e">
        <f t="shared" si="88"/>
        <v>#N/A</v>
      </c>
      <c r="AT688" s="139" t="e">
        <f t="shared" si="89"/>
        <v>#N/A</v>
      </c>
    </row>
    <row r="689" spans="1:46" ht="54" customHeight="1">
      <c r="A689" s="428">
        <f t="shared" si="83"/>
        <v>681</v>
      </c>
      <c r="B689" s="403"/>
      <c r="C689" s="404"/>
      <c r="D689" s="405"/>
      <c r="E689" s="430"/>
      <c r="F689" s="405"/>
      <c r="G689" s="405"/>
      <c r="H689" s="406"/>
      <c r="I689" s="407"/>
      <c r="J689" s="408"/>
      <c r="K689" s="409"/>
      <c r="L689" s="410"/>
      <c r="M689" s="404"/>
      <c r="N689" s="411" t="str">
        <f>IF($AI689&lt;&gt;"",Master!$N$37,IF($AC689&lt;&gt;"",Master!$N$38,IF($S689&lt;&gt;"",Master!$N$39,IF($C689&lt;&gt;"",Master!$N$40,Master!$N$41))))</f>
        <v>起票</v>
      </c>
      <c r="O689" s="412" t="str">
        <f>IF($N689=Master!$N$37,MAX($S689,$AC689,$AI689),"")</f>
        <v/>
      </c>
      <c r="P689" s="413"/>
      <c r="Q689" s="414"/>
      <c r="R689" s="409"/>
      <c r="S689" s="404"/>
      <c r="T689" s="418"/>
      <c r="U689" s="415"/>
      <c r="V689" s="409"/>
      <c r="W689" s="419"/>
      <c r="X689" s="419"/>
      <c r="Y689" s="416"/>
      <c r="Z689" s="417"/>
      <c r="AA689" s="418"/>
      <c r="AB689" s="419"/>
      <c r="AC689" s="404"/>
      <c r="AD689" s="404"/>
      <c r="AE689" s="420"/>
      <c r="AF689" s="421"/>
      <c r="AG689" s="418"/>
      <c r="AH689" s="409"/>
      <c r="AI689" s="404"/>
      <c r="AJ689" s="416"/>
      <c r="AK689" s="453"/>
      <c r="AL689" s="422"/>
      <c r="AM689" s="423"/>
      <c r="AO689" s="137" t="e">
        <f t="shared" si="84"/>
        <v>#N/A</v>
      </c>
      <c r="AP689" s="138" t="e">
        <f t="shared" si="85"/>
        <v>#N/A</v>
      </c>
      <c r="AQ689" s="138" t="e">
        <f t="shared" si="86"/>
        <v>#N/A</v>
      </c>
      <c r="AR689" s="138" t="e">
        <f t="shared" si="87"/>
        <v>#N/A</v>
      </c>
      <c r="AS689" s="138" t="e">
        <f t="shared" si="88"/>
        <v>#N/A</v>
      </c>
      <c r="AT689" s="139" t="e">
        <f t="shared" si="89"/>
        <v>#N/A</v>
      </c>
    </row>
    <row r="690" spans="1:46" ht="54" customHeight="1">
      <c r="A690" s="428">
        <f t="shared" si="83"/>
        <v>682</v>
      </c>
      <c r="B690" s="294"/>
      <c r="C690" s="201"/>
      <c r="D690" s="290"/>
      <c r="E690" s="301"/>
      <c r="F690" s="301"/>
      <c r="G690" s="290"/>
      <c r="H690" s="291"/>
      <c r="I690" s="292"/>
      <c r="J690" s="61"/>
      <c r="K690" s="57"/>
      <c r="L690" s="303"/>
      <c r="M690" s="201"/>
      <c r="N690" s="84" t="str">
        <f>IF($AI690&lt;&gt;"",Master!$N$37,IF($AC690&lt;&gt;"",Master!$N$38,IF($S690&lt;&gt;"",Master!$N$39,IF($C690&lt;&gt;"",Master!$N$40,Master!$N$41))))</f>
        <v>起票</v>
      </c>
      <c r="O690" s="202" t="str">
        <f>IF($N690=Master!$N$37,MAX($S690,$AC690,$AI690),"")</f>
        <v/>
      </c>
      <c r="P690" s="65"/>
      <c r="Q690" s="203"/>
      <c r="R690" s="57"/>
      <c r="S690" s="203"/>
      <c r="T690" s="310"/>
      <c r="U690" s="289"/>
      <c r="V690" s="57"/>
      <c r="W690" s="288"/>
      <c r="X690" s="288"/>
      <c r="Y690" s="296"/>
      <c r="Z690" s="57"/>
      <c r="AA690" s="203"/>
      <c r="AB690" s="288"/>
      <c r="AC690" s="201"/>
      <c r="AD690" s="298"/>
      <c r="AE690" s="297"/>
      <c r="AF690" s="58"/>
      <c r="AG690" s="204"/>
      <c r="AH690" s="57"/>
      <c r="AI690" s="201"/>
      <c r="AJ690" s="287"/>
      <c r="AK690" s="452"/>
      <c r="AL690" s="59"/>
      <c r="AM690" s="60"/>
      <c r="AO690" s="137" t="e">
        <f t="shared" si="84"/>
        <v>#N/A</v>
      </c>
      <c r="AP690" s="138" t="e">
        <f t="shared" si="85"/>
        <v>#N/A</v>
      </c>
      <c r="AQ690" s="138" t="e">
        <f t="shared" si="86"/>
        <v>#N/A</v>
      </c>
      <c r="AR690" s="138" t="e">
        <f t="shared" si="87"/>
        <v>#N/A</v>
      </c>
      <c r="AS690" s="138" t="e">
        <f t="shared" si="88"/>
        <v>#N/A</v>
      </c>
      <c r="AT690" s="139" t="e">
        <f t="shared" si="89"/>
        <v>#N/A</v>
      </c>
    </row>
    <row r="691" spans="1:46" ht="54" customHeight="1">
      <c r="A691" s="428">
        <f t="shared" si="83"/>
        <v>683</v>
      </c>
      <c r="B691" s="294"/>
      <c r="C691" s="201"/>
      <c r="D691" s="290"/>
      <c r="E691" s="301"/>
      <c r="F691" s="301"/>
      <c r="G691" s="290"/>
      <c r="H691" s="291"/>
      <c r="I691" s="292"/>
      <c r="J691" s="61"/>
      <c r="K691" s="57"/>
      <c r="L691" s="303"/>
      <c r="M691" s="201"/>
      <c r="N691" s="84" t="str">
        <f>IF($AI691&lt;&gt;"",Master!$N$37,IF($AC691&lt;&gt;"",Master!$N$38,IF($S691&lt;&gt;"",Master!$N$39,IF($C691&lt;&gt;"",Master!$N$40,Master!$N$41))))</f>
        <v>起票</v>
      </c>
      <c r="O691" s="202" t="str">
        <f>IF($N691=Master!$N$37,MAX($S691,$AC691,$AI691),"")</f>
        <v/>
      </c>
      <c r="P691" s="65"/>
      <c r="Q691" s="203"/>
      <c r="R691" s="57"/>
      <c r="S691" s="203"/>
      <c r="T691" s="310"/>
      <c r="U691" s="289"/>
      <c r="V691" s="57"/>
      <c r="W691" s="288"/>
      <c r="X691" s="288"/>
      <c r="Y691" s="296"/>
      <c r="Z691" s="57"/>
      <c r="AA691" s="203"/>
      <c r="AB691" s="288"/>
      <c r="AC691" s="201"/>
      <c r="AD691" s="298"/>
      <c r="AE691" s="297"/>
      <c r="AF691" s="58"/>
      <c r="AG691" s="204"/>
      <c r="AH691" s="57"/>
      <c r="AI691" s="201"/>
      <c r="AJ691" s="287"/>
      <c r="AK691" s="452"/>
      <c r="AL691" s="59"/>
      <c r="AM691" s="60"/>
      <c r="AO691" s="137" t="e">
        <f t="shared" si="84"/>
        <v>#N/A</v>
      </c>
      <c r="AP691" s="138" t="e">
        <f t="shared" si="85"/>
        <v>#N/A</v>
      </c>
      <c r="AQ691" s="138" t="e">
        <f t="shared" si="86"/>
        <v>#N/A</v>
      </c>
      <c r="AR691" s="138" t="e">
        <f t="shared" si="87"/>
        <v>#N/A</v>
      </c>
      <c r="AS691" s="138" t="e">
        <f t="shared" si="88"/>
        <v>#N/A</v>
      </c>
      <c r="AT691" s="139" t="e">
        <f t="shared" si="89"/>
        <v>#N/A</v>
      </c>
    </row>
    <row r="692" spans="1:46" ht="54" customHeight="1">
      <c r="A692" s="428">
        <f t="shared" si="83"/>
        <v>684</v>
      </c>
      <c r="B692" s="403"/>
      <c r="C692" s="404"/>
      <c r="D692" s="405"/>
      <c r="E692" s="405"/>
      <c r="F692" s="405"/>
      <c r="G692" s="405"/>
      <c r="H692" s="406"/>
      <c r="I692" s="407"/>
      <c r="J692" s="408"/>
      <c r="K692" s="409"/>
      <c r="L692" s="410"/>
      <c r="M692" s="404"/>
      <c r="N692" s="411" t="str">
        <f>IF($AI692&lt;&gt;"",Master!$N$37,IF($AC692&lt;&gt;"",Master!$N$38,IF($S692&lt;&gt;"",Master!$N$39,IF($C692&lt;&gt;"",Master!$N$40,Master!$N$41))))</f>
        <v>起票</v>
      </c>
      <c r="O692" s="412" t="str">
        <f>IF($N692=Master!$N$37,MAX($S692,$AC692,$AI692),"")</f>
        <v/>
      </c>
      <c r="P692" s="413"/>
      <c r="Q692" s="414"/>
      <c r="R692" s="409"/>
      <c r="S692" s="404"/>
      <c r="T692" s="418"/>
      <c r="U692" s="415"/>
      <c r="V692" s="409"/>
      <c r="W692" s="419"/>
      <c r="X692" s="419"/>
      <c r="Y692" s="416"/>
      <c r="Z692" s="417"/>
      <c r="AA692" s="418"/>
      <c r="AB692" s="419"/>
      <c r="AC692" s="404"/>
      <c r="AD692" s="404"/>
      <c r="AE692" s="420"/>
      <c r="AF692" s="421"/>
      <c r="AG692" s="418"/>
      <c r="AH692" s="409"/>
      <c r="AI692" s="404"/>
      <c r="AJ692" s="416"/>
      <c r="AK692" s="453"/>
      <c r="AL692" s="422"/>
      <c r="AM692" s="423"/>
      <c r="AO692" s="137" t="e">
        <f t="shared" si="84"/>
        <v>#N/A</v>
      </c>
      <c r="AP692" s="138" t="e">
        <f t="shared" si="85"/>
        <v>#N/A</v>
      </c>
      <c r="AQ692" s="138" t="e">
        <f t="shared" si="86"/>
        <v>#N/A</v>
      </c>
      <c r="AR692" s="138" t="e">
        <f t="shared" si="87"/>
        <v>#N/A</v>
      </c>
      <c r="AS692" s="138" t="e">
        <f t="shared" si="88"/>
        <v>#N/A</v>
      </c>
      <c r="AT692" s="139" t="e">
        <f t="shared" si="89"/>
        <v>#N/A</v>
      </c>
    </row>
    <row r="693" spans="1:46" ht="54" customHeight="1">
      <c r="A693" s="428">
        <f t="shared" si="83"/>
        <v>685</v>
      </c>
      <c r="B693" s="403"/>
      <c r="C693" s="404"/>
      <c r="D693" s="405"/>
      <c r="E693" s="405"/>
      <c r="F693" s="405"/>
      <c r="G693" s="405"/>
      <c r="H693" s="406"/>
      <c r="I693" s="407"/>
      <c r="J693" s="408"/>
      <c r="K693" s="409"/>
      <c r="L693" s="410"/>
      <c r="M693" s="404"/>
      <c r="N693" s="411" t="str">
        <f>IF($AI693&lt;&gt;"",Master!$N$37,IF($AC693&lt;&gt;"",Master!$N$38,IF($S693&lt;&gt;"",Master!$N$39,IF($C693&lt;&gt;"",Master!$N$40,Master!$N$41))))</f>
        <v>起票</v>
      </c>
      <c r="O693" s="412" t="str">
        <f>IF($N693=Master!$N$37,MAX($S693,$AC693,$AI693),"")</f>
        <v/>
      </c>
      <c r="P693" s="413"/>
      <c r="Q693" s="414"/>
      <c r="R693" s="409"/>
      <c r="S693" s="404"/>
      <c r="T693" s="418"/>
      <c r="U693" s="415"/>
      <c r="V693" s="409"/>
      <c r="W693" s="419"/>
      <c r="X693" s="419"/>
      <c r="Y693" s="416"/>
      <c r="Z693" s="417"/>
      <c r="AA693" s="418"/>
      <c r="AB693" s="419"/>
      <c r="AC693" s="404"/>
      <c r="AD693" s="404"/>
      <c r="AE693" s="420"/>
      <c r="AF693" s="421"/>
      <c r="AG693" s="418"/>
      <c r="AH693" s="409"/>
      <c r="AI693" s="404"/>
      <c r="AJ693" s="416"/>
      <c r="AK693" s="453"/>
      <c r="AL693" s="422"/>
      <c r="AM693" s="423"/>
      <c r="AO693" s="137" t="e">
        <f t="shared" si="84"/>
        <v>#N/A</v>
      </c>
      <c r="AP693" s="138" t="e">
        <f t="shared" si="85"/>
        <v>#N/A</v>
      </c>
      <c r="AQ693" s="138" t="e">
        <f t="shared" si="86"/>
        <v>#N/A</v>
      </c>
      <c r="AR693" s="138" t="e">
        <f t="shared" si="87"/>
        <v>#N/A</v>
      </c>
      <c r="AS693" s="138" t="e">
        <f t="shared" si="88"/>
        <v>#N/A</v>
      </c>
      <c r="AT693" s="139" t="e">
        <f t="shared" si="89"/>
        <v>#N/A</v>
      </c>
    </row>
    <row r="694" spans="1:46" ht="54" customHeight="1">
      <c r="A694" s="428">
        <f t="shared" si="83"/>
        <v>686</v>
      </c>
      <c r="B694" s="403"/>
      <c r="C694" s="404"/>
      <c r="D694" s="405"/>
      <c r="E694" s="405"/>
      <c r="F694" s="405"/>
      <c r="G694" s="405"/>
      <c r="H694" s="406"/>
      <c r="I694" s="407"/>
      <c r="J694" s="408"/>
      <c r="K694" s="409"/>
      <c r="L694" s="410"/>
      <c r="M694" s="404"/>
      <c r="N694" s="411" t="str">
        <f>IF($AI694&lt;&gt;"",Master!$N$37,IF($AC694&lt;&gt;"",Master!$N$38,IF($S694&lt;&gt;"",Master!$N$39,IF($C694&lt;&gt;"",Master!$N$40,Master!$N$41))))</f>
        <v>起票</v>
      </c>
      <c r="O694" s="412" t="str">
        <f>IF($N694=Master!$N$37,MAX($S694,$AC694,$AI694),"")</f>
        <v/>
      </c>
      <c r="P694" s="413"/>
      <c r="Q694" s="414"/>
      <c r="R694" s="409"/>
      <c r="S694" s="404"/>
      <c r="T694" s="418"/>
      <c r="U694" s="415"/>
      <c r="V694" s="409"/>
      <c r="W694" s="419"/>
      <c r="X694" s="419"/>
      <c r="Y694" s="416"/>
      <c r="Z694" s="417"/>
      <c r="AA694" s="418"/>
      <c r="AB694" s="419"/>
      <c r="AC694" s="404"/>
      <c r="AD694" s="404"/>
      <c r="AE694" s="420"/>
      <c r="AF694" s="421"/>
      <c r="AG694" s="418"/>
      <c r="AH694" s="409"/>
      <c r="AI694" s="404"/>
      <c r="AJ694" s="416"/>
      <c r="AK694" s="453"/>
      <c r="AL694" s="422"/>
      <c r="AM694" s="423"/>
      <c r="AO694" s="137" t="e">
        <f t="shared" si="84"/>
        <v>#N/A</v>
      </c>
      <c r="AP694" s="138" t="e">
        <f t="shared" si="85"/>
        <v>#N/A</v>
      </c>
      <c r="AQ694" s="138" t="e">
        <f t="shared" si="86"/>
        <v>#N/A</v>
      </c>
      <c r="AR694" s="138" t="e">
        <f t="shared" si="87"/>
        <v>#N/A</v>
      </c>
      <c r="AS694" s="138" t="e">
        <f t="shared" si="88"/>
        <v>#N/A</v>
      </c>
      <c r="AT694" s="139" t="e">
        <f t="shared" si="89"/>
        <v>#N/A</v>
      </c>
    </row>
    <row r="695" spans="1:46" ht="54" customHeight="1">
      <c r="A695" s="428">
        <f t="shared" si="83"/>
        <v>687</v>
      </c>
      <c r="B695" s="294"/>
      <c r="C695" s="201"/>
      <c r="D695" s="290"/>
      <c r="E695" s="301"/>
      <c r="F695" s="301"/>
      <c r="G695" s="290"/>
      <c r="H695" s="291"/>
      <c r="I695" s="292"/>
      <c r="J695" s="61"/>
      <c r="K695" s="57"/>
      <c r="L695" s="303"/>
      <c r="M695" s="201"/>
      <c r="N695" s="84" t="str">
        <f>IF($AI695&lt;&gt;"",Master!$N$37,IF($AC695&lt;&gt;"",Master!$N$38,IF($S695&lt;&gt;"",Master!$N$39,IF($C695&lt;&gt;"",Master!$N$40,Master!$N$41))))</f>
        <v>起票</v>
      </c>
      <c r="O695" s="202" t="str">
        <f>IF($N695=Master!$N$37,MAX($S695,$AC695,$AI695),"")</f>
        <v/>
      </c>
      <c r="P695" s="65"/>
      <c r="Q695" s="203"/>
      <c r="R695" s="57"/>
      <c r="S695" s="203"/>
      <c r="T695" s="310"/>
      <c r="U695" s="289"/>
      <c r="V695" s="57"/>
      <c r="W695" s="288"/>
      <c r="X695" s="288"/>
      <c r="Y695" s="296"/>
      <c r="Z695" s="57"/>
      <c r="AA695" s="203"/>
      <c r="AB695" s="288"/>
      <c r="AC695" s="201"/>
      <c r="AD695" s="298"/>
      <c r="AE695" s="297"/>
      <c r="AF695" s="58"/>
      <c r="AG695" s="204"/>
      <c r="AH695" s="57"/>
      <c r="AI695" s="201"/>
      <c r="AJ695" s="287"/>
      <c r="AK695" s="452"/>
      <c r="AL695" s="59"/>
      <c r="AM695" s="60"/>
      <c r="AO695" s="137" t="e">
        <f t="shared" si="84"/>
        <v>#N/A</v>
      </c>
      <c r="AP695" s="138" t="e">
        <f t="shared" si="85"/>
        <v>#N/A</v>
      </c>
      <c r="AQ695" s="138" t="e">
        <f t="shared" si="86"/>
        <v>#N/A</v>
      </c>
      <c r="AR695" s="138" t="e">
        <f t="shared" si="87"/>
        <v>#N/A</v>
      </c>
      <c r="AS695" s="138" t="e">
        <f t="shared" si="88"/>
        <v>#N/A</v>
      </c>
      <c r="AT695" s="139" t="e">
        <f t="shared" si="89"/>
        <v>#N/A</v>
      </c>
    </row>
    <row r="696" spans="1:46" ht="54" customHeight="1">
      <c r="A696" s="428">
        <f t="shared" si="83"/>
        <v>688</v>
      </c>
      <c r="B696" s="294"/>
      <c r="C696" s="201"/>
      <c r="D696" s="290"/>
      <c r="E696" s="301"/>
      <c r="F696" s="301"/>
      <c r="G696" s="290"/>
      <c r="H696" s="291"/>
      <c r="I696" s="292"/>
      <c r="J696" s="61"/>
      <c r="K696" s="57"/>
      <c r="L696" s="303"/>
      <c r="M696" s="201"/>
      <c r="N696" s="84" t="str">
        <f>IF($AI696&lt;&gt;"",Master!$N$37,IF($AC696&lt;&gt;"",Master!$N$38,IF($S696&lt;&gt;"",Master!$N$39,IF($C696&lt;&gt;"",Master!$N$40,Master!$N$41))))</f>
        <v>起票</v>
      </c>
      <c r="O696" s="202" t="str">
        <f>IF($N696=Master!$N$37,MAX($S696,$AC696,$AI696),"")</f>
        <v/>
      </c>
      <c r="P696" s="65"/>
      <c r="Q696" s="203"/>
      <c r="R696" s="57"/>
      <c r="S696" s="203"/>
      <c r="T696" s="310"/>
      <c r="U696" s="289"/>
      <c r="V696" s="57"/>
      <c r="W696" s="288"/>
      <c r="X696" s="288"/>
      <c r="Y696" s="296"/>
      <c r="Z696" s="57"/>
      <c r="AA696" s="203"/>
      <c r="AB696" s="288"/>
      <c r="AC696" s="201"/>
      <c r="AD696" s="298"/>
      <c r="AE696" s="297"/>
      <c r="AF696" s="58"/>
      <c r="AG696" s="204"/>
      <c r="AH696" s="57"/>
      <c r="AI696" s="201"/>
      <c r="AJ696" s="287"/>
      <c r="AK696" s="452"/>
      <c r="AL696" s="59"/>
      <c r="AM696" s="60"/>
      <c r="AO696" s="137" t="e">
        <f t="shared" si="84"/>
        <v>#N/A</v>
      </c>
      <c r="AP696" s="138" t="e">
        <f t="shared" si="85"/>
        <v>#N/A</v>
      </c>
      <c r="AQ696" s="138" t="e">
        <f t="shared" si="86"/>
        <v>#N/A</v>
      </c>
      <c r="AR696" s="138" t="e">
        <f t="shared" si="87"/>
        <v>#N/A</v>
      </c>
      <c r="AS696" s="138" t="e">
        <f t="shared" si="88"/>
        <v>#N/A</v>
      </c>
      <c r="AT696" s="139" t="e">
        <f t="shared" si="89"/>
        <v>#N/A</v>
      </c>
    </row>
    <row r="697" spans="1:46" ht="54" customHeight="1">
      <c r="A697" s="428">
        <f t="shared" si="83"/>
        <v>689</v>
      </c>
      <c r="B697" s="403"/>
      <c r="C697" s="404"/>
      <c r="D697" s="405"/>
      <c r="E697" s="405"/>
      <c r="F697" s="405"/>
      <c r="G697" s="405"/>
      <c r="H697" s="406"/>
      <c r="I697" s="407"/>
      <c r="J697" s="408"/>
      <c r="K697" s="409"/>
      <c r="L697" s="410"/>
      <c r="M697" s="404"/>
      <c r="N697" s="411" t="str">
        <f>IF($AI697&lt;&gt;"",Master!$N$37,IF($AC697&lt;&gt;"",Master!$N$38,IF($S697&lt;&gt;"",Master!$N$39,IF($C697&lt;&gt;"",Master!$N$40,Master!$N$41))))</f>
        <v>起票</v>
      </c>
      <c r="O697" s="412" t="str">
        <f>IF($N697=Master!$N$37,MAX($S697,$AC697,$AI697),"")</f>
        <v/>
      </c>
      <c r="P697" s="413"/>
      <c r="Q697" s="414"/>
      <c r="R697" s="409"/>
      <c r="S697" s="404"/>
      <c r="T697" s="418"/>
      <c r="U697" s="415"/>
      <c r="V697" s="409"/>
      <c r="W697" s="419"/>
      <c r="X697" s="419"/>
      <c r="Y697" s="416"/>
      <c r="Z697" s="417"/>
      <c r="AA697" s="418"/>
      <c r="AB697" s="419"/>
      <c r="AC697" s="404"/>
      <c r="AD697" s="404"/>
      <c r="AE697" s="420"/>
      <c r="AF697" s="421"/>
      <c r="AG697" s="418"/>
      <c r="AH697" s="409"/>
      <c r="AI697" s="404"/>
      <c r="AJ697" s="416"/>
      <c r="AK697" s="453"/>
      <c r="AL697" s="422"/>
      <c r="AM697" s="423"/>
      <c r="AO697" s="137" t="e">
        <f t="shared" si="84"/>
        <v>#N/A</v>
      </c>
      <c r="AP697" s="138" t="e">
        <f t="shared" si="85"/>
        <v>#N/A</v>
      </c>
      <c r="AQ697" s="138" t="e">
        <f t="shared" si="86"/>
        <v>#N/A</v>
      </c>
      <c r="AR697" s="138" t="e">
        <f t="shared" si="87"/>
        <v>#N/A</v>
      </c>
      <c r="AS697" s="138" t="e">
        <f t="shared" si="88"/>
        <v>#N/A</v>
      </c>
      <c r="AT697" s="139" t="e">
        <f t="shared" si="89"/>
        <v>#N/A</v>
      </c>
    </row>
    <row r="698" spans="1:46" ht="54" customHeight="1">
      <c r="A698" s="428">
        <f t="shared" si="83"/>
        <v>690</v>
      </c>
      <c r="B698" s="403"/>
      <c r="C698" s="404"/>
      <c r="D698" s="405"/>
      <c r="E698" s="405"/>
      <c r="F698" s="405"/>
      <c r="G698" s="405"/>
      <c r="H698" s="406"/>
      <c r="I698" s="407"/>
      <c r="J698" s="408"/>
      <c r="K698" s="409"/>
      <c r="L698" s="410"/>
      <c r="M698" s="404"/>
      <c r="N698" s="411" t="str">
        <f>IF($AI698&lt;&gt;"",Master!$N$37,IF($AC698&lt;&gt;"",Master!$N$38,IF($S698&lt;&gt;"",Master!$N$39,IF($C698&lt;&gt;"",Master!$N$40,Master!$N$41))))</f>
        <v>起票</v>
      </c>
      <c r="O698" s="412" t="str">
        <f>IF($N698=Master!$N$37,MAX($S698,$AC698,$AI698),"")</f>
        <v/>
      </c>
      <c r="P698" s="413"/>
      <c r="Q698" s="414"/>
      <c r="R698" s="409"/>
      <c r="S698" s="404"/>
      <c r="T698" s="418"/>
      <c r="U698" s="415"/>
      <c r="V698" s="409"/>
      <c r="W698" s="419"/>
      <c r="X698" s="419"/>
      <c r="Y698" s="416"/>
      <c r="Z698" s="417"/>
      <c r="AA698" s="418"/>
      <c r="AB698" s="419"/>
      <c r="AC698" s="404"/>
      <c r="AD698" s="404"/>
      <c r="AE698" s="420"/>
      <c r="AF698" s="421"/>
      <c r="AG698" s="418"/>
      <c r="AH698" s="409"/>
      <c r="AI698" s="404"/>
      <c r="AJ698" s="416"/>
      <c r="AK698" s="453"/>
      <c r="AL698" s="422"/>
      <c r="AM698" s="423"/>
      <c r="AO698" s="137" t="e">
        <f t="shared" si="84"/>
        <v>#N/A</v>
      </c>
      <c r="AP698" s="138" t="e">
        <f t="shared" si="85"/>
        <v>#N/A</v>
      </c>
      <c r="AQ698" s="138" t="e">
        <f t="shared" si="86"/>
        <v>#N/A</v>
      </c>
      <c r="AR698" s="138" t="e">
        <f t="shared" si="87"/>
        <v>#N/A</v>
      </c>
      <c r="AS698" s="138" t="e">
        <f t="shared" si="88"/>
        <v>#N/A</v>
      </c>
      <c r="AT698" s="139" t="e">
        <f t="shared" si="89"/>
        <v>#N/A</v>
      </c>
    </row>
    <row r="699" spans="1:46" ht="54" customHeight="1">
      <c r="A699" s="428">
        <f t="shared" si="83"/>
        <v>691</v>
      </c>
      <c r="B699" s="403"/>
      <c r="C699" s="404"/>
      <c r="D699" s="405"/>
      <c r="E699" s="405"/>
      <c r="F699" s="405"/>
      <c r="G699" s="405"/>
      <c r="H699" s="406"/>
      <c r="I699" s="407"/>
      <c r="J699" s="408"/>
      <c r="K699" s="409"/>
      <c r="L699" s="410"/>
      <c r="M699" s="404"/>
      <c r="N699" s="411" t="str">
        <f>IF($AI699&lt;&gt;"",Master!$N$37,IF($AC699&lt;&gt;"",Master!$N$38,IF($S699&lt;&gt;"",Master!$N$39,IF($C699&lt;&gt;"",Master!$N$40,Master!$N$41))))</f>
        <v>起票</v>
      </c>
      <c r="O699" s="412" t="str">
        <f>IF($N699=Master!$N$37,MAX($S699,$AC699,$AI699),"")</f>
        <v/>
      </c>
      <c r="P699" s="413"/>
      <c r="Q699" s="414"/>
      <c r="R699" s="409"/>
      <c r="S699" s="404"/>
      <c r="T699" s="418"/>
      <c r="U699" s="415"/>
      <c r="V699" s="409"/>
      <c r="W699" s="419"/>
      <c r="X699" s="419"/>
      <c r="Y699" s="416"/>
      <c r="Z699" s="417"/>
      <c r="AA699" s="418"/>
      <c r="AB699" s="419"/>
      <c r="AC699" s="404"/>
      <c r="AD699" s="404"/>
      <c r="AE699" s="420"/>
      <c r="AF699" s="421"/>
      <c r="AG699" s="418"/>
      <c r="AH699" s="409"/>
      <c r="AI699" s="404"/>
      <c r="AJ699" s="416"/>
      <c r="AK699" s="453"/>
      <c r="AL699" s="422"/>
      <c r="AM699" s="423"/>
      <c r="AO699" s="137" t="e">
        <f t="shared" si="84"/>
        <v>#N/A</v>
      </c>
      <c r="AP699" s="138" t="e">
        <f t="shared" si="85"/>
        <v>#N/A</v>
      </c>
      <c r="AQ699" s="138" t="e">
        <f t="shared" si="86"/>
        <v>#N/A</v>
      </c>
      <c r="AR699" s="138" t="e">
        <f t="shared" si="87"/>
        <v>#N/A</v>
      </c>
      <c r="AS699" s="138" t="e">
        <f t="shared" si="88"/>
        <v>#N/A</v>
      </c>
      <c r="AT699" s="139" t="e">
        <f t="shared" si="89"/>
        <v>#N/A</v>
      </c>
    </row>
    <row r="700" spans="1:46" ht="54" customHeight="1">
      <c r="A700" s="428">
        <f t="shared" si="83"/>
        <v>692</v>
      </c>
      <c r="B700" s="294"/>
      <c r="C700" s="201"/>
      <c r="D700" s="290"/>
      <c r="E700" s="301"/>
      <c r="F700" s="301"/>
      <c r="G700" s="290"/>
      <c r="H700" s="291"/>
      <c r="I700" s="292"/>
      <c r="J700" s="61"/>
      <c r="K700" s="57"/>
      <c r="L700" s="303"/>
      <c r="M700" s="201"/>
      <c r="N700" s="84" t="str">
        <f>IF($AI700&lt;&gt;"",Master!$N$37,IF($AC700&lt;&gt;"",Master!$N$38,IF($S700&lt;&gt;"",Master!$N$39,IF($C700&lt;&gt;"",Master!$N$40,Master!$N$41))))</f>
        <v>起票</v>
      </c>
      <c r="O700" s="202" t="str">
        <f>IF($N700=Master!$N$37,MAX($S700,$AC700,$AI700),"")</f>
        <v/>
      </c>
      <c r="P700" s="65"/>
      <c r="Q700" s="203"/>
      <c r="R700" s="57"/>
      <c r="S700" s="203"/>
      <c r="T700" s="310"/>
      <c r="U700" s="289"/>
      <c r="V700" s="57"/>
      <c r="W700" s="288"/>
      <c r="X700" s="288"/>
      <c r="Y700" s="296"/>
      <c r="Z700" s="57"/>
      <c r="AA700" s="203"/>
      <c r="AB700" s="288"/>
      <c r="AC700" s="201"/>
      <c r="AD700" s="298"/>
      <c r="AE700" s="297"/>
      <c r="AF700" s="58"/>
      <c r="AG700" s="204"/>
      <c r="AH700" s="57"/>
      <c r="AI700" s="201"/>
      <c r="AJ700" s="287"/>
      <c r="AK700" s="452"/>
      <c r="AL700" s="59"/>
      <c r="AM700" s="60"/>
      <c r="AO700" s="137" t="e">
        <f t="shared" si="84"/>
        <v>#N/A</v>
      </c>
      <c r="AP700" s="138" t="e">
        <f t="shared" si="85"/>
        <v>#N/A</v>
      </c>
      <c r="AQ700" s="138" t="e">
        <f t="shared" si="86"/>
        <v>#N/A</v>
      </c>
      <c r="AR700" s="138" t="e">
        <f t="shared" si="87"/>
        <v>#N/A</v>
      </c>
      <c r="AS700" s="138" t="e">
        <f t="shared" si="88"/>
        <v>#N/A</v>
      </c>
      <c r="AT700" s="139" t="e">
        <f t="shared" si="89"/>
        <v>#N/A</v>
      </c>
    </row>
    <row r="701" spans="1:46" ht="54" customHeight="1">
      <c r="A701" s="428">
        <f t="shared" si="83"/>
        <v>693</v>
      </c>
      <c r="B701" s="294"/>
      <c r="C701" s="201"/>
      <c r="D701" s="290"/>
      <c r="E701" s="301"/>
      <c r="F701" s="301"/>
      <c r="G701" s="290"/>
      <c r="H701" s="291"/>
      <c r="I701" s="292"/>
      <c r="J701" s="61"/>
      <c r="K701" s="57"/>
      <c r="L701" s="303"/>
      <c r="M701" s="201"/>
      <c r="N701" s="84" t="str">
        <f>IF($AI701&lt;&gt;"",Master!$N$37,IF($AC701&lt;&gt;"",Master!$N$38,IF($S701&lt;&gt;"",Master!$N$39,IF($C701&lt;&gt;"",Master!$N$40,Master!$N$41))))</f>
        <v>起票</v>
      </c>
      <c r="O701" s="202" t="str">
        <f>IF($N701=Master!$N$37,MAX($S701,$AC701,$AI701),"")</f>
        <v/>
      </c>
      <c r="P701" s="65"/>
      <c r="Q701" s="203"/>
      <c r="R701" s="57"/>
      <c r="S701" s="203"/>
      <c r="T701" s="310"/>
      <c r="U701" s="289"/>
      <c r="V701" s="57"/>
      <c r="W701" s="288"/>
      <c r="X701" s="288"/>
      <c r="Y701" s="296"/>
      <c r="Z701" s="57"/>
      <c r="AA701" s="203"/>
      <c r="AB701" s="288"/>
      <c r="AC701" s="201"/>
      <c r="AD701" s="298"/>
      <c r="AE701" s="297"/>
      <c r="AF701" s="58"/>
      <c r="AG701" s="204"/>
      <c r="AH701" s="57"/>
      <c r="AI701" s="201"/>
      <c r="AJ701" s="287"/>
      <c r="AK701" s="452"/>
      <c r="AL701" s="59"/>
      <c r="AM701" s="60"/>
      <c r="AO701" s="137" t="e">
        <f t="shared" si="84"/>
        <v>#N/A</v>
      </c>
      <c r="AP701" s="138" t="e">
        <f t="shared" si="85"/>
        <v>#N/A</v>
      </c>
      <c r="AQ701" s="138" t="e">
        <f t="shared" si="86"/>
        <v>#N/A</v>
      </c>
      <c r="AR701" s="138" t="e">
        <f t="shared" si="87"/>
        <v>#N/A</v>
      </c>
      <c r="AS701" s="138" t="e">
        <f t="shared" si="88"/>
        <v>#N/A</v>
      </c>
      <c r="AT701" s="139" t="e">
        <f t="shared" si="89"/>
        <v>#N/A</v>
      </c>
    </row>
    <row r="702" spans="1:46" ht="54" customHeight="1">
      <c r="A702" s="428">
        <f t="shared" si="83"/>
        <v>694</v>
      </c>
      <c r="B702" s="403"/>
      <c r="C702" s="404"/>
      <c r="D702" s="405"/>
      <c r="E702" s="405"/>
      <c r="F702" s="405"/>
      <c r="G702" s="405"/>
      <c r="H702" s="406"/>
      <c r="I702" s="407"/>
      <c r="J702" s="408"/>
      <c r="K702" s="409"/>
      <c r="L702" s="410"/>
      <c r="M702" s="404"/>
      <c r="N702" s="411" t="str">
        <f>IF($AI702&lt;&gt;"",Master!$N$37,IF($AC702&lt;&gt;"",Master!$N$38,IF($S702&lt;&gt;"",Master!$N$39,IF($C702&lt;&gt;"",Master!$N$40,Master!$N$41))))</f>
        <v>起票</v>
      </c>
      <c r="O702" s="412" t="str">
        <f>IF($N702=Master!$N$37,MAX($S702,$AC702,$AI702),"")</f>
        <v/>
      </c>
      <c r="P702" s="413"/>
      <c r="Q702" s="414"/>
      <c r="R702" s="409"/>
      <c r="S702" s="404"/>
      <c r="T702" s="418"/>
      <c r="U702" s="415"/>
      <c r="V702" s="409"/>
      <c r="W702" s="419"/>
      <c r="X702" s="419"/>
      <c r="Y702" s="416"/>
      <c r="Z702" s="417"/>
      <c r="AA702" s="418"/>
      <c r="AB702" s="419"/>
      <c r="AC702" s="404"/>
      <c r="AD702" s="404"/>
      <c r="AE702" s="420"/>
      <c r="AF702" s="421"/>
      <c r="AG702" s="418"/>
      <c r="AH702" s="409"/>
      <c r="AI702" s="404"/>
      <c r="AJ702" s="416"/>
      <c r="AK702" s="453"/>
      <c r="AL702" s="422"/>
      <c r="AM702" s="423"/>
      <c r="AO702" s="137" t="e">
        <f t="shared" si="84"/>
        <v>#N/A</v>
      </c>
      <c r="AP702" s="138" t="e">
        <f t="shared" si="85"/>
        <v>#N/A</v>
      </c>
      <c r="AQ702" s="138" t="e">
        <f t="shared" si="86"/>
        <v>#N/A</v>
      </c>
      <c r="AR702" s="138" t="e">
        <f t="shared" si="87"/>
        <v>#N/A</v>
      </c>
      <c r="AS702" s="138" t="e">
        <f t="shared" si="88"/>
        <v>#N/A</v>
      </c>
      <c r="AT702" s="139" t="e">
        <f t="shared" si="89"/>
        <v>#N/A</v>
      </c>
    </row>
    <row r="703" spans="1:46" ht="54" customHeight="1">
      <c r="A703" s="428">
        <f t="shared" si="83"/>
        <v>695</v>
      </c>
      <c r="B703" s="403"/>
      <c r="C703" s="404"/>
      <c r="D703" s="405"/>
      <c r="E703" s="405"/>
      <c r="F703" s="405"/>
      <c r="G703" s="405"/>
      <c r="H703" s="406"/>
      <c r="I703" s="407"/>
      <c r="J703" s="408"/>
      <c r="K703" s="409"/>
      <c r="L703" s="410"/>
      <c r="M703" s="404"/>
      <c r="N703" s="411" t="str">
        <f>IF($AI703&lt;&gt;"",Master!$N$37,IF($AC703&lt;&gt;"",Master!$N$38,IF($S703&lt;&gt;"",Master!$N$39,IF($C703&lt;&gt;"",Master!$N$40,Master!$N$41))))</f>
        <v>起票</v>
      </c>
      <c r="O703" s="412" t="str">
        <f>IF($N703=Master!$N$37,MAX($S703,$AC703,$AI703),"")</f>
        <v/>
      </c>
      <c r="P703" s="413"/>
      <c r="Q703" s="414"/>
      <c r="R703" s="409"/>
      <c r="S703" s="404"/>
      <c r="T703" s="418"/>
      <c r="U703" s="415"/>
      <c r="V703" s="409"/>
      <c r="W703" s="419"/>
      <c r="X703" s="419"/>
      <c r="Y703" s="416"/>
      <c r="Z703" s="417"/>
      <c r="AA703" s="418"/>
      <c r="AB703" s="419"/>
      <c r="AC703" s="404"/>
      <c r="AD703" s="404"/>
      <c r="AE703" s="420"/>
      <c r="AF703" s="421"/>
      <c r="AG703" s="418"/>
      <c r="AH703" s="409"/>
      <c r="AI703" s="404"/>
      <c r="AJ703" s="416"/>
      <c r="AK703" s="453"/>
      <c r="AL703" s="422"/>
      <c r="AM703" s="423"/>
      <c r="AO703" s="137" t="e">
        <f t="shared" si="84"/>
        <v>#N/A</v>
      </c>
      <c r="AP703" s="138" t="e">
        <f t="shared" si="85"/>
        <v>#N/A</v>
      </c>
      <c r="AQ703" s="138" t="e">
        <f t="shared" si="86"/>
        <v>#N/A</v>
      </c>
      <c r="AR703" s="138" t="e">
        <f t="shared" si="87"/>
        <v>#N/A</v>
      </c>
      <c r="AS703" s="138" t="e">
        <f t="shared" si="88"/>
        <v>#N/A</v>
      </c>
      <c r="AT703" s="139" t="e">
        <f t="shared" si="89"/>
        <v>#N/A</v>
      </c>
    </row>
    <row r="704" spans="1:46" ht="54" customHeight="1">
      <c r="A704" s="428">
        <f t="shared" si="83"/>
        <v>696</v>
      </c>
      <c r="B704" s="403"/>
      <c r="C704" s="404"/>
      <c r="D704" s="405"/>
      <c r="E704" s="405"/>
      <c r="F704" s="405"/>
      <c r="G704" s="405"/>
      <c r="H704" s="406"/>
      <c r="I704" s="407"/>
      <c r="J704" s="408"/>
      <c r="K704" s="409"/>
      <c r="L704" s="410"/>
      <c r="M704" s="404"/>
      <c r="N704" s="411" t="str">
        <f>IF($AI704&lt;&gt;"",Master!$N$37,IF($AC704&lt;&gt;"",Master!$N$38,IF($S704&lt;&gt;"",Master!$N$39,IF($C704&lt;&gt;"",Master!$N$40,Master!$N$41))))</f>
        <v>起票</v>
      </c>
      <c r="O704" s="412" t="str">
        <f>IF($N704=Master!$N$37,MAX($S704,$AC704,$AI704),"")</f>
        <v/>
      </c>
      <c r="P704" s="413"/>
      <c r="Q704" s="414"/>
      <c r="R704" s="409"/>
      <c r="S704" s="404"/>
      <c r="T704" s="418"/>
      <c r="U704" s="415"/>
      <c r="V704" s="409"/>
      <c r="W704" s="419"/>
      <c r="X704" s="419"/>
      <c r="Y704" s="416"/>
      <c r="Z704" s="417"/>
      <c r="AA704" s="418"/>
      <c r="AB704" s="419"/>
      <c r="AC704" s="404"/>
      <c r="AD704" s="404"/>
      <c r="AE704" s="420"/>
      <c r="AF704" s="421"/>
      <c r="AG704" s="418"/>
      <c r="AH704" s="409"/>
      <c r="AI704" s="404"/>
      <c r="AJ704" s="416"/>
      <c r="AK704" s="453"/>
      <c r="AL704" s="422"/>
      <c r="AM704" s="423"/>
      <c r="AO704" s="137" t="e">
        <f t="shared" si="84"/>
        <v>#N/A</v>
      </c>
      <c r="AP704" s="138" t="e">
        <f t="shared" si="85"/>
        <v>#N/A</v>
      </c>
      <c r="AQ704" s="138" t="e">
        <f t="shared" si="86"/>
        <v>#N/A</v>
      </c>
      <c r="AR704" s="138" t="e">
        <f t="shared" si="87"/>
        <v>#N/A</v>
      </c>
      <c r="AS704" s="138" t="e">
        <f t="shared" si="88"/>
        <v>#N/A</v>
      </c>
      <c r="AT704" s="139" t="e">
        <f t="shared" si="89"/>
        <v>#N/A</v>
      </c>
    </row>
    <row r="705" spans="1:46" ht="54" customHeight="1">
      <c r="A705" s="428">
        <f t="shared" si="83"/>
        <v>697</v>
      </c>
      <c r="B705" s="294"/>
      <c r="C705" s="201"/>
      <c r="D705" s="290"/>
      <c r="E705" s="301"/>
      <c r="F705" s="301"/>
      <c r="G705" s="290"/>
      <c r="H705" s="291"/>
      <c r="I705" s="292"/>
      <c r="J705" s="61"/>
      <c r="K705" s="57"/>
      <c r="L705" s="303"/>
      <c r="M705" s="201"/>
      <c r="N705" s="84" t="str">
        <f>IF($AI705&lt;&gt;"",Master!$N$37,IF($AC705&lt;&gt;"",Master!$N$38,IF($S705&lt;&gt;"",Master!$N$39,IF($C705&lt;&gt;"",Master!$N$40,Master!$N$41))))</f>
        <v>起票</v>
      </c>
      <c r="O705" s="202" t="str">
        <f>IF($N705=Master!$N$37,MAX($S705,$AC705,$AI705),"")</f>
        <v/>
      </c>
      <c r="P705" s="65"/>
      <c r="Q705" s="203"/>
      <c r="R705" s="57"/>
      <c r="S705" s="203"/>
      <c r="T705" s="310"/>
      <c r="U705" s="289"/>
      <c r="V705" s="57"/>
      <c r="W705" s="288"/>
      <c r="X705" s="288"/>
      <c r="Y705" s="296"/>
      <c r="Z705" s="57"/>
      <c r="AA705" s="203"/>
      <c r="AB705" s="288"/>
      <c r="AC705" s="201"/>
      <c r="AD705" s="298"/>
      <c r="AE705" s="297"/>
      <c r="AF705" s="58"/>
      <c r="AG705" s="204"/>
      <c r="AH705" s="57"/>
      <c r="AI705" s="201"/>
      <c r="AJ705" s="287"/>
      <c r="AK705" s="452"/>
      <c r="AL705" s="59"/>
      <c r="AM705" s="60"/>
      <c r="AO705" s="137" t="e">
        <f t="shared" si="84"/>
        <v>#N/A</v>
      </c>
      <c r="AP705" s="138" t="e">
        <f t="shared" si="85"/>
        <v>#N/A</v>
      </c>
      <c r="AQ705" s="138" t="e">
        <f t="shared" si="86"/>
        <v>#N/A</v>
      </c>
      <c r="AR705" s="138" t="e">
        <f t="shared" si="87"/>
        <v>#N/A</v>
      </c>
      <c r="AS705" s="138" t="e">
        <f t="shared" si="88"/>
        <v>#N/A</v>
      </c>
      <c r="AT705" s="139" t="e">
        <f t="shared" si="89"/>
        <v>#N/A</v>
      </c>
    </row>
    <row r="706" spans="1:46" ht="54" customHeight="1">
      <c r="A706" s="428">
        <f t="shared" si="83"/>
        <v>698</v>
      </c>
      <c r="B706" s="294"/>
      <c r="C706" s="201"/>
      <c r="D706" s="290"/>
      <c r="E706" s="301"/>
      <c r="F706" s="301"/>
      <c r="G706" s="290"/>
      <c r="H706" s="291"/>
      <c r="I706" s="292"/>
      <c r="J706" s="61"/>
      <c r="K706" s="57"/>
      <c r="L706" s="303"/>
      <c r="M706" s="201"/>
      <c r="N706" s="84" t="str">
        <f>IF($AI706&lt;&gt;"",Master!$N$37,IF($AC706&lt;&gt;"",Master!$N$38,IF($S706&lt;&gt;"",Master!$N$39,IF($C706&lt;&gt;"",Master!$N$40,Master!$N$41))))</f>
        <v>起票</v>
      </c>
      <c r="O706" s="202" t="str">
        <f>IF($N706=Master!$N$37,MAX($S706,$AC706,$AI706),"")</f>
        <v/>
      </c>
      <c r="P706" s="65"/>
      <c r="Q706" s="203"/>
      <c r="R706" s="57"/>
      <c r="S706" s="203"/>
      <c r="T706" s="310"/>
      <c r="U706" s="289"/>
      <c r="V706" s="57"/>
      <c r="W706" s="288"/>
      <c r="X706" s="288"/>
      <c r="Y706" s="296"/>
      <c r="Z706" s="57"/>
      <c r="AA706" s="203"/>
      <c r="AB706" s="288"/>
      <c r="AC706" s="201"/>
      <c r="AD706" s="298"/>
      <c r="AE706" s="297"/>
      <c r="AF706" s="58"/>
      <c r="AG706" s="204"/>
      <c r="AH706" s="57"/>
      <c r="AI706" s="201"/>
      <c r="AJ706" s="287"/>
      <c r="AK706" s="452"/>
      <c r="AL706" s="59"/>
      <c r="AM706" s="60"/>
      <c r="AO706" s="137" t="e">
        <f t="shared" si="84"/>
        <v>#N/A</v>
      </c>
      <c r="AP706" s="138" t="e">
        <f t="shared" si="85"/>
        <v>#N/A</v>
      </c>
      <c r="AQ706" s="138" t="e">
        <f t="shared" si="86"/>
        <v>#N/A</v>
      </c>
      <c r="AR706" s="138" t="e">
        <f t="shared" si="87"/>
        <v>#N/A</v>
      </c>
      <c r="AS706" s="138" t="e">
        <f t="shared" si="88"/>
        <v>#N/A</v>
      </c>
      <c r="AT706" s="139" t="e">
        <f t="shared" si="89"/>
        <v>#N/A</v>
      </c>
    </row>
    <row r="707" spans="1:46" ht="54" customHeight="1">
      <c r="A707" s="428">
        <f t="shared" si="83"/>
        <v>699</v>
      </c>
      <c r="B707" s="403"/>
      <c r="C707" s="404"/>
      <c r="D707" s="405"/>
      <c r="E707" s="405"/>
      <c r="F707" s="405"/>
      <c r="G707" s="405"/>
      <c r="H707" s="406"/>
      <c r="I707" s="407"/>
      <c r="J707" s="408"/>
      <c r="K707" s="409"/>
      <c r="L707" s="410"/>
      <c r="M707" s="404"/>
      <c r="N707" s="411" t="str">
        <f>IF($AI707&lt;&gt;"",Master!$N$37,IF($AC707&lt;&gt;"",Master!$N$38,IF($S707&lt;&gt;"",Master!$N$39,IF($C707&lt;&gt;"",Master!$N$40,Master!$N$41))))</f>
        <v>起票</v>
      </c>
      <c r="O707" s="412" t="str">
        <f>IF($N707=Master!$N$37,MAX($S707,$AC707,$AI707),"")</f>
        <v/>
      </c>
      <c r="P707" s="413"/>
      <c r="Q707" s="414"/>
      <c r="R707" s="409"/>
      <c r="S707" s="404"/>
      <c r="T707" s="418"/>
      <c r="U707" s="415"/>
      <c r="V707" s="409"/>
      <c r="W707" s="419"/>
      <c r="X707" s="419"/>
      <c r="Y707" s="416"/>
      <c r="Z707" s="417"/>
      <c r="AA707" s="418"/>
      <c r="AB707" s="419"/>
      <c r="AC707" s="404"/>
      <c r="AD707" s="404"/>
      <c r="AE707" s="420"/>
      <c r="AF707" s="421"/>
      <c r="AG707" s="418"/>
      <c r="AH707" s="409"/>
      <c r="AI707" s="404"/>
      <c r="AJ707" s="416"/>
      <c r="AK707" s="453"/>
      <c r="AL707" s="422"/>
      <c r="AM707" s="423"/>
      <c r="AO707" s="137" t="e">
        <f t="shared" si="84"/>
        <v>#N/A</v>
      </c>
      <c r="AP707" s="138" t="e">
        <f t="shared" si="85"/>
        <v>#N/A</v>
      </c>
      <c r="AQ707" s="138" t="e">
        <f t="shared" si="86"/>
        <v>#N/A</v>
      </c>
      <c r="AR707" s="138" t="e">
        <f t="shared" si="87"/>
        <v>#N/A</v>
      </c>
      <c r="AS707" s="138" t="e">
        <f t="shared" si="88"/>
        <v>#N/A</v>
      </c>
      <c r="AT707" s="139" t="e">
        <f t="shared" si="89"/>
        <v>#N/A</v>
      </c>
    </row>
    <row r="708" spans="1:46" ht="54" customHeight="1">
      <c r="A708" s="428">
        <f t="shared" si="83"/>
        <v>700</v>
      </c>
      <c r="B708" s="403"/>
      <c r="C708" s="404"/>
      <c r="D708" s="405"/>
      <c r="E708" s="405"/>
      <c r="F708" s="405"/>
      <c r="G708" s="405"/>
      <c r="H708" s="406"/>
      <c r="I708" s="407"/>
      <c r="J708" s="408"/>
      <c r="K708" s="409"/>
      <c r="L708" s="410"/>
      <c r="M708" s="404"/>
      <c r="N708" s="411" t="str">
        <f>IF($AI708&lt;&gt;"",Master!$N$37,IF($AC708&lt;&gt;"",Master!$N$38,IF($S708&lt;&gt;"",Master!$N$39,IF($C708&lt;&gt;"",Master!$N$40,Master!$N$41))))</f>
        <v>起票</v>
      </c>
      <c r="O708" s="412" t="str">
        <f>IF($N708=Master!$N$37,MAX($S708,$AC708,$AI708),"")</f>
        <v/>
      </c>
      <c r="P708" s="413"/>
      <c r="Q708" s="414"/>
      <c r="R708" s="409"/>
      <c r="S708" s="404"/>
      <c r="T708" s="418"/>
      <c r="U708" s="415"/>
      <c r="V708" s="409"/>
      <c r="W708" s="419"/>
      <c r="X708" s="419"/>
      <c r="Y708" s="416"/>
      <c r="Z708" s="417"/>
      <c r="AA708" s="418"/>
      <c r="AB708" s="419"/>
      <c r="AC708" s="404"/>
      <c r="AD708" s="404"/>
      <c r="AE708" s="420"/>
      <c r="AF708" s="421"/>
      <c r="AG708" s="418"/>
      <c r="AH708" s="409"/>
      <c r="AI708" s="404"/>
      <c r="AJ708" s="416"/>
      <c r="AK708" s="453"/>
      <c r="AL708" s="422"/>
      <c r="AM708" s="423"/>
      <c r="AO708" s="137" t="e">
        <f t="shared" si="84"/>
        <v>#N/A</v>
      </c>
      <c r="AP708" s="138" t="e">
        <f t="shared" si="85"/>
        <v>#N/A</v>
      </c>
      <c r="AQ708" s="138" t="e">
        <f t="shared" si="86"/>
        <v>#N/A</v>
      </c>
      <c r="AR708" s="138" t="e">
        <f t="shared" si="87"/>
        <v>#N/A</v>
      </c>
      <c r="AS708" s="138" t="e">
        <f t="shared" si="88"/>
        <v>#N/A</v>
      </c>
      <c r="AT708" s="139" t="e">
        <f t="shared" si="89"/>
        <v>#N/A</v>
      </c>
    </row>
    <row r="709" spans="1:46" ht="54" customHeight="1">
      <c r="A709" s="428">
        <f t="shared" si="83"/>
        <v>701</v>
      </c>
      <c r="B709" s="403"/>
      <c r="C709" s="404"/>
      <c r="D709" s="405"/>
      <c r="E709" s="405"/>
      <c r="F709" s="405"/>
      <c r="G709" s="405"/>
      <c r="H709" s="406"/>
      <c r="I709" s="407"/>
      <c r="J709" s="408"/>
      <c r="K709" s="409"/>
      <c r="L709" s="410"/>
      <c r="M709" s="404"/>
      <c r="N709" s="411" t="str">
        <f>IF($AI709&lt;&gt;"",Master!$N$37,IF($AC709&lt;&gt;"",Master!$N$38,IF($S709&lt;&gt;"",Master!$N$39,IF($C709&lt;&gt;"",Master!$N$40,Master!$N$41))))</f>
        <v>起票</v>
      </c>
      <c r="O709" s="412" t="str">
        <f>IF($N709=Master!$N$37,MAX($S709,$AC709,$AI709),"")</f>
        <v/>
      </c>
      <c r="P709" s="413"/>
      <c r="Q709" s="414"/>
      <c r="R709" s="409"/>
      <c r="S709" s="404"/>
      <c r="T709" s="418"/>
      <c r="U709" s="415"/>
      <c r="V709" s="409"/>
      <c r="W709" s="419"/>
      <c r="X709" s="419"/>
      <c r="Y709" s="416"/>
      <c r="Z709" s="417"/>
      <c r="AA709" s="418"/>
      <c r="AB709" s="419"/>
      <c r="AC709" s="404"/>
      <c r="AD709" s="404"/>
      <c r="AE709" s="420"/>
      <c r="AF709" s="421"/>
      <c r="AG709" s="418"/>
      <c r="AH709" s="409"/>
      <c r="AI709" s="404"/>
      <c r="AJ709" s="416"/>
      <c r="AK709" s="453"/>
      <c r="AL709" s="422"/>
      <c r="AM709" s="423"/>
      <c r="AO709" s="137" t="e">
        <f t="shared" si="84"/>
        <v>#N/A</v>
      </c>
      <c r="AP709" s="138" t="e">
        <f t="shared" si="85"/>
        <v>#N/A</v>
      </c>
      <c r="AQ709" s="138" t="e">
        <f t="shared" si="86"/>
        <v>#N/A</v>
      </c>
      <c r="AR709" s="138" t="e">
        <f t="shared" si="87"/>
        <v>#N/A</v>
      </c>
      <c r="AS709" s="138" t="e">
        <f t="shared" si="88"/>
        <v>#N/A</v>
      </c>
      <c r="AT709" s="139" t="e">
        <f t="shared" si="89"/>
        <v>#N/A</v>
      </c>
    </row>
    <row r="710" spans="1:46" ht="54" customHeight="1">
      <c r="A710" s="428">
        <f t="shared" si="83"/>
        <v>702</v>
      </c>
      <c r="B710" s="294"/>
      <c r="C710" s="201"/>
      <c r="D710" s="290"/>
      <c r="E710" s="301"/>
      <c r="F710" s="301"/>
      <c r="G710" s="290"/>
      <c r="H710" s="291"/>
      <c r="I710" s="292"/>
      <c r="J710" s="61"/>
      <c r="K710" s="57"/>
      <c r="L710" s="303"/>
      <c r="M710" s="201"/>
      <c r="N710" s="84" t="str">
        <f>IF($AI710&lt;&gt;"",Master!$N$37,IF($AC710&lt;&gt;"",Master!$N$38,IF($S710&lt;&gt;"",Master!$N$39,IF($C710&lt;&gt;"",Master!$N$40,Master!$N$41))))</f>
        <v>起票</v>
      </c>
      <c r="O710" s="202" t="str">
        <f>IF($N710=Master!$N$37,MAX($S710,$AC710,$AI710),"")</f>
        <v/>
      </c>
      <c r="P710" s="65"/>
      <c r="Q710" s="203"/>
      <c r="R710" s="57"/>
      <c r="S710" s="203"/>
      <c r="T710" s="310"/>
      <c r="U710" s="289"/>
      <c r="V710" s="57"/>
      <c r="W710" s="288"/>
      <c r="X710" s="288"/>
      <c r="Y710" s="296"/>
      <c r="Z710" s="57"/>
      <c r="AA710" s="203"/>
      <c r="AB710" s="288"/>
      <c r="AC710" s="201"/>
      <c r="AD710" s="298"/>
      <c r="AE710" s="297"/>
      <c r="AF710" s="58"/>
      <c r="AG710" s="204"/>
      <c r="AH710" s="57"/>
      <c r="AI710" s="201"/>
      <c r="AJ710" s="287"/>
      <c r="AK710" s="452"/>
      <c r="AL710" s="59"/>
      <c r="AM710" s="60"/>
      <c r="AO710" s="137" t="e">
        <f t="shared" si="84"/>
        <v>#N/A</v>
      </c>
      <c r="AP710" s="138" t="e">
        <f t="shared" si="85"/>
        <v>#N/A</v>
      </c>
      <c r="AQ710" s="138" t="e">
        <f t="shared" si="86"/>
        <v>#N/A</v>
      </c>
      <c r="AR710" s="138" t="e">
        <f t="shared" si="87"/>
        <v>#N/A</v>
      </c>
      <c r="AS710" s="138" t="e">
        <f t="shared" si="88"/>
        <v>#N/A</v>
      </c>
      <c r="AT710" s="139" t="e">
        <f t="shared" si="89"/>
        <v>#N/A</v>
      </c>
    </row>
    <row r="711" spans="1:46" ht="54" customHeight="1">
      <c r="A711" s="428">
        <f t="shared" si="83"/>
        <v>703</v>
      </c>
      <c r="B711" s="294"/>
      <c r="C711" s="201"/>
      <c r="D711" s="290"/>
      <c r="E711" s="301"/>
      <c r="F711" s="301"/>
      <c r="G711" s="290"/>
      <c r="H711" s="291"/>
      <c r="I711" s="292"/>
      <c r="J711" s="61"/>
      <c r="K711" s="57"/>
      <c r="L711" s="303"/>
      <c r="M711" s="201"/>
      <c r="N711" s="84" t="str">
        <f>IF($AI711&lt;&gt;"",Master!$N$37,IF($AC711&lt;&gt;"",Master!$N$38,IF($S711&lt;&gt;"",Master!$N$39,IF($C711&lt;&gt;"",Master!$N$40,Master!$N$41))))</f>
        <v>起票</v>
      </c>
      <c r="O711" s="202" t="str">
        <f>IF($N711=Master!$N$37,MAX($S711,$AC711,$AI711),"")</f>
        <v/>
      </c>
      <c r="P711" s="65"/>
      <c r="Q711" s="203"/>
      <c r="R711" s="57"/>
      <c r="S711" s="203"/>
      <c r="T711" s="310"/>
      <c r="U711" s="289"/>
      <c r="V711" s="57"/>
      <c r="W711" s="288"/>
      <c r="X711" s="288"/>
      <c r="Y711" s="296"/>
      <c r="Z711" s="57"/>
      <c r="AA711" s="203"/>
      <c r="AB711" s="288"/>
      <c r="AC711" s="201"/>
      <c r="AD711" s="298"/>
      <c r="AE711" s="297"/>
      <c r="AF711" s="58"/>
      <c r="AG711" s="204"/>
      <c r="AH711" s="57"/>
      <c r="AI711" s="201"/>
      <c r="AJ711" s="287"/>
      <c r="AK711" s="452"/>
      <c r="AL711" s="59"/>
      <c r="AM711" s="60"/>
      <c r="AO711" s="137" t="e">
        <f t="shared" si="84"/>
        <v>#N/A</v>
      </c>
      <c r="AP711" s="138" t="e">
        <f t="shared" si="85"/>
        <v>#N/A</v>
      </c>
      <c r="AQ711" s="138" t="e">
        <f t="shared" si="86"/>
        <v>#N/A</v>
      </c>
      <c r="AR711" s="138" t="e">
        <f t="shared" si="87"/>
        <v>#N/A</v>
      </c>
      <c r="AS711" s="138" t="e">
        <f t="shared" si="88"/>
        <v>#N/A</v>
      </c>
      <c r="AT711" s="139" t="e">
        <f t="shared" si="89"/>
        <v>#N/A</v>
      </c>
    </row>
    <row r="712" spans="1:46" ht="54" customHeight="1">
      <c r="A712" s="428">
        <f t="shared" si="83"/>
        <v>704</v>
      </c>
      <c r="B712" s="403"/>
      <c r="C712" s="404"/>
      <c r="D712" s="405"/>
      <c r="E712" s="405"/>
      <c r="F712" s="405"/>
      <c r="G712" s="405"/>
      <c r="H712" s="406"/>
      <c r="I712" s="407"/>
      <c r="J712" s="408"/>
      <c r="K712" s="409"/>
      <c r="L712" s="410"/>
      <c r="M712" s="404"/>
      <c r="N712" s="411" t="str">
        <f>IF($AI712&lt;&gt;"",Master!$N$37,IF($AC712&lt;&gt;"",Master!$N$38,IF($S712&lt;&gt;"",Master!$N$39,IF($C712&lt;&gt;"",Master!$N$40,Master!$N$41))))</f>
        <v>起票</v>
      </c>
      <c r="O712" s="412" t="str">
        <f>IF($N712=Master!$N$37,MAX($S712,$AC712,$AI712),"")</f>
        <v/>
      </c>
      <c r="P712" s="413"/>
      <c r="Q712" s="414"/>
      <c r="R712" s="409"/>
      <c r="S712" s="404"/>
      <c r="T712" s="418"/>
      <c r="U712" s="415"/>
      <c r="V712" s="409"/>
      <c r="W712" s="419"/>
      <c r="X712" s="419"/>
      <c r="Y712" s="416"/>
      <c r="Z712" s="417"/>
      <c r="AA712" s="418"/>
      <c r="AB712" s="419"/>
      <c r="AC712" s="404"/>
      <c r="AD712" s="404"/>
      <c r="AE712" s="420"/>
      <c r="AF712" s="421"/>
      <c r="AG712" s="418"/>
      <c r="AH712" s="409"/>
      <c r="AI712" s="404"/>
      <c r="AJ712" s="416"/>
      <c r="AK712" s="453"/>
      <c r="AL712" s="422"/>
      <c r="AM712" s="423"/>
      <c r="AO712" s="137" t="e">
        <f t="shared" si="84"/>
        <v>#N/A</v>
      </c>
      <c r="AP712" s="138" t="e">
        <f t="shared" si="85"/>
        <v>#N/A</v>
      </c>
      <c r="AQ712" s="138" t="e">
        <f t="shared" si="86"/>
        <v>#N/A</v>
      </c>
      <c r="AR712" s="138" t="e">
        <f t="shared" si="87"/>
        <v>#N/A</v>
      </c>
      <c r="AS712" s="138" t="e">
        <f t="shared" si="88"/>
        <v>#N/A</v>
      </c>
      <c r="AT712" s="139" t="e">
        <f t="shared" si="89"/>
        <v>#N/A</v>
      </c>
    </row>
    <row r="713" spans="1:46" ht="54" customHeight="1">
      <c r="A713" s="428">
        <f t="shared" si="83"/>
        <v>705</v>
      </c>
      <c r="B713" s="403"/>
      <c r="C713" s="404"/>
      <c r="D713" s="405"/>
      <c r="E713" s="405"/>
      <c r="F713" s="405"/>
      <c r="G713" s="405"/>
      <c r="H713" s="406"/>
      <c r="I713" s="407"/>
      <c r="J713" s="408"/>
      <c r="K713" s="409"/>
      <c r="L713" s="410"/>
      <c r="M713" s="404"/>
      <c r="N713" s="411" t="str">
        <f>IF($AI713&lt;&gt;"",Master!$N$37,IF($AC713&lt;&gt;"",Master!$N$38,IF($S713&lt;&gt;"",Master!$N$39,IF($C713&lt;&gt;"",Master!$N$40,Master!$N$41))))</f>
        <v>起票</v>
      </c>
      <c r="O713" s="412" t="str">
        <f>IF($N713=Master!$N$37,MAX($S713,$AC713,$AI713),"")</f>
        <v/>
      </c>
      <c r="P713" s="413"/>
      <c r="Q713" s="414"/>
      <c r="R713" s="409"/>
      <c r="S713" s="404"/>
      <c r="T713" s="418"/>
      <c r="U713" s="415"/>
      <c r="V713" s="409"/>
      <c r="W713" s="419"/>
      <c r="X713" s="419"/>
      <c r="Y713" s="416"/>
      <c r="Z713" s="417"/>
      <c r="AA713" s="418"/>
      <c r="AB713" s="419"/>
      <c r="AC713" s="404"/>
      <c r="AD713" s="404"/>
      <c r="AE713" s="420"/>
      <c r="AF713" s="421"/>
      <c r="AG713" s="418"/>
      <c r="AH713" s="409"/>
      <c r="AI713" s="404"/>
      <c r="AJ713" s="416"/>
      <c r="AK713" s="453"/>
      <c r="AL713" s="422"/>
      <c r="AM713" s="423"/>
      <c r="AO713" s="137" t="e">
        <f t="shared" si="84"/>
        <v>#N/A</v>
      </c>
      <c r="AP713" s="138" t="e">
        <f t="shared" si="85"/>
        <v>#N/A</v>
      </c>
      <c r="AQ713" s="138" t="e">
        <f t="shared" si="86"/>
        <v>#N/A</v>
      </c>
      <c r="AR713" s="138" t="e">
        <f t="shared" si="87"/>
        <v>#N/A</v>
      </c>
      <c r="AS713" s="138" t="e">
        <f t="shared" si="88"/>
        <v>#N/A</v>
      </c>
      <c r="AT713" s="139" t="e">
        <f t="shared" si="89"/>
        <v>#N/A</v>
      </c>
    </row>
    <row r="714" spans="1:46" ht="54" customHeight="1">
      <c r="A714" s="428">
        <f t="shared" si="83"/>
        <v>706</v>
      </c>
      <c r="B714" s="403"/>
      <c r="C714" s="404"/>
      <c r="D714" s="405"/>
      <c r="E714" s="405"/>
      <c r="F714" s="405"/>
      <c r="G714" s="405"/>
      <c r="H714" s="406"/>
      <c r="I714" s="407"/>
      <c r="J714" s="408"/>
      <c r="K714" s="409"/>
      <c r="L714" s="410"/>
      <c r="M714" s="404"/>
      <c r="N714" s="411" t="str">
        <f>IF($AI714&lt;&gt;"",Master!$N$37,IF($AC714&lt;&gt;"",Master!$N$38,IF($S714&lt;&gt;"",Master!$N$39,IF($C714&lt;&gt;"",Master!$N$40,Master!$N$41))))</f>
        <v>起票</v>
      </c>
      <c r="O714" s="412" t="str">
        <f>IF($N714=Master!$N$37,MAX($S714,$AC714,$AI714),"")</f>
        <v/>
      </c>
      <c r="P714" s="413"/>
      <c r="Q714" s="414"/>
      <c r="R714" s="409"/>
      <c r="S714" s="404"/>
      <c r="T714" s="418"/>
      <c r="U714" s="415"/>
      <c r="V714" s="409"/>
      <c r="W714" s="419"/>
      <c r="X714" s="419"/>
      <c r="Y714" s="416"/>
      <c r="Z714" s="417"/>
      <c r="AA714" s="418"/>
      <c r="AB714" s="419"/>
      <c r="AC714" s="404"/>
      <c r="AD714" s="404"/>
      <c r="AE714" s="420"/>
      <c r="AF714" s="421"/>
      <c r="AG714" s="418"/>
      <c r="AH714" s="409"/>
      <c r="AI714" s="404"/>
      <c r="AJ714" s="416"/>
      <c r="AK714" s="453"/>
      <c r="AL714" s="422"/>
      <c r="AM714" s="423"/>
      <c r="AO714" s="137" t="e">
        <f t="shared" si="84"/>
        <v>#N/A</v>
      </c>
      <c r="AP714" s="138" t="e">
        <f t="shared" si="85"/>
        <v>#N/A</v>
      </c>
      <c r="AQ714" s="138" t="e">
        <f t="shared" si="86"/>
        <v>#N/A</v>
      </c>
      <c r="AR714" s="138" t="e">
        <f t="shared" si="87"/>
        <v>#N/A</v>
      </c>
      <c r="AS714" s="138" t="e">
        <f t="shared" si="88"/>
        <v>#N/A</v>
      </c>
      <c r="AT714" s="139" t="e">
        <f t="shared" si="89"/>
        <v>#N/A</v>
      </c>
    </row>
    <row r="715" spans="1:46" ht="54" customHeight="1">
      <c r="A715" s="428">
        <f t="shared" si="83"/>
        <v>707</v>
      </c>
      <c r="B715" s="294"/>
      <c r="C715" s="201"/>
      <c r="D715" s="290"/>
      <c r="E715" s="301"/>
      <c r="F715" s="301"/>
      <c r="G715" s="290"/>
      <c r="H715" s="291"/>
      <c r="I715" s="292"/>
      <c r="J715" s="61"/>
      <c r="K715" s="57"/>
      <c r="L715" s="303"/>
      <c r="M715" s="201"/>
      <c r="N715" s="84" t="str">
        <f>IF($AI715&lt;&gt;"",Master!$N$37,IF($AC715&lt;&gt;"",Master!$N$38,IF($S715&lt;&gt;"",Master!$N$39,IF($C715&lt;&gt;"",Master!$N$40,Master!$N$41))))</f>
        <v>起票</v>
      </c>
      <c r="O715" s="202" t="str">
        <f>IF($N715=Master!$N$37,MAX($S715,$AC715,$AI715),"")</f>
        <v/>
      </c>
      <c r="P715" s="65"/>
      <c r="Q715" s="203"/>
      <c r="R715" s="57"/>
      <c r="S715" s="203"/>
      <c r="T715" s="310"/>
      <c r="U715" s="289"/>
      <c r="V715" s="57"/>
      <c r="W715" s="288"/>
      <c r="X715" s="288"/>
      <c r="Y715" s="296"/>
      <c r="Z715" s="57"/>
      <c r="AA715" s="203"/>
      <c r="AB715" s="288"/>
      <c r="AC715" s="201"/>
      <c r="AD715" s="298"/>
      <c r="AE715" s="297"/>
      <c r="AF715" s="58"/>
      <c r="AG715" s="204"/>
      <c r="AH715" s="57"/>
      <c r="AI715" s="201"/>
      <c r="AJ715" s="287"/>
      <c r="AK715" s="452"/>
      <c r="AL715" s="59"/>
      <c r="AM715" s="60"/>
      <c r="AO715" s="137" t="e">
        <f t="shared" si="77"/>
        <v>#N/A</v>
      </c>
      <c r="AP715" s="138" t="e">
        <f t="shared" si="78"/>
        <v>#N/A</v>
      </c>
      <c r="AQ715" s="138" t="e">
        <f t="shared" si="79"/>
        <v>#N/A</v>
      </c>
      <c r="AR715" s="138" t="e">
        <f t="shared" si="80"/>
        <v>#N/A</v>
      </c>
      <c r="AS715" s="138" t="e">
        <f t="shared" si="81"/>
        <v>#N/A</v>
      </c>
      <c r="AT715" s="139" t="e">
        <f t="shared" si="82"/>
        <v>#N/A</v>
      </c>
    </row>
    <row r="716" spans="1:46" ht="54" customHeight="1">
      <c r="A716" s="428">
        <f t="shared" ref="A716:A779" si="90">A715+1</f>
        <v>708</v>
      </c>
      <c r="B716" s="294"/>
      <c r="C716" s="201"/>
      <c r="D716" s="290"/>
      <c r="E716" s="301"/>
      <c r="F716" s="301"/>
      <c r="G716" s="290"/>
      <c r="H716" s="291"/>
      <c r="I716" s="292"/>
      <c r="J716" s="61"/>
      <c r="K716" s="57"/>
      <c r="L716" s="303"/>
      <c r="M716" s="201"/>
      <c r="N716" s="84" t="str">
        <f>IF($AI716&lt;&gt;"",Master!$N$37,IF($AC716&lt;&gt;"",Master!$N$38,IF($S716&lt;&gt;"",Master!$N$39,IF($C716&lt;&gt;"",Master!$N$40,Master!$N$41))))</f>
        <v>起票</v>
      </c>
      <c r="O716" s="202" t="str">
        <f>IF($N716=Master!$N$37,MAX($S716,$AC716,$AI716),"")</f>
        <v/>
      </c>
      <c r="P716" s="65"/>
      <c r="Q716" s="203"/>
      <c r="R716" s="57"/>
      <c r="S716" s="203"/>
      <c r="T716" s="310"/>
      <c r="U716" s="289"/>
      <c r="V716" s="57"/>
      <c r="W716" s="288"/>
      <c r="X716" s="288"/>
      <c r="Y716" s="296"/>
      <c r="Z716" s="57"/>
      <c r="AA716" s="203"/>
      <c r="AB716" s="288"/>
      <c r="AC716" s="201"/>
      <c r="AD716" s="298"/>
      <c r="AE716" s="297"/>
      <c r="AF716" s="58"/>
      <c r="AG716" s="204"/>
      <c r="AH716" s="57"/>
      <c r="AI716" s="201"/>
      <c r="AJ716" s="287"/>
      <c r="AK716" s="452"/>
      <c r="AL716" s="59"/>
      <c r="AM716" s="60"/>
      <c r="AO716" s="137" t="e">
        <f t="shared" si="77"/>
        <v>#N/A</v>
      </c>
      <c r="AP716" s="138" t="e">
        <f t="shared" si="78"/>
        <v>#N/A</v>
      </c>
      <c r="AQ716" s="138" t="e">
        <f t="shared" si="79"/>
        <v>#N/A</v>
      </c>
      <c r="AR716" s="138" t="e">
        <f t="shared" si="80"/>
        <v>#N/A</v>
      </c>
      <c r="AS716" s="138" t="e">
        <f t="shared" si="81"/>
        <v>#N/A</v>
      </c>
      <c r="AT716" s="139" t="e">
        <f t="shared" si="82"/>
        <v>#N/A</v>
      </c>
    </row>
    <row r="717" spans="1:46" ht="54" customHeight="1">
      <c r="A717" s="428">
        <f t="shared" si="90"/>
        <v>709</v>
      </c>
      <c r="B717" s="403"/>
      <c r="C717" s="404"/>
      <c r="D717" s="405"/>
      <c r="E717" s="405"/>
      <c r="F717" s="405"/>
      <c r="G717" s="405"/>
      <c r="H717" s="406"/>
      <c r="I717" s="407"/>
      <c r="J717" s="408"/>
      <c r="K717" s="409"/>
      <c r="L717" s="410"/>
      <c r="M717" s="404"/>
      <c r="N717" s="411" t="str">
        <f>IF($AI717&lt;&gt;"",Master!$N$37,IF($AC717&lt;&gt;"",Master!$N$38,IF($S717&lt;&gt;"",Master!$N$39,IF($C717&lt;&gt;"",Master!$N$40,Master!$N$41))))</f>
        <v>起票</v>
      </c>
      <c r="O717" s="412" t="str">
        <f>IF($N717=Master!$N$37,MAX($S717,$AC717,$AI717),"")</f>
        <v/>
      </c>
      <c r="P717" s="413"/>
      <c r="Q717" s="414"/>
      <c r="R717" s="409"/>
      <c r="S717" s="404"/>
      <c r="T717" s="418"/>
      <c r="U717" s="415"/>
      <c r="V717" s="409"/>
      <c r="W717" s="419"/>
      <c r="X717" s="419"/>
      <c r="Y717" s="416"/>
      <c r="Z717" s="417"/>
      <c r="AA717" s="418"/>
      <c r="AB717" s="419"/>
      <c r="AC717" s="404"/>
      <c r="AD717" s="404"/>
      <c r="AE717" s="420"/>
      <c r="AF717" s="421"/>
      <c r="AG717" s="418"/>
      <c r="AH717" s="409"/>
      <c r="AI717" s="404"/>
      <c r="AJ717" s="416"/>
      <c r="AK717" s="453"/>
      <c r="AL717" s="422"/>
      <c r="AM717" s="423"/>
      <c r="AO717" s="137" t="e">
        <f t="shared" si="77"/>
        <v>#N/A</v>
      </c>
      <c r="AP717" s="138" t="e">
        <f t="shared" si="78"/>
        <v>#N/A</v>
      </c>
      <c r="AQ717" s="138" t="e">
        <f t="shared" si="79"/>
        <v>#N/A</v>
      </c>
      <c r="AR717" s="138" t="e">
        <f t="shared" si="80"/>
        <v>#N/A</v>
      </c>
      <c r="AS717" s="138" t="e">
        <f t="shared" si="81"/>
        <v>#N/A</v>
      </c>
      <c r="AT717" s="139" t="e">
        <f t="shared" si="82"/>
        <v>#N/A</v>
      </c>
    </row>
    <row r="718" spans="1:46" ht="54" customHeight="1">
      <c r="A718" s="428">
        <f t="shared" si="90"/>
        <v>710</v>
      </c>
      <c r="B718" s="403"/>
      <c r="C718" s="404"/>
      <c r="D718" s="405"/>
      <c r="E718" s="405"/>
      <c r="F718" s="405"/>
      <c r="G718" s="405"/>
      <c r="H718" s="406"/>
      <c r="I718" s="407"/>
      <c r="J718" s="408"/>
      <c r="K718" s="409"/>
      <c r="L718" s="410"/>
      <c r="M718" s="404"/>
      <c r="N718" s="411" t="str">
        <f>IF($AI718&lt;&gt;"",Master!$N$37,IF($AC718&lt;&gt;"",Master!$N$38,IF($S718&lt;&gt;"",Master!$N$39,IF($C718&lt;&gt;"",Master!$N$40,Master!$N$41))))</f>
        <v>起票</v>
      </c>
      <c r="O718" s="412" t="str">
        <f>IF($N718=Master!$N$37,MAX($S718,$AC718,$AI718),"")</f>
        <v/>
      </c>
      <c r="P718" s="413"/>
      <c r="Q718" s="414"/>
      <c r="R718" s="409"/>
      <c r="S718" s="404"/>
      <c r="T718" s="418"/>
      <c r="U718" s="415"/>
      <c r="V718" s="409"/>
      <c r="W718" s="419"/>
      <c r="X718" s="419"/>
      <c r="Y718" s="416"/>
      <c r="Z718" s="417"/>
      <c r="AA718" s="418"/>
      <c r="AB718" s="419"/>
      <c r="AC718" s="404"/>
      <c r="AD718" s="404"/>
      <c r="AE718" s="420"/>
      <c r="AF718" s="421"/>
      <c r="AG718" s="418"/>
      <c r="AH718" s="409"/>
      <c r="AI718" s="404"/>
      <c r="AJ718" s="416"/>
      <c r="AK718" s="453"/>
      <c r="AL718" s="422"/>
      <c r="AM718" s="423"/>
      <c r="AO718" s="137" t="e">
        <f t="shared" si="77"/>
        <v>#N/A</v>
      </c>
      <c r="AP718" s="138" t="e">
        <f t="shared" si="78"/>
        <v>#N/A</v>
      </c>
      <c r="AQ718" s="138" t="e">
        <f t="shared" si="79"/>
        <v>#N/A</v>
      </c>
      <c r="AR718" s="138" t="e">
        <f t="shared" si="80"/>
        <v>#N/A</v>
      </c>
      <c r="AS718" s="138" t="e">
        <f t="shared" si="81"/>
        <v>#N/A</v>
      </c>
      <c r="AT718" s="139" t="e">
        <f t="shared" si="82"/>
        <v>#N/A</v>
      </c>
    </row>
    <row r="719" spans="1:46" ht="54" customHeight="1">
      <c r="A719" s="428">
        <f t="shared" si="90"/>
        <v>711</v>
      </c>
      <c r="B719" s="403"/>
      <c r="C719" s="404"/>
      <c r="D719" s="405"/>
      <c r="E719" s="405"/>
      <c r="F719" s="405"/>
      <c r="G719" s="405"/>
      <c r="H719" s="406"/>
      <c r="I719" s="407"/>
      <c r="J719" s="408"/>
      <c r="K719" s="409"/>
      <c r="L719" s="410"/>
      <c r="M719" s="404"/>
      <c r="N719" s="411" t="str">
        <f>IF($AI719&lt;&gt;"",Master!$N$37,IF($AC719&lt;&gt;"",Master!$N$38,IF($S719&lt;&gt;"",Master!$N$39,IF($C719&lt;&gt;"",Master!$N$40,Master!$N$41))))</f>
        <v>起票</v>
      </c>
      <c r="O719" s="412" t="str">
        <f>IF($N719=Master!$N$37,MAX($S719,$AC719,$AI719),"")</f>
        <v/>
      </c>
      <c r="P719" s="413"/>
      <c r="Q719" s="414"/>
      <c r="R719" s="409"/>
      <c r="S719" s="404"/>
      <c r="T719" s="418"/>
      <c r="U719" s="415"/>
      <c r="V719" s="409"/>
      <c r="W719" s="419"/>
      <c r="X719" s="419"/>
      <c r="Y719" s="416"/>
      <c r="Z719" s="417"/>
      <c r="AA719" s="418"/>
      <c r="AB719" s="419"/>
      <c r="AC719" s="404"/>
      <c r="AD719" s="404"/>
      <c r="AE719" s="420"/>
      <c r="AF719" s="421"/>
      <c r="AG719" s="418"/>
      <c r="AH719" s="409"/>
      <c r="AI719" s="404"/>
      <c r="AJ719" s="416"/>
      <c r="AK719" s="453"/>
      <c r="AL719" s="422"/>
      <c r="AM719" s="423"/>
      <c r="AO719" s="137" t="e">
        <f t="shared" si="77"/>
        <v>#N/A</v>
      </c>
      <c r="AP719" s="138" t="e">
        <f t="shared" si="78"/>
        <v>#N/A</v>
      </c>
      <c r="AQ719" s="138" t="e">
        <f t="shared" si="79"/>
        <v>#N/A</v>
      </c>
      <c r="AR719" s="138" t="e">
        <f t="shared" si="80"/>
        <v>#N/A</v>
      </c>
      <c r="AS719" s="138" t="e">
        <f t="shared" si="81"/>
        <v>#N/A</v>
      </c>
      <c r="AT719" s="139" t="e">
        <f t="shared" si="82"/>
        <v>#N/A</v>
      </c>
    </row>
    <row r="720" spans="1:46" ht="54" customHeight="1">
      <c r="A720" s="428">
        <f t="shared" si="90"/>
        <v>712</v>
      </c>
      <c r="B720" s="294"/>
      <c r="C720" s="201"/>
      <c r="D720" s="290"/>
      <c r="E720" s="301"/>
      <c r="F720" s="301"/>
      <c r="G720" s="290"/>
      <c r="H720" s="291"/>
      <c r="I720" s="292"/>
      <c r="J720" s="61"/>
      <c r="K720" s="57"/>
      <c r="L720" s="303"/>
      <c r="M720" s="201"/>
      <c r="N720" s="84" t="str">
        <f>IF($AI720&lt;&gt;"",Master!$N$37,IF($AC720&lt;&gt;"",Master!$N$38,IF($S720&lt;&gt;"",Master!$N$39,IF($C720&lt;&gt;"",Master!$N$40,Master!$N$41))))</f>
        <v>起票</v>
      </c>
      <c r="O720" s="202" t="str">
        <f>IF($N720=Master!$N$37,MAX($S720,$AC720,$AI720),"")</f>
        <v/>
      </c>
      <c r="P720" s="65"/>
      <c r="Q720" s="203"/>
      <c r="R720" s="57"/>
      <c r="S720" s="203"/>
      <c r="T720" s="310"/>
      <c r="U720" s="289"/>
      <c r="V720" s="57"/>
      <c r="W720" s="288"/>
      <c r="X720" s="288"/>
      <c r="Y720" s="296"/>
      <c r="Z720" s="57"/>
      <c r="AA720" s="203"/>
      <c r="AB720" s="288"/>
      <c r="AC720" s="201"/>
      <c r="AD720" s="298"/>
      <c r="AE720" s="297"/>
      <c r="AF720" s="58"/>
      <c r="AG720" s="204"/>
      <c r="AH720" s="57"/>
      <c r="AI720" s="201"/>
      <c r="AJ720" s="287"/>
      <c r="AK720" s="452"/>
      <c r="AL720" s="59"/>
      <c r="AM720" s="60"/>
      <c r="AO720" s="137" t="e">
        <f t="shared" si="77"/>
        <v>#N/A</v>
      </c>
      <c r="AP720" s="138" t="e">
        <f t="shared" si="78"/>
        <v>#N/A</v>
      </c>
      <c r="AQ720" s="138" t="e">
        <f t="shared" si="79"/>
        <v>#N/A</v>
      </c>
      <c r="AR720" s="138" t="e">
        <f t="shared" si="80"/>
        <v>#N/A</v>
      </c>
      <c r="AS720" s="138" t="e">
        <f t="shared" si="81"/>
        <v>#N/A</v>
      </c>
      <c r="AT720" s="139" t="e">
        <f t="shared" si="82"/>
        <v>#N/A</v>
      </c>
    </row>
    <row r="721" spans="1:46" ht="54" customHeight="1">
      <c r="A721" s="428">
        <f t="shared" si="90"/>
        <v>713</v>
      </c>
      <c r="B721" s="294"/>
      <c r="C721" s="201"/>
      <c r="D721" s="290"/>
      <c r="E721" s="301"/>
      <c r="F721" s="301"/>
      <c r="G721" s="290"/>
      <c r="H721" s="291"/>
      <c r="I721" s="292"/>
      <c r="J721" s="61"/>
      <c r="K721" s="57"/>
      <c r="L721" s="303"/>
      <c r="M721" s="201"/>
      <c r="N721" s="84" t="str">
        <f>IF($AI721&lt;&gt;"",Master!$N$37,IF($AC721&lt;&gt;"",Master!$N$38,IF($S721&lt;&gt;"",Master!$N$39,IF($C721&lt;&gt;"",Master!$N$40,Master!$N$41))))</f>
        <v>起票</v>
      </c>
      <c r="O721" s="202" t="str">
        <f>IF($N721=Master!$N$37,MAX($S721,$AC721,$AI721),"")</f>
        <v/>
      </c>
      <c r="P721" s="65"/>
      <c r="Q721" s="203"/>
      <c r="R721" s="57"/>
      <c r="S721" s="203"/>
      <c r="T721" s="310"/>
      <c r="U721" s="289"/>
      <c r="V721" s="57"/>
      <c r="W721" s="288"/>
      <c r="X721" s="288"/>
      <c r="Y721" s="296"/>
      <c r="Z721" s="57"/>
      <c r="AA721" s="203"/>
      <c r="AB721" s="288"/>
      <c r="AC721" s="201"/>
      <c r="AD721" s="298"/>
      <c r="AE721" s="297"/>
      <c r="AF721" s="58"/>
      <c r="AG721" s="204"/>
      <c r="AH721" s="57"/>
      <c r="AI721" s="201"/>
      <c r="AJ721" s="287"/>
      <c r="AK721" s="452"/>
      <c r="AL721" s="59"/>
      <c r="AM721" s="60"/>
      <c r="AO721" s="137" t="e">
        <f t="shared" si="77"/>
        <v>#N/A</v>
      </c>
      <c r="AP721" s="138" t="e">
        <f t="shared" si="78"/>
        <v>#N/A</v>
      </c>
      <c r="AQ721" s="138" t="e">
        <f t="shared" si="79"/>
        <v>#N/A</v>
      </c>
      <c r="AR721" s="138" t="e">
        <f t="shared" si="80"/>
        <v>#N/A</v>
      </c>
      <c r="AS721" s="138" t="e">
        <f t="shared" si="81"/>
        <v>#N/A</v>
      </c>
      <c r="AT721" s="139" t="e">
        <f t="shared" si="82"/>
        <v>#N/A</v>
      </c>
    </row>
    <row r="722" spans="1:46" ht="54" customHeight="1">
      <c r="A722" s="428">
        <f t="shared" si="90"/>
        <v>714</v>
      </c>
      <c r="B722" s="403"/>
      <c r="C722" s="404"/>
      <c r="D722" s="405"/>
      <c r="E722" s="405"/>
      <c r="F722" s="405"/>
      <c r="G722" s="405"/>
      <c r="H722" s="406"/>
      <c r="I722" s="407"/>
      <c r="J722" s="408"/>
      <c r="K722" s="409"/>
      <c r="L722" s="410"/>
      <c r="M722" s="404"/>
      <c r="N722" s="411" t="str">
        <f>IF($AI722&lt;&gt;"",Master!$N$37,IF($AC722&lt;&gt;"",Master!$N$38,IF($S722&lt;&gt;"",Master!$N$39,IF($C722&lt;&gt;"",Master!$N$40,Master!$N$41))))</f>
        <v>起票</v>
      </c>
      <c r="O722" s="412" t="str">
        <f>IF($N722=Master!$N$37,MAX($S722,$AC722,$AI722),"")</f>
        <v/>
      </c>
      <c r="P722" s="413"/>
      <c r="Q722" s="414"/>
      <c r="R722" s="409"/>
      <c r="S722" s="404"/>
      <c r="T722" s="418"/>
      <c r="U722" s="415"/>
      <c r="V722" s="409"/>
      <c r="W722" s="419"/>
      <c r="X722" s="419"/>
      <c r="Y722" s="416"/>
      <c r="Z722" s="417"/>
      <c r="AA722" s="418"/>
      <c r="AB722" s="419"/>
      <c r="AC722" s="404"/>
      <c r="AD722" s="404"/>
      <c r="AE722" s="420"/>
      <c r="AF722" s="421"/>
      <c r="AG722" s="418"/>
      <c r="AH722" s="409"/>
      <c r="AI722" s="404"/>
      <c r="AJ722" s="416"/>
      <c r="AK722" s="453"/>
      <c r="AL722" s="422"/>
      <c r="AM722" s="423"/>
      <c r="AO722" s="137" t="e">
        <f t="shared" si="77"/>
        <v>#N/A</v>
      </c>
      <c r="AP722" s="138" t="e">
        <f t="shared" si="78"/>
        <v>#N/A</v>
      </c>
      <c r="AQ722" s="138" t="e">
        <f t="shared" si="79"/>
        <v>#N/A</v>
      </c>
      <c r="AR722" s="138" t="e">
        <f t="shared" si="80"/>
        <v>#N/A</v>
      </c>
      <c r="AS722" s="138" t="e">
        <f t="shared" si="81"/>
        <v>#N/A</v>
      </c>
      <c r="AT722" s="139" t="e">
        <f t="shared" si="82"/>
        <v>#N/A</v>
      </c>
    </row>
    <row r="723" spans="1:46" ht="54" customHeight="1">
      <c r="A723" s="428">
        <f t="shared" si="90"/>
        <v>715</v>
      </c>
      <c r="B723" s="403"/>
      <c r="C723" s="404"/>
      <c r="D723" s="405"/>
      <c r="E723" s="405"/>
      <c r="F723" s="405"/>
      <c r="G723" s="405"/>
      <c r="H723" s="406"/>
      <c r="I723" s="407"/>
      <c r="J723" s="408"/>
      <c r="K723" s="409"/>
      <c r="L723" s="410"/>
      <c r="M723" s="404"/>
      <c r="N723" s="411" t="str">
        <f>IF($AI723&lt;&gt;"",Master!$N$37,IF($AC723&lt;&gt;"",Master!$N$38,IF($S723&lt;&gt;"",Master!$N$39,IF($C723&lt;&gt;"",Master!$N$40,Master!$N$41))))</f>
        <v>起票</v>
      </c>
      <c r="O723" s="412" t="str">
        <f>IF($N723=Master!$N$37,MAX($S723,$AC723,$AI723),"")</f>
        <v/>
      </c>
      <c r="P723" s="413"/>
      <c r="Q723" s="414"/>
      <c r="R723" s="409"/>
      <c r="S723" s="404"/>
      <c r="T723" s="418"/>
      <c r="U723" s="415"/>
      <c r="V723" s="409"/>
      <c r="W723" s="419"/>
      <c r="X723" s="419"/>
      <c r="Y723" s="416"/>
      <c r="Z723" s="417"/>
      <c r="AA723" s="418"/>
      <c r="AB723" s="419"/>
      <c r="AC723" s="404"/>
      <c r="AD723" s="404"/>
      <c r="AE723" s="420"/>
      <c r="AF723" s="421"/>
      <c r="AG723" s="418"/>
      <c r="AH723" s="409"/>
      <c r="AI723" s="404"/>
      <c r="AJ723" s="416"/>
      <c r="AK723" s="453"/>
      <c r="AL723" s="422"/>
      <c r="AM723" s="423"/>
      <c r="AO723" s="137" t="e">
        <f t="shared" si="77"/>
        <v>#N/A</v>
      </c>
      <c r="AP723" s="138" t="e">
        <f t="shared" si="78"/>
        <v>#N/A</v>
      </c>
      <c r="AQ723" s="138" t="e">
        <f t="shared" si="79"/>
        <v>#N/A</v>
      </c>
      <c r="AR723" s="138" t="e">
        <f t="shared" si="80"/>
        <v>#N/A</v>
      </c>
      <c r="AS723" s="138" t="e">
        <f t="shared" si="81"/>
        <v>#N/A</v>
      </c>
      <c r="AT723" s="139" t="e">
        <f t="shared" si="82"/>
        <v>#N/A</v>
      </c>
    </row>
    <row r="724" spans="1:46" ht="54" customHeight="1">
      <c r="A724" s="428">
        <f t="shared" si="90"/>
        <v>716</v>
      </c>
      <c r="B724" s="403"/>
      <c r="C724" s="404"/>
      <c r="D724" s="405"/>
      <c r="E724" s="405"/>
      <c r="F724" s="405"/>
      <c r="G724" s="405"/>
      <c r="H724" s="406"/>
      <c r="I724" s="407"/>
      <c r="J724" s="408"/>
      <c r="K724" s="409"/>
      <c r="L724" s="410"/>
      <c r="M724" s="404"/>
      <c r="N724" s="411" t="str">
        <f>IF($AI724&lt;&gt;"",Master!$N$37,IF($AC724&lt;&gt;"",Master!$N$38,IF($S724&lt;&gt;"",Master!$N$39,IF($C724&lt;&gt;"",Master!$N$40,Master!$N$41))))</f>
        <v>起票</v>
      </c>
      <c r="O724" s="412" t="str">
        <f>IF($N724=Master!$N$37,MAX($S724,$AC724,$AI724),"")</f>
        <v/>
      </c>
      <c r="P724" s="413"/>
      <c r="Q724" s="414"/>
      <c r="R724" s="409"/>
      <c r="S724" s="404"/>
      <c r="T724" s="418"/>
      <c r="U724" s="415"/>
      <c r="V724" s="409"/>
      <c r="W724" s="419"/>
      <c r="X724" s="419"/>
      <c r="Y724" s="416"/>
      <c r="Z724" s="417"/>
      <c r="AA724" s="418"/>
      <c r="AB724" s="419"/>
      <c r="AC724" s="404"/>
      <c r="AD724" s="404"/>
      <c r="AE724" s="420"/>
      <c r="AF724" s="421"/>
      <c r="AG724" s="418"/>
      <c r="AH724" s="409"/>
      <c r="AI724" s="404"/>
      <c r="AJ724" s="416"/>
      <c r="AK724" s="453"/>
      <c r="AL724" s="422"/>
      <c r="AM724" s="423"/>
      <c r="AO724" s="137" t="e">
        <f t="shared" si="77"/>
        <v>#N/A</v>
      </c>
      <c r="AP724" s="138" t="e">
        <f t="shared" si="78"/>
        <v>#N/A</v>
      </c>
      <c r="AQ724" s="138" t="e">
        <f t="shared" si="79"/>
        <v>#N/A</v>
      </c>
      <c r="AR724" s="138" t="e">
        <f t="shared" si="80"/>
        <v>#N/A</v>
      </c>
      <c r="AS724" s="138" t="e">
        <f t="shared" si="81"/>
        <v>#N/A</v>
      </c>
      <c r="AT724" s="139" t="e">
        <f t="shared" si="82"/>
        <v>#N/A</v>
      </c>
    </row>
    <row r="725" spans="1:46" ht="54" customHeight="1">
      <c r="A725" s="428">
        <f t="shared" si="90"/>
        <v>717</v>
      </c>
      <c r="B725" s="294"/>
      <c r="C725" s="201"/>
      <c r="D725" s="290"/>
      <c r="E725" s="301"/>
      <c r="F725" s="301"/>
      <c r="G725" s="290"/>
      <c r="H725" s="291"/>
      <c r="I725" s="292"/>
      <c r="J725" s="61"/>
      <c r="K725" s="57"/>
      <c r="L725" s="303"/>
      <c r="M725" s="201"/>
      <c r="N725" s="84" t="str">
        <f>IF($AI725&lt;&gt;"",Master!$N$37,IF($AC725&lt;&gt;"",Master!$N$38,IF($S725&lt;&gt;"",Master!$N$39,IF($C725&lt;&gt;"",Master!$N$40,Master!$N$41))))</f>
        <v>起票</v>
      </c>
      <c r="O725" s="202" t="str">
        <f>IF($N725=Master!$N$37,MAX($S725,$AC725,$AI725),"")</f>
        <v/>
      </c>
      <c r="P725" s="65"/>
      <c r="Q725" s="203"/>
      <c r="R725" s="57"/>
      <c r="S725" s="203"/>
      <c r="T725" s="310"/>
      <c r="U725" s="289"/>
      <c r="V725" s="57"/>
      <c r="W725" s="288"/>
      <c r="X725" s="288"/>
      <c r="Y725" s="296"/>
      <c r="Z725" s="57"/>
      <c r="AA725" s="203"/>
      <c r="AB725" s="288"/>
      <c r="AC725" s="201"/>
      <c r="AD725" s="298"/>
      <c r="AE725" s="297"/>
      <c r="AF725" s="58"/>
      <c r="AG725" s="204"/>
      <c r="AH725" s="57"/>
      <c r="AI725" s="201"/>
      <c r="AJ725" s="287"/>
      <c r="AK725" s="452"/>
      <c r="AL725" s="59"/>
      <c r="AM725" s="60"/>
      <c r="AO725" s="137" t="e">
        <f t="shared" si="77"/>
        <v>#N/A</v>
      </c>
      <c r="AP725" s="138" t="e">
        <f t="shared" si="78"/>
        <v>#N/A</v>
      </c>
      <c r="AQ725" s="138" t="e">
        <f t="shared" si="79"/>
        <v>#N/A</v>
      </c>
      <c r="AR725" s="138" t="e">
        <f t="shared" si="80"/>
        <v>#N/A</v>
      </c>
      <c r="AS725" s="138" t="e">
        <f t="shared" si="81"/>
        <v>#N/A</v>
      </c>
      <c r="AT725" s="139" t="e">
        <f t="shared" si="82"/>
        <v>#N/A</v>
      </c>
    </row>
    <row r="726" spans="1:46" ht="54" customHeight="1">
      <c r="A726" s="428">
        <f t="shared" si="90"/>
        <v>718</v>
      </c>
      <c r="B726" s="294"/>
      <c r="C726" s="201"/>
      <c r="D726" s="290"/>
      <c r="E726" s="301"/>
      <c r="F726" s="301"/>
      <c r="G726" s="290"/>
      <c r="H726" s="291"/>
      <c r="I726" s="292"/>
      <c r="J726" s="61"/>
      <c r="K726" s="57"/>
      <c r="L726" s="303"/>
      <c r="M726" s="201"/>
      <c r="N726" s="84" t="str">
        <f>IF($AI726&lt;&gt;"",Master!$N$37,IF($AC726&lt;&gt;"",Master!$N$38,IF($S726&lt;&gt;"",Master!$N$39,IF($C726&lt;&gt;"",Master!$N$40,Master!$N$41))))</f>
        <v>起票</v>
      </c>
      <c r="O726" s="202" t="str">
        <f>IF($N726=Master!$N$37,MAX($S726,$AC726,$AI726),"")</f>
        <v/>
      </c>
      <c r="P726" s="65"/>
      <c r="Q726" s="203"/>
      <c r="R726" s="57"/>
      <c r="S726" s="203"/>
      <c r="T726" s="310"/>
      <c r="U726" s="289"/>
      <c r="V726" s="57"/>
      <c r="W726" s="288"/>
      <c r="X726" s="288"/>
      <c r="Y726" s="296"/>
      <c r="Z726" s="57"/>
      <c r="AA726" s="203"/>
      <c r="AB726" s="288"/>
      <c r="AC726" s="201"/>
      <c r="AD726" s="298"/>
      <c r="AE726" s="297"/>
      <c r="AF726" s="58"/>
      <c r="AG726" s="204"/>
      <c r="AH726" s="57"/>
      <c r="AI726" s="201"/>
      <c r="AJ726" s="287"/>
      <c r="AK726" s="452"/>
      <c r="AL726" s="59"/>
      <c r="AM726" s="60"/>
      <c r="AO726" s="137" t="e">
        <f t="shared" si="77"/>
        <v>#N/A</v>
      </c>
      <c r="AP726" s="138" t="e">
        <f t="shared" si="78"/>
        <v>#N/A</v>
      </c>
      <c r="AQ726" s="138" t="e">
        <f t="shared" si="79"/>
        <v>#N/A</v>
      </c>
      <c r="AR726" s="138" t="e">
        <f t="shared" si="80"/>
        <v>#N/A</v>
      </c>
      <c r="AS726" s="138" t="e">
        <f t="shared" si="81"/>
        <v>#N/A</v>
      </c>
      <c r="AT726" s="139" t="e">
        <f t="shared" si="82"/>
        <v>#N/A</v>
      </c>
    </row>
    <row r="727" spans="1:46" ht="54" customHeight="1">
      <c r="A727" s="428">
        <f t="shared" si="90"/>
        <v>719</v>
      </c>
      <c r="B727" s="403"/>
      <c r="C727" s="404"/>
      <c r="D727" s="405"/>
      <c r="E727" s="405"/>
      <c r="F727" s="405"/>
      <c r="G727" s="405"/>
      <c r="H727" s="406"/>
      <c r="I727" s="407"/>
      <c r="J727" s="408"/>
      <c r="K727" s="409"/>
      <c r="L727" s="410"/>
      <c r="M727" s="404"/>
      <c r="N727" s="411" t="str">
        <f>IF($AI727&lt;&gt;"",Master!$N$37,IF($AC727&lt;&gt;"",Master!$N$38,IF($S727&lt;&gt;"",Master!$N$39,IF($C727&lt;&gt;"",Master!$N$40,Master!$N$41))))</f>
        <v>起票</v>
      </c>
      <c r="O727" s="412" t="str">
        <f>IF($N727=Master!$N$37,MAX($S727,$AC727,$AI727),"")</f>
        <v/>
      </c>
      <c r="P727" s="413"/>
      <c r="Q727" s="414"/>
      <c r="R727" s="409"/>
      <c r="S727" s="404"/>
      <c r="T727" s="418"/>
      <c r="U727" s="415"/>
      <c r="V727" s="409"/>
      <c r="W727" s="419"/>
      <c r="X727" s="419"/>
      <c r="Y727" s="416"/>
      <c r="Z727" s="417"/>
      <c r="AA727" s="418"/>
      <c r="AB727" s="419"/>
      <c r="AC727" s="404"/>
      <c r="AD727" s="404"/>
      <c r="AE727" s="420"/>
      <c r="AF727" s="421"/>
      <c r="AG727" s="418"/>
      <c r="AH727" s="409"/>
      <c r="AI727" s="404"/>
      <c r="AJ727" s="416"/>
      <c r="AK727" s="453"/>
      <c r="AL727" s="422"/>
      <c r="AM727" s="423"/>
      <c r="AO727" s="137" t="e">
        <f t="shared" si="77"/>
        <v>#N/A</v>
      </c>
      <c r="AP727" s="138" t="e">
        <f t="shared" si="78"/>
        <v>#N/A</v>
      </c>
      <c r="AQ727" s="138" t="e">
        <f t="shared" si="79"/>
        <v>#N/A</v>
      </c>
      <c r="AR727" s="138" t="e">
        <f t="shared" si="80"/>
        <v>#N/A</v>
      </c>
      <c r="AS727" s="138" t="e">
        <f t="shared" si="81"/>
        <v>#N/A</v>
      </c>
      <c r="AT727" s="139" t="e">
        <f t="shared" si="82"/>
        <v>#N/A</v>
      </c>
    </row>
    <row r="728" spans="1:46" ht="54" customHeight="1">
      <c r="A728" s="428">
        <f t="shared" si="90"/>
        <v>720</v>
      </c>
      <c r="B728" s="403"/>
      <c r="C728" s="404"/>
      <c r="D728" s="405"/>
      <c r="E728" s="405"/>
      <c r="F728" s="405"/>
      <c r="G728" s="405"/>
      <c r="H728" s="406"/>
      <c r="I728" s="407"/>
      <c r="J728" s="408"/>
      <c r="K728" s="409"/>
      <c r="L728" s="410"/>
      <c r="M728" s="404"/>
      <c r="N728" s="411" t="str">
        <f>IF($AI728&lt;&gt;"",Master!$N$37,IF($AC728&lt;&gt;"",Master!$N$38,IF($S728&lt;&gt;"",Master!$N$39,IF($C728&lt;&gt;"",Master!$N$40,Master!$N$41))))</f>
        <v>起票</v>
      </c>
      <c r="O728" s="412" t="str">
        <f>IF($N728=Master!$N$37,MAX($S728,$AC728,$AI728),"")</f>
        <v/>
      </c>
      <c r="P728" s="413"/>
      <c r="Q728" s="414"/>
      <c r="R728" s="409"/>
      <c r="S728" s="404"/>
      <c r="T728" s="418"/>
      <c r="U728" s="415"/>
      <c r="V728" s="409"/>
      <c r="W728" s="419"/>
      <c r="X728" s="419"/>
      <c r="Y728" s="416"/>
      <c r="Z728" s="417"/>
      <c r="AA728" s="418"/>
      <c r="AB728" s="419"/>
      <c r="AC728" s="404"/>
      <c r="AD728" s="404"/>
      <c r="AE728" s="420"/>
      <c r="AF728" s="421"/>
      <c r="AG728" s="418"/>
      <c r="AH728" s="409"/>
      <c r="AI728" s="404"/>
      <c r="AJ728" s="416"/>
      <c r="AK728" s="453"/>
      <c r="AL728" s="422"/>
      <c r="AM728" s="423"/>
      <c r="AO728" s="137" t="e">
        <f t="shared" si="77"/>
        <v>#N/A</v>
      </c>
      <c r="AP728" s="138" t="e">
        <f t="shared" si="78"/>
        <v>#N/A</v>
      </c>
      <c r="AQ728" s="138" t="e">
        <f t="shared" si="79"/>
        <v>#N/A</v>
      </c>
      <c r="AR728" s="138" t="e">
        <f t="shared" si="80"/>
        <v>#N/A</v>
      </c>
      <c r="AS728" s="138" t="e">
        <f t="shared" si="81"/>
        <v>#N/A</v>
      </c>
      <c r="AT728" s="139" t="e">
        <f t="shared" si="82"/>
        <v>#N/A</v>
      </c>
    </row>
    <row r="729" spans="1:46" ht="54" customHeight="1">
      <c r="A729" s="428">
        <f t="shared" si="90"/>
        <v>721</v>
      </c>
      <c r="B729" s="403"/>
      <c r="C729" s="404"/>
      <c r="D729" s="405"/>
      <c r="E729" s="405"/>
      <c r="F729" s="405"/>
      <c r="G729" s="405"/>
      <c r="H729" s="406"/>
      <c r="I729" s="407"/>
      <c r="J729" s="408"/>
      <c r="K729" s="409"/>
      <c r="L729" s="410"/>
      <c r="M729" s="404"/>
      <c r="N729" s="411" t="str">
        <f>IF($AI729&lt;&gt;"",Master!$N$37,IF($AC729&lt;&gt;"",Master!$N$38,IF($S729&lt;&gt;"",Master!$N$39,IF($C729&lt;&gt;"",Master!$N$40,Master!$N$41))))</f>
        <v>起票</v>
      </c>
      <c r="O729" s="412" t="str">
        <f>IF($N729=Master!$N$37,MAX($S729,$AC729,$AI729),"")</f>
        <v/>
      </c>
      <c r="P729" s="413"/>
      <c r="Q729" s="414"/>
      <c r="R729" s="409"/>
      <c r="S729" s="404"/>
      <c r="T729" s="418"/>
      <c r="U729" s="415"/>
      <c r="V729" s="409"/>
      <c r="W729" s="419"/>
      <c r="X729" s="419"/>
      <c r="Y729" s="416"/>
      <c r="Z729" s="417"/>
      <c r="AA729" s="418"/>
      <c r="AB729" s="419"/>
      <c r="AC729" s="404"/>
      <c r="AD729" s="404"/>
      <c r="AE729" s="420"/>
      <c r="AF729" s="421"/>
      <c r="AG729" s="418"/>
      <c r="AH729" s="409"/>
      <c r="AI729" s="404"/>
      <c r="AJ729" s="416"/>
      <c r="AK729" s="453"/>
      <c r="AL729" s="422"/>
      <c r="AM729" s="423"/>
      <c r="AO729" s="137" t="e">
        <f t="shared" si="77"/>
        <v>#N/A</v>
      </c>
      <c r="AP729" s="138" t="e">
        <f t="shared" si="78"/>
        <v>#N/A</v>
      </c>
      <c r="AQ729" s="138" t="e">
        <f t="shared" si="79"/>
        <v>#N/A</v>
      </c>
      <c r="AR729" s="138" t="e">
        <f t="shared" si="80"/>
        <v>#N/A</v>
      </c>
      <c r="AS729" s="138" t="e">
        <f t="shared" si="81"/>
        <v>#N/A</v>
      </c>
      <c r="AT729" s="139" t="e">
        <f t="shared" si="82"/>
        <v>#N/A</v>
      </c>
    </row>
    <row r="730" spans="1:46" ht="54" customHeight="1">
      <c r="A730" s="428">
        <f t="shared" si="90"/>
        <v>722</v>
      </c>
      <c r="B730" s="294"/>
      <c r="C730" s="201"/>
      <c r="D730" s="290"/>
      <c r="E730" s="301"/>
      <c r="F730" s="301"/>
      <c r="G730" s="290"/>
      <c r="H730" s="291"/>
      <c r="I730" s="292"/>
      <c r="J730" s="61"/>
      <c r="K730" s="57"/>
      <c r="L730" s="303"/>
      <c r="M730" s="201"/>
      <c r="N730" s="84" t="str">
        <f>IF($AI730&lt;&gt;"",Master!$N$37,IF($AC730&lt;&gt;"",Master!$N$38,IF($S730&lt;&gt;"",Master!$N$39,IF($C730&lt;&gt;"",Master!$N$40,Master!$N$41))))</f>
        <v>起票</v>
      </c>
      <c r="O730" s="202" t="str">
        <f>IF($N730=Master!$N$37,MAX($S730,$AC730,$AI730),"")</f>
        <v/>
      </c>
      <c r="P730" s="65"/>
      <c r="Q730" s="203"/>
      <c r="R730" s="57"/>
      <c r="S730" s="203"/>
      <c r="T730" s="310"/>
      <c r="U730" s="289"/>
      <c r="V730" s="57"/>
      <c r="W730" s="288"/>
      <c r="X730" s="288"/>
      <c r="Y730" s="296"/>
      <c r="Z730" s="57"/>
      <c r="AA730" s="203"/>
      <c r="AB730" s="288"/>
      <c r="AC730" s="201"/>
      <c r="AD730" s="298"/>
      <c r="AE730" s="297"/>
      <c r="AF730" s="58"/>
      <c r="AG730" s="204"/>
      <c r="AH730" s="57"/>
      <c r="AI730" s="201"/>
      <c r="AJ730" s="287"/>
      <c r="AK730" s="452"/>
      <c r="AL730" s="59"/>
      <c r="AM730" s="60"/>
      <c r="AO730" s="137" t="e">
        <f t="shared" si="77"/>
        <v>#N/A</v>
      </c>
      <c r="AP730" s="138" t="e">
        <f t="shared" si="78"/>
        <v>#N/A</v>
      </c>
      <c r="AQ730" s="138" t="e">
        <f t="shared" si="79"/>
        <v>#N/A</v>
      </c>
      <c r="AR730" s="138" t="e">
        <f t="shared" si="80"/>
        <v>#N/A</v>
      </c>
      <c r="AS730" s="138" t="e">
        <f t="shared" si="81"/>
        <v>#N/A</v>
      </c>
      <c r="AT730" s="139" t="e">
        <f t="shared" si="82"/>
        <v>#N/A</v>
      </c>
    </row>
    <row r="731" spans="1:46" ht="54" customHeight="1">
      <c r="A731" s="428">
        <f t="shared" si="90"/>
        <v>723</v>
      </c>
      <c r="B731" s="294"/>
      <c r="C731" s="201"/>
      <c r="D731" s="290"/>
      <c r="E731" s="301"/>
      <c r="F731" s="301"/>
      <c r="G731" s="290"/>
      <c r="H731" s="291"/>
      <c r="I731" s="292"/>
      <c r="J731" s="61"/>
      <c r="K731" s="57"/>
      <c r="L731" s="303"/>
      <c r="M731" s="201"/>
      <c r="N731" s="84" t="str">
        <f>IF($AI731&lt;&gt;"",Master!$N$37,IF($AC731&lt;&gt;"",Master!$N$38,IF($S731&lt;&gt;"",Master!$N$39,IF($C731&lt;&gt;"",Master!$N$40,Master!$N$41))))</f>
        <v>起票</v>
      </c>
      <c r="O731" s="202" t="str">
        <f>IF($N731=Master!$N$37,MAX($S731,$AC731,$AI731),"")</f>
        <v/>
      </c>
      <c r="P731" s="65"/>
      <c r="Q731" s="203"/>
      <c r="R731" s="57"/>
      <c r="S731" s="203"/>
      <c r="T731" s="310"/>
      <c r="U731" s="289"/>
      <c r="V731" s="57"/>
      <c r="W731" s="288"/>
      <c r="X731" s="288"/>
      <c r="Y731" s="296"/>
      <c r="Z731" s="57"/>
      <c r="AA731" s="203"/>
      <c r="AB731" s="288"/>
      <c r="AC731" s="201"/>
      <c r="AD731" s="298"/>
      <c r="AE731" s="297"/>
      <c r="AF731" s="58"/>
      <c r="AG731" s="204"/>
      <c r="AH731" s="57"/>
      <c r="AI731" s="201"/>
      <c r="AJ731" s="287"/>
      <c r="AK731" s="452"/>
      <c r="AL731" s="59"/>
      <c r="AM731" s="60"/>
      <c r="AO731" s="137" t="e">
        <f t="shared" si="77"/>
        <v>#N/A</v>
      </c>
      <c r="AP731" s="138" t="e">
        <f t="shared" si="78"/>
        <v>#N/A</v>
      </c>
      <c r="AQ731" s="138" t="e">
        <f t="shared" si="79"/>
        <v>#N/A</v>
      </c>
      <c r="AR731" s="138" t="e">
        <f t="shared" si="80"/>
        <v>#N/A</v>
      </c>
      <c r="AS731" s="138" t="e">
        <f t="shared" si="81"/>
        <v>#N/A</v>
      </c>
      <c r="AT731" s="139" t="e">
        <f t="shared" si="82"/>
        <v>#N/A</v>
      </c>
    </row>
    <row r="732" spans="1:46" ht="54" customHeight="1">
      <c r="A732" s="428">
        <f t="shared" si="90"/>
        <v>724</v>
      </c>
      <c r="B732" s="403"/>
      <c r="C732" s="404"/>
      <c r="D732" s="405"/>
      <c r="E732" s="405"/>
      <c r="F732" s="405"/>
      <c r="G732" s="405"/>
      <c r="H732" s="406"/>
      <c r="I732" s="407"/>
      <c r="J732" s="408"/>
      <c r="K732" s="409"/>
      <c r="L732" s="410"/>
      <c r="M732" s="404"/>
      <c r="N732" s="411" t="str">
        <f>IF($AI732&lt;&gt;"",Master!$N$37,IF($AC732&lt;&gt;"",Master!$N$38,IF($S732&lt;&gt;"",Master!$N$39,IF($C732&lt;&gt;"",Master!$N$40,Master!$N$41))))</f>
        <v>起票</v>
      </c>
      <c r="O732" s="412" t="str">
        <f>IF($N732=Master!$N$37,MAX($S732,$AC732,$AI732),"")</f>
        <v/>
      </c>
      <c r="P732" s="413"/>
      <c r="Q732" s="414"/>
      <c r="R732" s="409"/>
      <c r="S732" s="404"/>
      <c r="T732" s="418"/>
      <c r="U732" s="415"/>
      <c r="V732" s="409"/>
      <c r="W732" s="419"/>
      <c r="X732" s="419"/>
      <c r="Y732" s="416"/>
      <c r="Z732" s="417"/>
      <c r="AA732" s="418"/>
      <c r="AB732" s="419"/>
      <c r="AC732" s="404"/>
      <c r="AD732" s="404"/>
      <c r="AE732" s="420"/>
      <c r="AF732" s="421"/>
      <c r="AG732" s="418"/>
      <c r="AH732" s="409"/>
      <c r="AI732" s="404"/>
      <c r="AJ732" s="416"/>
      <c r="AK732" s="453"/>
      <c r="AL732" s="422"/>
      <c r="AM732" s="423"/>
      <c r="AO732" s="137" t="e">
        <f t="shared" si="77"/>
        <v>#N/A</v>
      </c>
      <c r="AP732" s="138" t="e">
        <f t="shared" si="78"/>
        <v>#N/A</v>
      </c>
      <c r="AQ732" s="138" t="e">
        <f t="shared" si="79"/>
        <v>#N/A</v>
      </c>
      <c r="AR732" s="138" t="e">
        <f t="shared" si="80"/>
        <v>#N/A</v>
      </c>
      <c r="AS732" s="138" t="e">
        <f t="shared" si="81"/>
        <v>#N/A</v>
      </c>
      <c r="AT732" s="139" t="e">
        <f t="shared" si="82"/>
        <v>#N/A</v>
      </c>
    </row>
    <row r="733" spans="1:46" ht="54" customHeight="1">
      <c r="A733" s="428">
        <f t="shared" si="90"/>
        <v>725</v>
      </c>
      <c r="B733" s="403"/>
      <c r="C733" s="404"/>
      <c r="D733" s="405"/>
      <c r="E733" s="405"/>
      <c r="F733" s="405"/>
      <c r="G733" s="405"/>
      <c r="H733" s="406"/>
      <c r="I733" s="407"/>
      <c r="J733" s="408"/>
      <c r="K733" s="409"/>
      <c r="L733" s="410"/>
      <c r="M733" s="404"/>
      <c r="N733" s="411" t="str">
        <f>IF($AI733&lt;&gt;"",Master!$N$37,IF($AC733&lt;&gt;"",Master!$N$38,IF($S733&lt;&gt;"",Master!$N$39,IF($C733&lt;&gt;"",Master!$N$40,Master!$N$41))))</f>
        <v>起票</v>
      </c>
      <c r="O733" s="412" t="str">
        <f>IF($N733=Master!$N$37,MAX($S733,$AC733,$AI733),"")</f>
        <v/>
      </c>
      <c r="P733" s="413"/>
      <c r="Q733" s="414"/>
      <c r="R733" s="409"/>
      <c r="S733" s="404"/>
      <c r="T733" s="418"/>
      <c r="U733" s="415"/>
      <c r="V733" s="409"/>
      <c r="W733" s="419"/>
      <c r="X733" s="419"/>
      <c r="Y733" s="416"/>
      <c r="Z733" s="417"/>
      <c r="AA733" s="418"/>
      <c r="AB733" s="419"/>
      <c r="AC733" s="404"/>
      <c r="AD733" s="404"/>
      <c r="AE733" s="420"/>
      <c r="AF733" s="421"/>
      <c r="AG733" s="418"/>
      <c r="AH733" s="409"/>
      <c r="AI733" s="404"/>
      <c r="AJ733" s="416"/>
      <c r="AK733" s="453"/>
      <c r="AL733" s="422"/>
      <c r="AM733" s="423"/>
      <c r="AO733" s="137" t="e">
        <f t="shared" si="77"/>
        <v>#N/A</v>
      </c>
      <c r="AP733" s="138" t="e">
        <f t="shared" si="78"/>
        <v>#N/A</v>
      </c>
      <c r="AQ733" s="138" t="e">
        <f t="shared" si="79"/>
        <v>#N/A</v>
      </c>
      <c r="AR733" s="138" t="e">
        <f t="shared" si="80"/>
        <v>#N/A</v>
      </c>
      <c r="AS733" s="138" t="e">
        <f t="shared" si="81"/>
        <v>#N/A</v>
      </c>
      <c r="AT733" s="139" t="e">
        <f t="shared" si="82"/>
        <v>#N/A</v>
      </c>
    </row>
    <row r="734" spans="1:46" ht="54" customHeight="1">
      <c r="A734" s="428">
        <f t="shared" si="90"/>
        <v>726</v>
      </c>
      <c r="B734" s="403"/>
      <c r="C734" s="404"/>
      <c r="D734" s="405"/>
      <c r="E734" s="405"/>
      <c r="F734" s="405"/>
      <c r="G734" s="405"/>
      <c r="H734" s="406"/>
      <c r="I734" s="407"/>
      <c r="J734" s="408"/>
      <c r="K734" s="409"/>
      <c r="L734" s="410"/>
      <c r="M734" s="404"/>
      <c r="N734" s="411" t="str">
        <f>IF($AI734&lt;&gt;"",Master!$N$37,IF($AC734&lt;&gt;"",Master!$N$38,IF($S734&lt;&gt;"",Master!$N$39,IF($C734&lt;&gt;"",Master!$N$40,Master!$N$41))))</f>
        <v>起票</v>
      </c>
      <c r="O734" s="412" t="str">
        <f>IF($N734=Master!$N$37,MAX($S734,$AC734,$AI734),"")</f>
        <v/>
      </c>
      <c r="P734" s="413"/>
      <c r="Q734" s="414"/>
      <c r="R734" s="409"/>
      <c r="S734" s="404"/>
      <c r="T734" s="418"/>
      <c r="U734" s="415"/>
      <c r="V734" s="409"/>
      <c r="W734" s="419"/>
      <c r="X734" s="419"/>
      <c r="Y734" s="416"/>
      <c r="Z734" s="417"/>
      <c r="AA734" s="418"/>
      <c r="AB734" s="419"/>
      <c r="AC734" s="404"/>
      <c r="AD734" s="404"/>
      <c r="AE734" s="420"/>
      <c r="AF734" s="421"/>
      <c r="AG734" s="418"/>
      <c r="AH734" s="409"/>
      <c r="AI734" s="404"/>
      <c r="AJ734" s="416"/>
      <c r="AK734" s="453"/>
      <c r="AL734" s="422"/>
      <c r="AM734" s="423"/>
      <c r="AO734" s="137" t="e">
        <f t="shared" si="77"/>
        <v>#N/A</v>
      </c>
      <c r="AP734" s="138" t="e">
        <f t="shared" si="78"/>
        <v>#N/A</v>
      </c>
      <c r="AQ734" s="138" t="e">
        <f t="shared" si="79"/>
        <v>#N/A</v>
      </c>
      <c r="AR734" s="138" t="e">
        <f t="shared" si="80"/>
        <v>#N/A</v>
      </c>
      <c r="AS734" s="138" t="e">
        <f t="shared" si="81"/>
        <v>#N/A</v>
      </c>
      <c r="AT734" s="139" t="e">
        <f t="shared" si="82"/>
        <v>#N/A</v>
      </c>
    </row>
    <row r="735" spans="1:46" ht="54" customHeight="1">
      <c r="A735" s="428">
        <f t="shared" si="90"/>
        <v>727</v>
      </c>
      <c r="B735" s="294"/>
      <c r="C735" s="201"/>
      <c r="D735" s="290"/>
      <c r="E735" s="301"/>
      <c r="F735" s="301"/>
      <c r="G735" s="290"/>
      <c r="H735" s="291"/>
      <c r="I735" s="292"/>
      <c r="J735" s="61"/>
      <c r="K735" s="57"/>
      <c r="L735" s="303"/>
      <c r="M735" s="201"/>
      <c r="N735" s="84" t="str">
        <f>IF($AI735&lt;&gt;"",Master!$N$37,IF($AC735&lt;&gt;"",Master!$N$38,IF($S735&lt;&gt;"",Master!$N$39,IF($C735&lt;&gt;"",Master!$N$40,Master!$N$41))))</f>
        <v>起票</v>
      </c>
      <c r="O735" s="202" t="str">
        <f>IF($N735=Master!$N$37,MAX($S735,$AC735,$AI735),"")</f>
        <v/>
      </c>
      <c r="P735" s="65"/>
      <c r="Q735" s="203"/>
      <c r="R735" s="57"/>
      <c r="S735" s="203"/>
      <c r="T735" s="310"/>
      <c r="U735" s="289"/>
      <c r="V735" s="57"/>
      <c r="W735" s="288"/>
      <c r="X735" s="288"/>
      <c r="Y735" s="296"/>
      <c r="Z735" s="57"/>
      <c r="AA735" s="203"/>
      <c r="AB735" s="288"/>
      <c r="AC735" s="201"/>
      <c r="AD735" s="298"/>
      <c r="AE735" s="297"/>
      <c r="AF735" s="58"/>
      <c r="AG735" s="204"/>
      <c r="AH735" s="57"/>
      <c r="AI735" s="201"/>
      <c r="AJ735" s="287"/>
      <c r="AK735" s="452"/>
      <c r="AL735" s="59"/>
      <c r="AM735" s="60"/>
      <c r="AO735" s="137" t="e">
        <f t="shared" si="77"/>
        <v>#N/A</v>
      </c>
      <c r="AP735" s="138" t="e">
        <f t="shared" si="78"/>
        <v>#N/A</v>
      </c>
      <c r="AQ735" s="138" t="e">
        <f t="shared" si="79"/>
        <v>#N/A</v>
      </c>
      <c r="AR735" s="138" t="e">
        <f t="shared" si="80"/>
        <v>#N/A</v>
      </c>
      <c r="AS735" s="138" t="e">
        <f t="shared" si="81"/>
        <v>#N/A</v>
      </c>
      <c r="AT735" s="139" t="e">
        <f t="shared" si="82"/>
        <v>#N/A</v>
      </c>
    </row>
    <row r="736" spans="1:46" ht="54" customHeight="1">
      <c r="A736" s="428">
        <f t="shared" si="90"/>
        <v>728</v>
      </c>
      <c r="B736" s="294"/>
      <c r="C736" s="201"/>
      <c r="D736" s="290"/>
      <c r="E736" s="301"/>
      <c r="F736" s="301"/>
      <c r="G736" s="290"/>
      <c r="H736" s="291"/>
      <c r="I736" s="292"/>
      <c r="J736" s="61"/>
      <c r="K736" s="57"/>
      <c r="L736" s="303"/>
      <c r="M736" s="201"/>
      <c r="N736" s="84" t="str">
        <f>IF($AI736&lt;&gt;"",Master!$N$37,IF($AC736&lt;&gt;"",Master!$N$38,IF($S736&lt;&gt;"",Master!$N$39,IF($C736&lt;&gt;"",Master!$N$40,Master!$N$41))))</f>
        <v>起票</v>
      </c>
      <c r="O736" s="202" t="str">
        <f>IF($N736=Master!$N$37,MAX($S736,$AC736,$AI736),"")</f>
        <v/>
      </c>
      <c r="P736" s="65"/>
      <c r="Q736" s="203"/>
      <c r="R736" s="57"/>
      <c r="S736" s="203"/>
      <c r="T736" s="310"/>
      <c r="U736" s="289"/>
      <c r="V736" s="57"/>
      <c r="W736" s="288"/>
      <c r="X736" s="288"/>
      <c r="Y736" s="296"/>
      <c r="Z736" s="57"/>
      <c r="AA736" s="203"/>
      <c r="AB736" s="288"/>
      <c r="AC736" s="201"/>
      <c r="AD736" s="298"/>
      <c r="AE736" s="297"/>
      <c r="AF736" s="58"/>
      <c r="AG736" s="204"/>
      <c r="AH736" s="57"/>
      <c r="AI736" s="201"/>
      <c r="AJ736" s="287"/>
      <c r="AK736" s="452"/>
      <c r="AL736" s="59"/>
      <c r="AM736" s="60"/>
      <c r="AO736" s="137" t="e">
        <f t="shared" si="77"/>
        <v>#N/A</v>
      </c>
      <c r="AP736" s="138" t="e">
        <f t="shared" si="78"/>
        <v>#N/A</v>
      </c>
      <c r="AQ736" s="138" t="e">
        <f t="shared" si="79"/>
        <v>#N/A</v>
      </c>
      <c r="AR736" s="138" t="e">
        <f t="shared" si="80"/>
        <v>#N/A</v>
      </c>
      <c r="AS736" s="138" t="e">
        <f t="shared" si="81"/>
        <v>#N/A</v>
      </c>
      <c r="AT736" s="139" t="e">
        <f t="shared" si="82"/>
        <v>#N/A</v>
      </c>
    </row>
    <row r="737" spans="1:46" ht="54" customHeight="1">
      <c r="A737" s="428">
        <f t="shared" si="90"/>
        <v>729</v>
      </c>
      <c r="B737" s="403"/>
      <c r="C737" s="404"/>
      <c r="D737" s="405"/>
      <c r="E737" s="405"/>
      <c r="F737" s="405"/>
      <c r="G737" s="405"/>
      <c r="H737" s="406"/>
      <c r="I737" s="407"/>
      <c r="J737" s="408"/>
      <c r="K737" s="409"/>
      <c r="L737" s="410"/>
      <c r="M737" s="404"/>
      <c r="N737" s="411" t="str">
        <f>IF($AI737&lt;&gt;"",Master!$N$37,IF($AC737&lt;&gt;"",Master!$N$38,IF($S737&lt;&gt;"",Master!$N$39,IF($C737&lt;&gt;"",Master!$N$40,Master!$N$41))))</f>
        <v>起票</v>
      </c>
      <c r="O737" s="412" t="str">
        <f>IF($N737=Master!$N$37,MAX($S737,$AC737,$AI737),"")</f>
        <v/>
      </c>
      <c r="P737" s="413"/>
      <c r="Q737" s="414"/>
      <c r="R737" s="409"/>
      <c r="S737" s="404"/>
      <c r="T737" s="418"/>
      <c r="U737" s="415"/>
      <c r="V737" s="409"/>
      <c r="W737" s="419"/>
      <c r="X737" s="419"/>
      <c r="Y737" s="416"/>
      <c r="Z737" s="417"/>
      <c r="AA737" s="418"/>
      <c r="AB737" s="419"/>
      <c r="AC737" s="404"/>
      <c r="AD737" s="404"/>
      <c r="AE737" s="420"/>
      <c r="AF737" s="421"/>
      <c r="AG737" s="418"/>
      <c r="AH737" s="409"/>
      <c r="AI737" s="404"/>
      <c r="AJ737" s="416"/>
      <c r="AK737" s="453"/>
      <c r="AL737" s="422"/>
      <c r="AM737" s="423"/>
      <c r="AO737" s="137" t="e">
        <f t="shared" si="77"/>
        <v>#N/A</v>
      </c>
      <c r="AP737" s="138" t="e">
        <f t="shared" si="78"/>
        <v>#N/A</v>
      </c>
      <c r="AQ737" s="138" t="e">
        <f t="shared" si="79"/>
        <v>#N/A</v>
      </c>
      <c r="AR737" s="138" t="e">
        <f t="shared" si="80"/>
        <v>#N/A</v>
      </c>
      <c r="AS737" s="138" t="e">
        <f t="shared" si="81"/>
        <v>#N/A</v>
      </c>
      <c r="AT737" s="139" t="e">
        <f t="shared" si="82"/>
        <v>#N/A</v>
      </c>
    </row>
    <row r="738" spans="1:46" ht="54" customHeight="1">
      <c r="A738" s="428">
        <f t="shared" si="90"/>
        <v>730</v>
      </c>
      <c r="B738" s="403"/>
      <c r="C738" s="404"/>
      <c r="D738" s="405"/>
      <c r="E738" s="405"/>
      <c r="F738" s="405"/>
      <c r="G738" s="405"/>
      <c r="H738" s="406"/>
      <c r="I738" s="407"/>
      <c r="J738" s="408"/>
      <c r="K738" s="409"/>
      <c r="L738" s="410"/>
      <c r="M738" s="404"/>
      <c r="N738" s="411" t="str">
        <f>IF($AI738&lt;&gt;"",Master!$N$37,IF($AC738&lt;&gt;"",Master!$N$38,IF($S738&lt;&gt;"",Master!$N$39,IF($C738&lt;&gt;"",Master!$N$40,Master!$N$41))))</f>
        <v>起票</v>
      </c>
      <c r="O738" s="412" t="str">
        <f>IF($N738=Master!$N$37,MAX($S738,$AC738,$AI738),"")</f>
        <v/>
      </c>
      <c r="P738" s="413"/>
      <c r="Q738" s="414"/>
      <c r="R738" s="409"/>
      <c r="S738" s="404"/>
      <c r="T738" s="418"/>
      <c r="U738" s="415"/>
      <c r="V738" s="409"/>
      <c r="W738" s="419"/>
      <c r="X738" s="419"/>
      <c r="Y738" s="416"/>
      <c r="Z738" s="417"/>
      <c r="AA738" s="418"/>
      <c r="AB738" s="419"/>
      <c r="AC738" s="404"/>
      <c r="AD738" s="404"/>
      <c r="AE738" s="420"/>
      <c r="AF738" s="421"/>
      <c r="AG738" s="418"/>
      <c r="AH738" s="409"/>
      <c r="AI738" s="404"/>
      <c r="AJ738" s="416"/>
      <c r="AK738" s="453"/>
      <c r="AL738" s="422"/>
      <c r="AM738" s="423"/>
      <c r="AO738" s="137" t="e">
        <f t="shared" si="77"/>
        <v>#N/A</v>
      </c>
      <c r="AP738" s="138" t="e">
        <f t="shared" si="78"/>
        <v>#N/A</v>
      </c>
      <c r="AQ738" s="138" t="e">
        <f t="shared" si="79"/>
        <v>#N/A</v>
      </c>
      <c r="AR738" s="138" t="e">
        <f t="shared" si="80"/>
        <v>#N/A</v>
      </c>
      <c r="AS738" s="138" t="e">
        <f t="shared" si="81"/>
        <v>#N/A</v>
      </c>
      <c r="AT738" s="139" t="e">
        <f t="shared" si="82"/>
        <v>#N/A</v>
      </c>
    </row>
    <row r="739" spans="1:46" ht="54" customHeight="1">
      <c r="A739" s="428">
        <f t="shared" si="90"/>
        <v>731</v>
      </c>
      <c r="B739" s="403"/>
      <c r="C739" s="404"/>
      <c r="D739" s="405"/>
      <c r="E739" s="405"/>
      <c r="F739" s="405"/>
      <c r="G739" s="405"/>
      <c r="H739" s="406"/>
      <c r="I739" s="407"/>
      <c r="J739" s="408"/>
      <c r="K739" s="409"/>
      <c r="L739" s="410"/>
      <c r="M739" s="404"/>
      <c r="N739" s="411" t="str">
        <f>IF($AI739&lt;&gt;"",Master!$N$37,IF($AC739&lt;&gt;"",Master!$N$38,IF($S739&lt;&gt;"",Master!$N$39,IF($C739&lt;&gt;"",Master!$N$40,Master!$N$41))))</f>
        <v>起票</v>
      </c>
      <c r="O739" s="412" t="str">
        <f>IF($N739=Master!$N$37,MAX($S739,$AC739,$AI739),"")</f>
        <v/>
      </c>
      <c r="P739" s="413"/>
      <c r="Q739" s="414"/>
      <c r="R739" s="409"/>
      <c r="S739" s="404"/>
      <c r="T739" s="418"/>
      <c r="U739" s="415"/>
      <c r="V739" s="409"/>
      <c r="W739" s="419"/>
      <c r="X739" s="419"/>
      <c r="Y739" s="416"/>
      <c r="Z739" s="417"/>
      <c r="AA739" s="418"/>
      <c r="AB739" s="419"/>
      <c r="AC739" s="404"/>
      <c r="AD739" s="404"/>
      <c r="AE739" s="420"/>
      <c r="AF739" s="421"/>
      <c r="AG739" s="418"/>
      <c r="AH739" s="409"/>
      <c r="AI739" s="404"/>
      <c r="AJ739" s="416"/>
      <c r="AK739" s="453"/>
      <c r="AL739" s="422"/>
      <c r="AM739" s="423"/>
      <c r="AO739" s="137" t="e">
        <f t="shared" si="77"/>
        <v>#N/A</v>
      </c>
      <c r="AP739" s="138" t="e">
        <f t="shared" si="78"/>
        <v>#N/A</v>
      </c>
      <c r="AQ739" s="138" t="e">
        <f t="shared" si="79"/>
        <v>#N/A</v>
      </c>
      <c r="AR739" s="138" t="e">
        <f t="shared" si="80"/>
        <v>#N/A</v>
      </c>
      <c r="AS739" s="138" t="e">
        <f t="shared" si="81"/>
        <v>#N/A</v>
      </c>
      <c r="AT739" s="139" t="e">
        <f t="shared" si="82"/>
        <v>#N/A</v>
      </c>
    </row>
    <row r="740" spans="1:46" ht="54" customHeight="1">
      <c r="A740" s="428">
        <f t="shared" si="90"/>
        <v>732</v>
      </c>
      <c r="B740" s="294"/>
      <c r="C740" s="201"/>
      <c r="D740" s="290"/>
      <c r="E740" s="301"/>
      <c r="F740" s="301"/>
      <c r="G740" s="290"/>
      <c r="H740" s="291"/>
      <c r="I740" s="292"/>
      <c r="J740" s="61"/>
      <c r="K740" s="57"/>
      <c r="L740" s="303"/>
      <c r="M740" s="201"/>
      <c r="N740" s="84" t="str">
        <f>IF($AI740&lt;&gt;"",Master!$N$37,IF($AC740&lt;&gt;"",Master!$N$38,IF($S740&lt;&gt;"",Master!$N$39,IF($C740&lt;&gt;"",Master!$N$40,Master!$N$41))))</f>
        <v>起票</v>
      </c>
      <c r="O740" s="202" t="str">
        <f>IF($N740=Master!$N$37,MAX($S740,$AC740,$AI740),"")</f>
        <v/>
      </c>
      <c r="P740" s="65"/>
      <c r="Q740" s="203"/>
      <c r="R740" s="57"/>
      <c r="S740" s="203"/>
      <c r="T740" s="310"/>
      <c r="U740" s="289"/>
      <c r="V740" s="57"/>
      <c r="W740" s="288"/>
      <c r="X740" s="288"/>
      <c r="Y740" s="296"/>
      <c r="Z740" s="57"/>
      <c r="AA740" s="203"/>
      <c r="AB740" s="288"/>
      <c r="AC740" s="201"/>
      <c r="AD740" s="298"/>
      <c r="AE740" s="297"/>
      <c r="AF740" s="58"/>
      <c r="AG740" s="204"/>
      <c r="AH740" s="57"/>
      <c r="AI740" s="201"/>
      <c r="AJ740" s="287"/>
      <c r="AK740" s="452"/>
      <c r="AL740" s="59"/>
      <c r="AM740" s="60"/>
      <c r="AO740" s="137" t="e">
        <f t="shared" si="77"/>
        <v>#N/A</v>
      </c>
      <c r="AP740" s="138" t="e">
        <f t="shared" si="78"/>
        <v>#N/A</v>
      </c>
      <c r="AQ740" s="138" t="e">
        <f t="shared" si="79"/>
        <v>#N/A</v>
      </c>
      <c r="AR740" s="138" t="e">
        <f t="shared" si="80"/>
        <v>#N/A</v>
      </c>
      <c r="AS740" s="138" t="e">
        <f t="shared" si="81"/>
        <v>#N/A</v>
      </c>
      <c r="AT740" s="139" t="e">
        <f t="shared" si="82"/>
        <v>#N/A</v>
      </c>
    </row>
    <row r="741" spans="1:46" ht="54" customHeight="1">
      <c r="A741" s="428">
        <f t="shared" si="90"/>
        <v>733</v>
      </c>
      <c r="B741" s="294"/>
      <c r="C741" s="201"/>
      <c r="D741" s="290"/>
      <c r="E741" s="301"/>
      <c r="F741" s="301"/>
      <c r="G741" s="290"/>
      <c r="H741" s="291"/>
      <c r="I741" s="292"/>
      <c r="J741" s="61"/>
      <c r="K741" s="57"/>
      <c r="L741" s="303"/>
      <c r="M741" s="201"/>
      <c r="N741" s="84" t="str">
        <f>IF($AI741&lt;&gt;"",Master!$N$37,IF($AC741&lt;&gt;"",Master!$N$38,IF($S741&lt;&gt;"",Master!$N$39,IF($C741&lt;&gt;"",Master!$N$40,Master!$N$41))))</f>
        <v>起票</v>
      </c>
      <c r="O741" s="202" t="str">
        <f>IF($N741=Master!$N$37,MAX($S741,$AC741,$AI741),"")</f>
        <v/>
      </c>
      <c r="P741" s="65"/>
      <c r="Q741" s="203"/>
      <c r="R741" s="57"/>
      <c r="S741" s="203"/>
      <c r="T741" s="310"/>
      <c r="U741" s="289"/>
      <c r="V741" s="57"/>
      <c r="W741" s="288"/>
      <c r="X741" s="288"/>
      <c r="Y741" s="296"/>
      <c r="Z741" s="57"/>
      <c r="AA741" s="203"/>
      <c r="AB741" s="288"/>
      <c r="AC741" s="201"/>
      <c r="AD741" s="298"/>
      <c r="AE741" s="297"/>
      <c r="AF741" s="58"/>
      <c r="AG741" s="204"/>
      <c r="AH741" s="57"/>
      <c r="AI741" s="201"/>
      <c r="AJ741" s="287"/>
      <c r="AK741" s="452"/>
      <c r="AL741" s="59"/>
      <c r="AM741" s="60"/>
      <c r="AO741" s="137" t="e">
        <f t="shared" si="77"/>
        <v>#N/A</v>
      </c>
      <c r="AP741" s="138" t="e">
        <f t="shared" si="78"/>
        <v>#N/A</v>
      </c>
      <c r="AQ741" s="138" t="e">
        <f t="shared" si="79"/>
        <v>#N/A</v>
      </c>
      <c r="AR741" s="138" t="e">
        <f t="shared" si="80"/>
        <v>#N/A</v>
      </c>
      <c r="AS741" s="138" t="e">
        <f t="shared" si="81"/>
        <v>#N/A</v>
      </c>
      <c r="AT741" s="139" t="e">
        <f t="shared" si="82"/>
        <v>#N/A</v>
      </c>
    </row>
    <row r="742" spans="1:46" ht="54" customHeight="1">
      <c r="A742" s="428">
        <f t="shared" si="90"/>
        <v>734</v>
      </c>
      <c r="B742" s="403"/>
      <c r="C742" s="404"/>
      <c r="D742" s="405"/>
      <c r="E742" s="405"/>
      <c r="F742" s="405"/>
      <c r="G742" s="405"/>
      <c r="H742" s="406"/>
      <c r="I742" s="407"/>
      <c r="J742" s="408"/>
      <c r="K742" s="409"/>
      <c r="L742" s="410"/>
      <c r="M742" s="404"/>
      <c r="N742" s="411" t="str">
        <f>IF($AI742&lt;&gt;"",Master!$N$37,IF($AC742&lt;&gt;"",Master!$N$38,IF($S742&lt;&gt;"",Master!$N$39,IF($C742&lt;&gt;"",Master!$N$40,Master!$N$41))))</f>
        <v>起票</v>
      </c>
      <c r="O742" s="412" t="str">
        <f>IF($N742=Master!$N$37,MAX($S742,$AC742,$AI742),"")</f>
        <v/>
      </c>
      <c r="P742" s="413"/>
      <c r="Q742" s="414"/>
      <c r="R742" s="409"/>
      <c r="S742" s="404"/>
      <c r="T742" s="418"/>
      <c r="U742" s="415"/>
      <c r="V742" s="409"/>
      <c r="W742" s="419"/>
      <c r="X742" s="419"/>
      <c r="Y742" s="416"/>
      <c r="Z742" s="417"/>
      <c r="AA742" s="418"/>
      <c r="AB742" s="419"/>
      <c r="AC742" s="404"/>
      <c r="AD742" s="404"/>
      <c r="AE742" s="420"/>
      <c r="AF742" s="421"/>
      <c r="AG742" s="418"/>
      <c r="AH742" s="409"/>
      <c r="AI742" s="404"/>
      <c r="AJ742" s="416"/>
      <c r="AK742" s="453"/>
      <c r="AL742" s="422"/>
      <c r="AM742" s="423"/>
      <c r="AO742" s="137" t="e">
        <f t="shared" si="77"/>
        <v>#N/A</v>
      </c>
      <c r="AP742" s="138" t="e">
        <f t="shared" si="78"/>
        <v>#N/A</v>
      </c>
      <c r="AQ742" s="138" t="e">
        <f t="shared" si="79"/>
        <v>#N/A</v>
      </c>
      <c r="AR742" s="138" t="e">
        <f t="shared" si="80"/>
        <v>#N/A</v>
      </c>
      <c r="AS742" s="138" t="e">
        <f t="shared" si="81"/>
        <v>#N/A</v>
      </c>
      <c r="AT742" s="139" t="e">
        <f t="shared" si="82"/>
        <v>#N/A</v>
      </c>
    </row>
    <row r="743" spans="1:46" ht="54" customHeight="1">
      <c r="A743" s="428">
        <f t="shared" si="90"/>
        <v>735</v>
      </c>
      <c r="B743" s="403"/>
      <c r="C743" s="404"/>
      <c r="D743" s="405"/>
      <c r="E743" s="405"/>
      <c r="F743" s="405"/>
      <c r="G743" s="405"/>
      <c r="H743" s="406"/>
      <c r="I743" s="407"/>
      <c r="J743" s="408"/>
      <c r="K743" s="409"/>
      <c r="L743" s="410"/>
      <c r="M743" s="404"/>
      <c r="N743" s="411" t="str">
        <f>IF($AI743&lt;&gt;"",Master!$N$37,IF($AC743&lt;&gt;"",Master!$N$38,IF($S743&lt;&gt;"",Master!$N$39,IF($C743&lt;&gt;"",Master!$N$40,Master!$N$41))))</f>
        <v>起票</v>
      </c>
      <c r="O743" s="412" t="str">
        <f>IF($N743=Master!$N$37,MAX($S743,$AC743,$AI743),"")</f>
        <v/>
      </c>
      <c r="P743" s="413"/>
      <c r="Q743" s="414"/>
      <c r="R743" s="409"/>
      <c r="S743" s="404"/>
      <c r="T743" s="418"/>
      <c r="U743" s="415"/>
      <c r="V743" s="409"/>
      <c r="W743" s="419"/>
      <c r="X743" s="419"/>
      <c r="Y743" s="416"/>
      <c r="Z743" s="417"/>
      <c r="AA743" s="418"/>
      <c r="AB743" s="419"/>
      <c r="AC743" s="404"/>
      <c r="AD743" s="404"/>
      <c r="AE743" s="420"/>
      <c r="AF743" s="421"/>
      <c r="AG743" s="418"/>
      <c r="AH743" s="409"/>
      <c r="AI743" s="404"/>
      <c r="AJ743" s="416"/>
      <c r="AK743" s="453"/>
      <c r="AL743" s="422"/>
      <c r="AM743" s="423"/>
      <c r="AO743" s="137" t="e">
        <f t="shared" si="77"/>
        <v>#N/A</v>
      </c>
      <c r="AP743" s="138" t="e">
        <f t="shared" si="78"/>
        <v>#N/A</v>
      </c>
      <c r="AQ743" s="138" t="e">
        <f t="shared" si="79"/>
        <v>#N/A</v>
      </c>
      <c r="AR743" s="138" t="e">
        <f t="shared" si="80"/>
        <v>#N/A</v>
      </c>
      <c r="AS743" s="138" t="e">
        <f t="shared" si="81"/>
        <v>#N/A</v>
      </c>
      <c r="AT743" s="139" t="e">
        <f t="shared" si="82"/>
        <v>#N/A</v>
      </c>
    </row>
    <row r="744" spans="1:46" ht="54" customHeight="1">
      <c r="A744" s="428">
        <f t="shared" si="90"/>
        <v>736</v>
      </c>
      <c r="B744" s="403"/>
      <c r="C744" s="404"/>
      <c r="D744" s="405"/>
      <c r="E744" s="405"/>
      <c r="F744" s="405"/>
      <c r="G744" s="405"/>
      <c r="H744" s="406"/>
      <c r="I744" s="407"/>
      <c r="J744" s="408"/>
      <c r="K744" s="409"/>
      <c r="L744" s="410"/>
      <c r="M744" s="404"/>
      <c r="N744" s="411" t="str">
        <f>IF($AI744&lt;&gt;"",Master!$N$37,IF($AC744&lt;&gt;"",Master!$N$38,IF($S744&lt;&gt;"",Master!$N$39,IF($C744&lt;&gt;"",Master!$N$40,Master!$N$41))))</f>
        <v>起票</v>
      </c>
      <c r="O744" s="412" t="str">
        <f>IF($N744=Master!$N$37,MAX($S744,$AC744,$AI744),"")</f>
        <v/>
      </c>
      <c r="P744" s="413"/>
      <c r="Q744" s="414"/>
      <c r="R744" s="409"/>
      <c r="S744" s="404"/>
      <c r="T744" s="418"/>
      <c r="U744" s="415"/>
      <c r="V744" s="409"/>
      <c r="W744" s="419"/>
      <c r="X744" s="419"/>
      <c r="Y744" s="416"/>
      <c r="Z744" s="417"/>
      <c r="AA744" s="418"/>
      <c r="AB744" s="419"/>
      <c r="AC744" s="404"/>
      <c r="AD744" s="404"/>
      <c r="AE744" s="420"/>
      <c r="AF744" s="421"/>
      <c r="AG744" s="418"/>
      <c r="AH744" s="409"/>
      <c r="AI744" s="404"/>
      <c r="AJ744" s="416"/>
      <c r="AK744" s="453"/>
      <c r="AL744" s="422"/>
      <c r="AM744" s="423"/>
      <c r="AO744" s="137" t="e">
        <f t="shared" si="77"/>
        <v>#N/A</v>
      </c>
      <c r="AP744" s="138" t="e">
        <f t="shared" si="78"/>
        <v>#N/A</v>
      </c>
      <c r="AQ744" s="138" t="e">
        <f t="shared" si="79"/>
        <v>#N/A</v>
      </c>
      <c r="AR744" s="138" t="e">
        <f t="shared" si="80"/>
        <v>#N/A</v>
      </c>
      <c r="AS744" s="138" t="e">
        <f t="shared" si="81"/>
        <v>#N/A</v>
      </c>
      <c r="AT744" s="139" t="e">
        <f t="shared" si="82"/>
        <v>#N/A</v>
      </c>
    </row>
    <row r="745" spans="1:46" ht="54" customHeight="1">
      <c r="A745" s="428">
        <f t="shared" si="90"/>
        <v>737</v>
      </c>
      <c r="B745" s="294"/>
      <c r="C745" s="201"/>
      <c r="D745" s="290"/>
      <c r="E745" s="301"/>
      <c r="F745" s="301"/>
      <c r="G745" s="290"/>
      <c r="H745" s="291"/>
      <c r="I745" s="292"/>
      <c r="J745" s="61"/>
      <c r="K745" s="57"/>
      <c r="L745" s="303"/>
      <c r="M745" s="201"/>
      <c r="N745" s="84" t="str">
        <f>IF($AI745&lt;&gt;"",Master!$N$37,IF($AC745&lt;&gt;"",Master!$N$38,IF($S745&lt;&gt;"",Master!$N$39,IF($C745&lt;&gt;"",Master!$N$40,Master!$N$41))))</f>
        <v>起票</v>
      </c>
      <c r="O745" s="202" t="str">
        <f>IF($N745=Master!$N$37,MAX($S745,$AC745,$AI745),"")</f>
        <v/>
      </c>
      <c r="P745" s="65"/>
      <c r="Q745" s="203"/>
      <c r="R745" s="57"/>
      <c r="S745" s="203"/>
      <c r="T745" s="310"/>
      <c r="U745" s="289"/>
      <c r="V745" s="57"/>
      <c r="W745" s="288"/>
      <c r="X745" s="288"/>
      <c r="Y745" s="296"/>
      <c r="Z745" s="57"/>
      <c r="AA745" s="203"/>
      <c r="AB745" s="288"/>
      <c r="AC745" s="201"/>
      <c r="AD745" s="298"/>
      <c r="AE745" s="297"/>
      <c r="AF745" s="58"/>
      <c r="AG745" s="204"/>
      <c r="AH745" s="57"/>
      <c r="AI745" s="201"/>
      <c r="AJ745" s="287"/>
      <c r="AK745" s="452"/>
      <c r="AL745" s="59"/>
      <c r="AM745" s="60"/>
      <c r="AO745" s="137" t="e">
        <f t="shared" si="77"/>
        <v>#N/A</v>
      </c>
      <c r="AP745" s="138" t="e">
        <f t="shared" si="78"/>
        <v>#N/A</v>
      </c>
      <c r="AQ745" s="138" t="e">
        <f t="shared" si="79"/>
        <v>#N/A</v>
      </c>
      <c r="AR745" s="138" t="e">
        <f t="shared" si="80"/>
        <v>#N/A</v>
      </c>
      <c r="AS745" s="138" t="e">
        <f t="shared" si="81"/>
        <v>#N/A</v>
      </c>
      <c r="AT745" s="139" t="e">
        <f t="shared" si="82"/>
        <v>#N/A</v>
      </c>
    </row>
    <row r="746" spans="1:46" ht="54" customHeight="1">
      <c r="A746" s="428">
        <f t="shared" si="90"/>
        <v>738</v>
      </c>
      <c r="B746" s="294"/>
      <c r="C746" s="201"/>
      <c r="D746" s="290"/>
      <c r="E746" s="301"/>
      <c r="F746" s="301"/>
      <c r="G746" s="290"/>
      <c r="H746" s="291"/>
      <c r="I746" s="292"/>
      <c r="J746" s="61"/>
      <c r="K746" s="57"/>
      <c r="L746" s="303"/>
      <c r="M746" s="201"/>
      <c r="N746" s="84" t="str">
        <f>IF($AI746&lt;&gt;"",Master!$N$37,IF($AC746&lt;&gt;"",Master!$N$38,IF($S746&lt;&gt;"",Master!$N$39,IF($C746&lt;&gt;"",Master!$N$40,Master!$N$41))))</f>
        <v>起票</v>
      </c>
      <c r="O746" s="202" t="str">
        <f>IF($N746=Master!$N$37,MAX($S746,$AC746,$AI746),"")</f>
        <v/>
      </c>
      <c r="P746" s="65"/>
      <c r="Q746" s="203"/>
      <c r="R746" s="57"/>
      <c r="S746" s="203"/>
      <c r="T746" s="310"/>
      <c r="U746" s="289"/>
      <c r="V746" s="57"/>
      <c r="W746" s="288"/>
      <c r="X746" s="288"/>
      <c r="Y746" s="296"/>
      <c r="Z746" s="57"/>
      <c r="AA746" s="203"/>
      <c r="AB746" s="288"/>
      <c r="AC746" s="201"/>
      <c r="AD746" s="298"/>
      <c r="AE746" s="297"/>
      <c r="AF746" s="58"/>
      <c r="AG746" s="204"/>
      <c r="AH746" s="57"/>
      <c r="AI746" s="201"/>
      <c r="AJ746" s="287"/>
      <c r="AK746" s="452"/>
      <c r="AL746" s="59"/>
      <c r="AM746" s="60"/>
      <c r="AO746" s="137" t="e">
        <f t="shared" si="77"/>
        <v>#N/A</v>
      </c>
      <c r="AP746" s="138" t="e">
        <f t="shared" si="78"/>
        <v>#N/A</v>
      </c>
      <c r="AQ746" s="138" t="e">
        <f t="shared" si="79"/>
        <v>#N/A</v>
      </c>
      <c r="AR746" s="138" t="e">
        <f t="shared" si="80"/>
        <v>#N/A</v>
      </c>
      <c r="AS746" s="138" t="e">
        <f t="shared" si="81"/>
        <v>#N/A</v>
      </c>
      <c r="AT746" s="139" t="e">
        <f t="shared" si="82"/>
        <v>#N/A</v>
      </c>
    </row>
    <row r="747" spans="1:46" ht="54" customHeight="1">
      <c r="A747" s="428">
        <f t="shared" si="90"/>
        <v>739</v>
      </c>
      <c r="B747" s="403"/>
      <c r="C747" s="404"/>
      <c r="D747" s="405"/>
      <c r="E747" s="405"/>
      <c r="F747" s="405"/>
      <c r="G747" s="405"/>
      <c r="H747" s="406"/>
      <c r="I747" s="407"/>
      <c r="J747" s="408"/>
      <c r="K747" s="409"/>
      <c r="L747" s="410"/>
      <c r="M747" s="404"/>
      <c r="N747" s="411" t="str">
        <f>IF($AI747&lt;&gt;"",Master!$N$37,IF($AC747&lt;&gt;"",Master!$N$38,IF($S747&lt;&gt;"",Master!$N$39,IF($C747&lt;&gt;"",Master!$N$40,Master!$N$41))))</f>
        <v>起票</v>
      </c>
      <c r="O747" s="412" t="str">
        <f>IF($N747=Master!$N$37,MAX($S747,$AC747,$AI747),"")</f>
        <v/>
      </c>
      <c r="P747" s="413"/>
      <c r="Q747" s="414"/>
      <c r="R747" s="409"/>
      <c r="S747" s="404"/>
      <c r="T747" s="418"/>
      <c r="U747" s="415"/>
      <c r="V747" s="409"/>
      <c r="W747" s="419"/>
      <c r="X747" s="419"/>
      <c r="Y747" s="416"/>
      <c r="Z747" s="417"/>
      <c r="AA747" s="418"/>
      <c r="AB747" s="419"/>
      <c r="AC747" s="404"/>
      <c r="AD747" s="404"/>
      <c r="AE747" s="420"/>
      <c r="AF747" s="421"/>
      <c r="AG747" s="418"/>
      <c r="AH747" s="409"/>
      <c r="AI747" s="404"/>
      <c r="AJ747" s="416"/>
      <c r="AK747" s="453"/>
      <c r="AL747" s="422"/>
      <c r="AM747" s="423"/>
      <c r="AO747" s="137" t="e">
        <f t="shared" si="77"/>
        <v>#N/A</v>
      </c>
      <c r="AP747" s="138" t="e">
        <f t="shared" si="78"/>
        <v>#N/A</v>
      </c>
      <c r="AQ747" s="138" t="e">
        <f t="shared" si="79"/>
        <v>#N/A</v>
      </c>
      <c r="AR747" s="138" t="e">
        <f t="shared" si="80"/>
        <v>#N/A</v>
      </c>
      <c r="AS747" s="138" t="e">
        <f t="shared" si="81"/>
        <v>#N/A</v>
      </c>
      <c r="AT747" s="139" t="e">
        <f t="shared" si="82"/>
        <v>#N/A</v>
      </c>
    </row>
    <row r="748" spans="1:46" ht="54" customHeight="1">
      <c r="A748" s="428">
        <f t="shared" si="90"/>
        <v>740</v>
      </c>
      <c r="B748" s="403"/>
      <c r="C748" s="404"/>
      <c r="D748" s="405"/>
      <c r="E748" s="405"/>
      <c r="F748" s="405"/>
      <c r="G748" s="405"/>
      <c r="H748" s="406"/>
      <c r="I748" s="407"/>
      <c r="J748" s="408"/>
      <c r="K748" s="409"/>
      <c r="L748" s="410"/>
      <c r="M748" s="404"/>
      <c r="N748" s="411" t="str">
        <f>IF($AI748&lt;&gt;"",Master!$N$37,IF($AC748&lt;&gt;"",Master!$N$38,IF($S748&lt;&gt;"",Master!$N$39,IF($C748&lt;&gt;"",Master!$N$40,Master!$N$41))))</f>
        <v>起票</v>
      </c>
      <c r="O748" s="412" t="str">
        <f>IF($N748=Master!$N$37,MAX($S748,$AC748,$AI748),"")</f>
        <v/>
      </c>
      <c r="P748" s="413"/>
      <c r="Q748" s="414"/>
      <c r="R748" s="409"/>
      <c r="S748" s="404"/>
      <c r="T748" s="418"/>
      <c r="U748" s="415"/>
      <c r="V748" s="409"/>
      <c r="W748" s="419"/>
      <c r="X748" s="419"/>
      <c r="Y748" s="416"/>
      <c r="Z748" s="417"/>
      <c r="AA748" s="418"/>
      <c r="AB748" s="419"/>
      <c r="AC748" s="404"/>
      <c r="AD748" s="404"/>
      <c r="AE748" s="420"/>
      <c r="AF748" s="421"/>
      <c r="AG748" s="418"/>
      <c r="AH748" s="409"/>
      <c r="AI748" s="404"/>
      <c r="AJ748" s="416"/>
      <c r="AK748" s="453"/>
      <c r="AL748" s="422"/>
      <c r="AM748" s="423"/>
      <c r="AO748" s="137" t="e">
        <f t="shared" si="77"/>
        <v>#N/A</v>
      </c>
      <c r="AP748" s="138" t="e">
        <f t="shared" si="78"/>
        <v>#N/A</v>
      </c>
      <c r="AQ748" s="138" t="e">
        <f t="shared" si="79"/>
        <v>#N/A</v>
      </c>
      <c r="AR748" s="138" t="e">
        <f t="shared" si="80"/>
        <v>#N/A</v>
      </c>
      <c r="AS748" s="138" t="e">
        <f t="shared" si="81"/>
        <v>#N/A</v>
      </c>
      <c r="AT748" s="139" t="e">
        <f t="shared" si="82"/>
        <v>#N/A</v>
      </c>
    </row>
    <row r="749" spans="1:46" ht="54" customHeight="1">
      <c r="A749" s="428">
        <f t="shared" si="90"/>
        <v>741</v>
      </c>
      <c r="B749" s="403"/>
      <c r="C749" s="404"/>
      <c r="D749" s="405"/>
      <c r="E749" s="405"/>
      <c r="F749" s="405"/>
      <c r="G749" s="405"/>
      <c r="H749" s="406"/>
      <c r="I749" s="407"/>
      <c r="J749" s="408"/>
      <c r="K749" s="409"/>
      <c r="L749" s="410"/>
      <c r="M749" s="404"/>
      <c r="N749" s="411" t="str">
        <f>IF($AI749&lt;&gt;"",Master!$N$37,IF($AC749&lt;&gt;"",Master!$N$38,IF($S749&lt;&gt;"",Master!$N$39,IF($C749&lt;&gt;"",Master!$N$40,Master!$N$41))))</f>
        <v>起票</v>
      </c>
      <c r="O749" s="412" t="str">
        <f>IF($N749=Master!$N$37,MAX($S749,$AC749,$AI749),"")</f>
        <v/>
      </c>
      <c r="P749" s="413"/>
      <c r="Q749" s="414"/>
      <c r="R749" s="409"/>
      <c r="S749" s="404"/>
      <c r="T749" s="418"/>
      <c r="U749" s="415"/>
      <c r="V749" s="409"/>
      <c r="W749" s="419"/>
      <c r="X749" s="419"/>
      <c r="Y749" s="416"/>
      <c r="Z749" s="417"/>
      <c r="AA749" s="418"/>
      <c r="AB749" s="419"/>
      <c r="AC749" s="404"/>
      <c r="AD749" s="404"/>
      <c r="AE749" s="420"/>
      <c r="AF749" s="421"/>
      <c r="AG749" s="418"/>
      <c r="AH749" s="409"/>
      <c r="AI749" s="404"/>
      <c r="AJ749" s="416"/>
      <c r="AK749" s="453"/>
      <c r="AL749" s="422"/>
      <c r="AM749" s="423"/>
      <c r="AO749" s="137" t="e">
        <f t="shared" si="77"/>
        <v>#N/A</v>
      </c>
      <c r="AP749" s="138" t="e">
        <f t="shared" si="78"/>
        <v>#N/A</v>
      </c>
      <c r="AQ749" s="138" t="e">
        <f t="shared" si="79"/>
        <v>#N/A</v>
      </c>
      <c r="AR749" s="138" t="e">
        <f t="shared" si="80"/>
        <v>#N/A</v>
      </c>
      <c r="AS749" s="138" t="e">
        <f t="shared" si="81"/>
        <v>#N/A</v>
      </c>
      <c r="AT749" s="139" t="e">
        <f t="shared" si="82"/>
        <v>#N/A</v>
      </c>
    </row>
    <row r="750" spans="1:46" ht="54" customHeight="1">
      <c r="A750" s="428">
        <f t="shared" si="90"/>
        <v>742</v>
      </c>
      <c r="B750" s="294"/>
      <c r="C750" s="201"/>
      <c r="D750" s="290"/>
      <c r="E750" s="301"/>
      <c r="F750" s="301"/>
      <c r="G750" s="290"/>
      <c r="H750" s="291"/>
      <c r="I750" s="292"/>
      <c r="J750" s="61"/>
      <c r="K750" s="57"/>
      <c r="L750" s="303"/>
      <c r="M750" s="201"/>
      <c r="N750" s="84" t="str">
        <f>IF($AI750&lt;&gt;"",Master!$N$37,IF($AC750&lt;&gt;"",Master!$N$38,IF($S750&lt;&gt;"",Master!$N$39,IF($C750&lt;&gt;"",Master!$N$40,Master!$N$41))))</f>
        <v>起票</v>
      </c>
      <c r="O750" s="202" t="str">
        <f>IF($N750=Master!$N$37,MAX($S750,$AC750,$AI750),"")</f>
        <v/>
      </c>
      <c r="P750" s="65"/>
      <c r="Q750" s="203"/>
      <c r="R750" s="57"/>
      <c r="S750" s="203"/>
      <c r="T750" s="310"/>
      <c r="U750" s="289"/>
      <c r="V750" s="57"/>
      <c r="W750" s="288"/>
      <c r="X750" s="288"/>
      <c r="Y750" s="296"/>
      <c r="Z750" s="57"/>
      <c r="AA750" s="203"/>
      <c r="AB750" s="288"/>
      <c r="AC750" s="201"/>
      <c r="AD750" s="298"/>
      <c r="AE750" s="297"/>
      <c r="AF750" s="58"/>
      <c r="AG750" s="204"/>
      <c r="AH750" s="57"/>
      <c r="AI750" s="201"/>
      <c r="AJ750" s="287"/>
      <c r="AK750" s="452"/>
      <c r="AL750" s="59"/>
      <c r="AM750" s="60"/>
      <c r="AO750" s="137" t="e">
        <f t="shared" si="77"/>
        <v>#N/A</v>
      </c>
      <c r="AP750" s="138" t="e">
        <f t="shared" si="78"/>
        <v>#N/A</v>
      </c>
      <c r="AQ750" s="138" t="e">
        <f t="shared" si="79"/>
        <v>#N/A</v>
      </c>
      <c r="AR750" s="138" t="e">
        <f t="shared" si="80"/>
        <v>#N/A</v>
      </c>
      <c r="AS750" s="138" t="e">
        <f t="shared" si="81"/>
        <v>#N/A</v>
      </c>
      <c r="AT750" s="139" t="e">
        <f t="shared" si="82"/>
        <v>#N/A</v>
      </c>
    </row>
    <row r="751" spans="1:46" ht="54" customHeight="1">
      <c r="A751" s="428">
        <f t="shared" si="90"/>
        <v>743</v>
      </c>
      <c r="B751" s="294"/>
      <c r="C751" s="201"/>
      <c r="D751" s="290"/>
      <c r="E751" s="301"/>
      <c r="F751" s="301"/>
      <c r="G751" s="290"/>
      <c r="H751" s="291"/>
      <c r="I751" s="292"/>
      <c r="J751" s="61"/>
      <c r="K751" s="57"/>
      <c r="L751" s="303"/>
      <c r="M751" s="201"/>
      <c r="N751" s="84" t="str">
        <f>IF($AI751&lt;&gt;"",Master!$N$37,IF($AC751&lt;&gt;"",Master!$N$38,IF($S751&lt;&gt;"",Master!$N$39,IF($C751&lt;&gt;"",Master!$N$40,Master!$N$41))))</f>
        <v>起票</v>
      </c>
      <c r="O751" s="202" t="str">
        <f>IF($N751=Master!$N$37,MAX($S751,$AC751,$AI751),"")</f>
        <v/>
      </c>
      <c r="P751" s="65"/>
      <c r="Q751" s="203"/>
      <c r="R751" s="57"/>
      <c r="S751" s="203"/>
      <c r="T751" s="310"/>
      <c r="U751" s="289"/>
      <c r="V751" s="57"/>
      <c r="W751" s="288"/>
      <c r="X751" s="288"/>
      <c r="Y751" s="296"/>
      <c r="Z751" s="57"/>
      <c r="AA751" s="203"/>
      <c r="AB751" s="288"/>
      <c r="AC751" s="201"/>
      <c r="AD751" s="298"/>
      <c r="AE751" s="297"/>
      <c r="AF751" s="58"/>
      <c r="AG751" s="204"/>
      <c r="AH751" s="57"/>
      <c r="AI751" s="201"/>
      <c r="AJ751" s="287"/>
      <c r="AK751" s="452"/>
      <c r="AL751" s="59"/>
      <c r="AM751" s="60"/>
      <c r="AO751" s="137" t="e">
        <f t="shared" si="77"/>
        <v>#N/A</v>
      </c>
      <c r="AP751" s="138" t="e">
        <f t="shared" si="78"/>
        <v>#N/A</v>
      </c>
      <c r="AQ751" s="138" t="e">
        <f t="shared" si="79"/>
        <v>#N/A</v>
      </c>
      <c r="AR751" s="138" t="e">
        <f t="shared" si="80"/>
        <v>#N/A</v>
      </c>
      <c r="AS751" s="138" t="e">
        <f t="shared" si="81"/>
        <v>#N/A</v>
      </c>
      <c r="AT751" s="139" t="e">
        <f t="shared" si="82"/>
        <v>#N/A</v>
      </c>
    </row>
    <row r="752" spans="1:46" ht="54" customHeight="1">
      <c r="A752" s="428">
        <f t="shared" si="90"/>
        <v>744</v>
      </c>
      <c r="B752" s="403"/>
      <c r="C752" s="404"/>
      <c r="D752" s="405"/>
      <c r="E752" s="405"/>
      <c r="F752" s="405"/>
      <c r="G752" s="405"/>
      <c r="H752" s="406"/>
      <c r="I752" s="407"/>
      <c r="J752" s="408"/>
      <c r="K752" s="409"/>
      <c r="L752" s="410"/>
      <c r="M752" s="404"/>
      <c r="N752" s="411" t="str">
        <f>IF($AI752&lt;&gt;"",Master!$N$37,IF($AC752&lt;&gt;"",Master!$N$38,IF($S752&lt;&gt;"",Master!$N$39,IF($C752&lt;&gt;"",Master!$N$40,Master!$N$41))))</f>
        <v>起票</v>
      </c>
      <c r="O752" s="412" t="str">
        <f>IF($N752=Master!$N$37,MAX($S752,$AC752,$AI752),"")</f>
        <v/>
      </c>
      <c r="P752" s="413"/>
      <c r="Q752" s="414"/>
      <c r="R752" s="409"/>
      <c r="S752" s="404"/>
      <c r="T752" s="418"/>
      <c r="U752" s="415"/>
      <c r="V752" s="409"/>
      <c r="W752" s="419"/>
      <c r="X752" s="419"/>
      <c r="Y752" s="416"/>
      <c r="Z752" s="417"/>
      <c r="AA752" s="418"/>
      <c r="AB752" s="419"/>
      <c r="AC752" s="404"/>
      <c r="AD752" s="404"/>
      <c r="AE752" s="420"/>
      <c r="AF752" s="421"/>
      <c r="AG752" s="418"/>
      <c r="AH752" s="409"/>
      <c r="AI752" s="404"/>
      <c r="AJ752" s="416"/>
      <c r="AK752" s="453"/>
      <c r="AL752" s="422"/>
      <c r="AM752" s="423"/>
      <c r="AO752" s="137" t="e">
        <f t="shared" si="77"/>
        <v>#N/A</v>
      </c>
      <c r="AP752" s="138" t="e">
        <f t="shared" si="78"/>
        <v>#N/A</v>
      </c>
      <c r="AQ752" s="138" t="e">
        <f t="shared" si="79"/>
        <v>#N/A</v>
      </c>
      <c r="AR752" s="138" t="e">
        <f t="shared" si="80"/>
        <v>#N/A</v>
      </c>
      <c r="AS752" s="138" t="e">
        <f t="shared" si="81"/>
        <v>#N/A</v>
      </c>
      <c r="AT752" s="139" t="e">
        <f t="shared" si="82"/>
        <v>#N/A</v>
      </c>
    </row>
    <row r="753" spans="1:46" ht="54" customHeight="1">
      <c r="A753" s="428">
        <f t="shared" si="90"/>
        <v>745</v>
      </c>
      <c r="B753" s="403"/>
      <c r="C753" s="404"/>
      <c r="D753" s="405"/>
      <c r="E753" s="405"/>
      <c r="F753" s="405"/>
      <c r="G753" s="405"/>
      <c r="H753" s="406"/>
      <c r="I753" s="407"/>
      <c r="J753" s="408"/>
      <c r="K753" s="409"/>
      <c r="L753" s="410"/>
      <c r="M753" s="404"/>
      <c r="N753" s="411" t="str">
        <f>IF($AI753&lt;&gt;"",Master!$N$37,IF($AC753&lt;&gt;"",Master!$N$38,IF($S753&lt;&gt;"",Master!$N$39,IF($C753&lt;&gt;"",Master!$N$40,Master!$N$41))))</f>
        <v>起票</v>
      </c>
      <c r="O753" s="412" t="str">
        <f>IF($N753=Master!$N$37,MAX($S753,$AC753,$AI753),"")</f>
        <v/>
      </c>
      <c r="P753" s="413"/>
      <c r="Q753" s="414"/>
      <c r="R753" s="409"/>
      <c r="S753" s="404"/>
      <c r="T753" s="418"/>
      <c r="U753" s="415"/>
      <c r="V753" s="409"/>
      <c r="W753" s="419"/>
      <c r="X753" s="419"/>
      <c r="Y753" s="416"/>
      <c r="Z753" s="417"/>
      <c r="AA753" s="418"/>
      <c r="AB753" s="419"/>
      <c r="AC753" s="404"/>
      <c r="AD753" s="404"/>
      <c r="AE753" s="420"/>
      <c r="AF753" s="421"/>
      <c r="AG753" s="418"/>
      <c r="AH753" s="409"/>
      <c r="AI753" s="404"/>
      <c r="AJ753" s="416"/>
      <c r="AK753" s="453"/>
      <c r="AL753" s="422"/>
      <c r="AM753" s="423"/>
      <c r="AO753" s="137" t="e">
        <f t="shared" si="77"/>
        <v>#N/A</v>
      </c>
      <c r="AP753" s="138" t="e">
        <f t="shared" si="78"/>
        <v>#N/A</v>
      </c>
      <c r="AQ753" s="138" t="e">
        <f t="shared" si="79"/>
        <v>#N/A</v>
      </c>
      <c r="AR753" s="138" t="e">
        <f t="shared" si="80"/>
        <v>#N/A</v>
      </c>
      <c r="AS753" s="138" t="e">
        <f t="shared" si="81"/>
        <v>#N/A</v>
      </c>
      <c r="AT753" s="139" t="e">
        <f t="shared" si="82"/>
        <v>#N/A</v>
      </c>
    </row>
    <row r="754" spans="1:46" ht="54" customHeight="1">
      <c r="A754" s="428">
        <f t="shared" si="90"/>
        <v>746</v>
      </c>
      <c r="B754" s="403"/>
      <c r="C754" s="404"/>
      <c r="D754" s="405"/>
      <c r="E754" s="405"/>
      <c r="F754" s="405"/>
      <c r="G754" s="405"/>
      <c r="H754" s="406"/>
      <c r="I754" s="407"/>
      <c r="J754" s="408"/>
      <c r="K754" s="409"/>
      <c r="L754" s="410"/>
      <c r="M754" s="404"/>
      <c r="N754" s="411" t="str">
        <f>IF($AI754&lt;&gt;"",Master!$N$37,IF($AC754&lt;&gt;"",Master!$N$38,IF($S754&lt;&gt;"",Master!$N$39,IF($C754&lt;&gt;"",Master!$N$40,Master!$N$41))))</f>
        <v>起票</v>
      </c>
      <c r="O754" s="412" t="str">
        <f>IF($N754=Master!$N$37,MAX($S754,$AC754,$AI754),"")</f>
        <v/>
      </c>
      <c r="P754" s="413"/>
      <c r="Q754" s="414"/>
      <c r="R754" s="409"/>
      <c r="S754" s="404"/>
      <c r="T754" s="418"/>
      <c r="U754" s="415"/>
      <c r="V754" s="409"/>
      <c r="W754" s="419"/>
      <c r="X754" s="419"/>
      <c r="Y754" s="416"/>
      <c r="Z754" s="417"/>
      <c r="AA754" s="418"/>
      <c r="AB754" s="419"/>
      <c r="AC754" s="404"/>
      <c r="AD754" s="404"/>
      <c r="AE754" s="420"/>
      <c r="AF754" s="421"/>
      <c r="AG754" s="418"/>
      <c r="AH754" s="409"/>
      <c r="AI754" s="404"/>
      <c r="AJ754" s="416"/>
      <c r="AK754" s="453"/>
      <c r="AL754" s="422"/>
      <c r="AM754" s="423"/>
      <c r="AO754" s="137" t="e">
        <f t="shared" si="77"/>
        <v>#N/A</v>
      </c>
      <c r="AP754" s="138" t="e">
        <f t="shared" si="78"/>
        <v>#N/A</v>
      </c>
      <c r="AQ754" s="138" t="e">
        <f t="shared" si="79"/>
        <v>#N/A</v>
      </c>
      <c r="AR754" s="138" t="e">
        <f t="shared" si="80"/>
        <v>#N/A</v>
      </c>
      <c r="AS754" s="138" t="e">
        <f t="shared" si="81"/>
        <v>#N/A</v>
      </c>
      <c r="AT754" s="139" t="e">
        <f t="shared" si="82"/>
        <v>#N/A</v>
      </c>
    </row>
    <row r="755" spans="1:46" ht="54" customHeight="1">
      <c r="A755" s="428">
        <f t="shared" si="90"/>
        <v>747</v>
      </c>
      <c r="B755" s="294"/>
      <c r="C755" s="201"/>
      <c r="D755" s="290"/>
      <c r="E755" s="301"/>
      <c r="F755" s="301"/>
      <c r="G755" s="290"/>
      <c r="H755" s="291"/>
      <c r="I755" s="292"/>
      <c r="J755" s="61"/>
      <c r="K755" s="57"/>
      <c r="L755" s="303"/>
      <c r="M755" s="201"/>
      <c r="N755" s="84" t="str">
        <f>IF($AI755&lt;&gt;"",Master!$N$37,IF($AC755&lt;&gt;"",Master!$N$38,IF($S755&lt;&gt;"",Master!$N$39,IF($C755&lt;&gt;"",Master!$N$40,Master!$N$41))))</f>
        <v>起票</v>
      </c>
      <c r="O755" s="202" t="str">
        <f>IF($N755=Master!$N$37,MAX($S755,$AC755,$AI755),"")</f>
        <v/>
      </c>
      <c r="P755" s="65"/>
      <c r="Q755" s="203"/>
      <c r="R755" s="57"/>
      <c r="S755" s="203"/>
      <c r="T755" s="310"/>
      <c r="U755" s="289"/>
      <c r="V755" s="57"/>
      <c r="W755" s="288"/>
      <c r="X755" s="288"/>
      <c r="Y755" s="296"/>
      <c r="Z755" s="57"/>
      <c r="AA755" s="203"/>
      <c r="AB755" s="288"/>
      <c r="AC755" s="201"/>
      <c r="AD755" s="298"/>
      <c r="AE755" s="297"/>
      <c r="AF755" s="58"/>
      <c r="AG755" s="204"/>
      <c r="AH755" s="57"/>
      <c r="AI755" s="201"/>
      <c r="AJ755" s="287"/>
      <c r="AK755" s="452"/>
      <c r="AL755" s="59"/>
      <c r="AM755" s="60"/>
      <c r="AO755" s="137" t="e">
        <f t="shared" si="77"/>
        <v>#N/A</v>
      </c>
      <c r="AP755" s="138" t="e">
        <f t="shared" si="78"/>
        <v>#N/A</v>
      </c>
      <c r="AQ755" s="138" t="e">
        <f t="shared" si="79"/>
        <v>#N/A</v>
      </c>
      <c r="AR755" s="138" t="e">
        <f t="shared" si="80"/>
        <v>#N/A</v>
      </c>
      <c r="AS755" s="138" t="e">
        <f t="shared" si="81"/>
        <v>#N/A</v>
      </c>
      <c r="AT755" s="139" t="e">
        <f t="shared" si="82"/>
        <v>#N/A</v>
      </c>
    </row>
    <row r="756" spans="1:46" ht="54" customHeight="1">
      <c r="A756" s="428">
        <f t="shared" si="90"/>
        <v>748</v>
      </c>
      <c r="B756" s="294"/>
      <c r="C756" s="201"/>
      <c r="D756" s="290"/>
      <c r="E756" s="301"/>
      <c r="F756" s="301"/>
      <c r="G756" s="290"/>
      <c r="H756" s="291"/>
      <c r="I756" s="292"/>
      <c r="J756" s="61"/>
      <c r="K756" s="57"/>
      <c r="L756" s="303"/>
      <c r="M756" s="201"/>
      <c r="N756" s="84" t="str">
        <f>IF($AI756&lt;&gt;"",Master!$N$37,IF($AC756&lt;&gt;"",Master!$N$38,IF($S756&lt;&gt;"",Master!$N$39,IF($C756&lt;&gt;"",Master!$N$40,Master!$N$41))))</f>
        <v>起票</v>
      </c>
      <c r="O756" s="202" t="str">
        <f>IF($N756=Master!$N$37,MAX($S756,$AC756,$AI756),"")</f>
        <v/>
      </c>
      <c r="P756" s="65"/>
      <c r="Q756" s="203"/>
      <c r="R756" s="57"/>
      <c r="S756" s="203"/>
      <c r="T756" s="310"/>
      <c r="U756" s="289"/>
      <c r="V756" s="57"/>
      <c r="W756" s="288"/>
      <c r="X756" s="288"/>
      <c r="Y756" s="296"/>
      <c r="Z756" s="57"/>
      <c r="AA756" s="203"/>
      <c r="AB756" s="288"/>
      <c r="AC756" s="201"/>
      <c r="AD756" s="298"/>
      <c r="AE756" s="297"/>
      <c r="AF756" s="58"/>
      <c r="AG756" s="204"/>
      <c r="AH756" s="57"/>
      <c r="AI756" s="201"/>
      <c r="AJ756" s="287"/>
      <c r="AK756" s="452"/>
      <c r="AL756" s="59"/>
      <c r="AM756" s="60"/>
      <c r="AO756" s="137" t="e">
        <f t="shared" si="77"/>
        <v>#N/A</v>
      </c>
      <c r="AP756" s="138" t="e">
        <f t="shared" si="78"/>
        <v>#N/A</v>
      </c>
      <c r="AQ756" s="138" t="e">
        <f t="shared" si="79"/>
        <v>#N/A</v>
      </c>
      <c r="AR756" s="138" t="e">
        <f t="shared" si="80"/>
        <v>#N/A</v>
      </c>
      <c r="AS756" s="138" t="e">
        <f t="shared" si="81"/>
        <v>#N/A</v>
      </c>
      <c r="AT756" s="139" t="e">
        <f t="shared" si="82"/>
        <v>#N/A</v>
      </c>
    </row>
    <row r="757" spans="1:46" ht="54" customHeight="1">
      <c r="A757" s="428">
        <f t="shared" si="90"/>
        <v>749</v>
      </c>
      <c r="B757" s="403"/>
      <c r="C757" s="404"/>
      <c r="D757" s="405"/>
      <c r="E757" s="405"/>
      <c r="F757" s="405"/>
      <c r="G757" s="405"/>
      <c r="H757" s="406"/>
      <c r="I757" s="407"/>
      <c r="J757" s="408"/>
      <c r="K757" s="409"/>
      <c r="L757" s="410"/>
      <c r="M757" s="404"/>
      <c r="N757" s="411" t="str">
        <f>IF($AI757&lt;&gt;"",Master!$N$37,IF($AC757&lt;&gt;"",Master!$N$38,IF($S757&lt;&gt;"",Master!$N$39,IF($C757&lt;&gt;"",Master!$N$40,Master!$N$41))))</f>
        <v>起票</v>
      </c>
      <c r="O757" s="412" t="str">
        <f>IF($N757=Master!$N$37,MAX($S757,$AC757,$AI757),"")</f>
        <v/>
      </c>
      <c r="P757" s="413"/>
      <c r="Q757" s="414"/>
      <c r="R757" s="409"/>
      <c r="S757" s="404"/>
      <c r="T757" s="418"/>
      <c r="U757" s="415"/>
      <c r="V757" s="409"/>
      <c r="W757" s="419"/>
      <c r="X757" s="419"/>
      <c r="Y757" s="416"/>
      <c r="Z757" s="417"/>
      <c r="AA757" s="418"/>
      <c r="AB757" s="419"/>
      <c r="AC757" s="404"/>
      <c r="AD757" s="404"/>
      <c r="AE757" s="420"/>
      <c r="AF757" s="421"/>
      <c r="AG757" s="418"/>
      <c r="AH757" s="409"/>
      <c r="AI757" s="404"/>
      <c r="AJ757" s="416"/>
      <c r="AK757" s="453"/>
      <c r="AL757" s="422"/>
      <c r="AM757" s="423"/>
      <c r="AO757" s="137" t="e">
        <f t="shared" si="77"/>
        <v>#N/A</v>
      </c>
      <c r="AP757" s="138" t="e">
        <f t="shared" si="78"/>
        <v>#N/A</v>
      </c>
      <c r="AQ757" s="138" t="e">
        <f t="shared" si="79"/>
        <v>#N/A</v>
      </c>
      <c r="AR757" s="138" t="e">
        <f t="shared" si="80"/>
        <v>#N/A</v>
      </c>
      <c r="AS757" s="138" t="e">
        <f t="shared" si="81"/>
        <v>#N/A</v>
      </c>
      <c r="AT757" s="139" t="e">
        <f t="shared" si="82"/>
        <v>#N/A</v>
      </c>
    </row>
    <row r="758" spans="1:46" ht="54" customHeight="1">
      <c r="A758" s="428">
        <f t="shared" si="90"/>
        <v>750</v>
      </c>
      <c r="B758" s="403"/>
      <c r="C758" s="404"/>
      <c r="D758" s="405"/>
      <c r="E758" s="405"/>
      <c r="F758" s="405"/>
      <c r="G758" s="405"/>
      <c r="H758" s="406"/>
      <c r="I758" s="407"/>
      <c r="J758" s="408"/>
      <c r="K758" s="409"/>
      <c r="L758" s="410"/>
      <c r="M758" s="404"/>
      <c r="N758" s="411" t="str">
        <f>IF($AI758&lt;&gt;"",Master!$N$37,IF($AC758&lt;&gt;"",Master!$N$38,IF($S758&lt;&gt;"",Master!$N$39,IF($C758&lt;&gt;"",Master!$N$40,Master!$N$41))))</f>
        <v>起票</v>
      </c>
      <c r="O758" s="412" t="str">
        <f>IF($N758=Master!$N$37,MAX($S758,$AC758,$AI758),"")</f>
        <v/>
      </c>
      <c r="P758" s="413"/>
      <c r="Q758" s="414"/>
      <c r="R758" s="409"/>
      <c r="S758" s="404"/>
      <c r="T758" s="418"/>
      <c r="U758" s="415"/>
      <c r="V758" s="409"/>
      <c r="W758" s="419"/>
      <c r="X758" s="419"/>
      <c r="Y758" s="416"/>
      <c r="Z758" s="417"/>
      <c r="AA758" s="418"/>
      <c r="AB758" s="419"/>
      <c r="AC758" s="404"/>
      <c r="AD758" s="404"/>
      <c r="AE758" s="420"/>
      <c r="AF758" s="421"/>
      <c r="AG758" s="418"/>
      <c r="AH758" s="409"/>
      <c r="AI758" s="404"/>
      <c r="AJ758" s="416"/>
      <c r="AK758" s="453"/>
      <c r="AL758" s="422"/>
      <c r="AM758" s="423"/>
      <c r="AO758" s="137" t="e">
        <f t="shared" si="77"/>
        <v>#N/A</v>
      </c>
      <c r="AP758" s="138" t="e">
        <f t="shared" si="78"/>
        <v>#N/A</v>
      </c>
      <c r="AQ758" s="138" t="e">
        <f t="shared" si="79"/>
        <v>#N/A</v>
      </c>
      <c r="AR758" s="138" t="e">
        <f t="shared" si="80"/>
        <v>#N/A</v>
      </c>
      <c r="AS758" s="138" t="e">
        <f t="shared" si="81"/>
        <v>#N/A</v>
      </c>
      <c r="AT758" s="139" t="e">
        <f t="shared" si="82"/>
        <v>#N/A</v>
      </c>
    </row>
    <row r="759" spans="1:46" ht="54" customHeight="1">
      <c r="A759" s="428">
        <f t="shared" si="90"/>
        <v>751</v>
      </c>
      <c r="B759" s="403"/>
      <c r="C759" s="404"/>
      <c r="D759" s="405"/>
      <c r="E759" s="405"/>
      <c r="F759" s="405"/>
      <c r="G759" s="405"/>
      <c r="H759" s="406"/>
      <c r="I759" s="407"/>
      <c r="J759" s="408"/>
      <c r="K759" s="409"/>
      <c r="L759" s="410"/>
      <c r="M759" s="404"/>
      <c r="N759" s="411" t="str">
        <f>IF($AI759&lt;&gt;"",Master!$N$37,IF($AC759&lt;&gt;"",Master!$N$38,IF($S759&lt;&gt;"",Master!$N$39,IF($C759&lt;&gt;"",Master!$N$40,Master!$N$41))))</f>
        <v>起票</v>
      </c>
      <c r="O759" s="412" t="str">
        <f>IF($N759=Master!$N$37,MAX($S759,$AC759,$AI759),"")</f>
        <v/>
      </c>
      <c r="P759" s="413"/>
      <c r="Q759" s="414"/>
      <c r="R759" s="409"/>
      <c r="S759" s="404"/>
      <c r="T759" s="418"/>
      <c r="U759" s="415"/>
      <c r="V759" s="409"/>
      <c r="W759" s="419"/>
      <c r="X759" s="419"/>
      <c r="Y759" s="416"/>
      <c r="Z759" s="417"/>
      <c r="AA759" s="418"/>
      <c r="AB759" s="419"/>
      <c r="AC759" s="404"/>
      <c r="AD759" s="404"/>
      <c r="AE759" s="420"/>
      <c r="AF759" s="421"/>
      <c r="AG759" s="418"/>
      <c r="AH759" s="409"/>
      <c r="AI759" s="404"/>
      <c r="AJ759" s="416"/>
      <c r="AK759" s="453"/>
      <c r="AL759" s="422"/>
      <c r="AM759" s="423"/>
      <c r="AO759" s="137" t="e">
        <f t="shared" si="77"/>
        <v>#N/A</v>
      </c>
      <c r="AP759" s="138" t="e">
        <f t="shared" si="78"/>
        <v>#N/A</v>
      </c>
      <c r="AQ759" s="138" t="e">
        <f t="shared" si="79"/>
        <v>#N/A</v>
      </c>
      <c r="AR759" s="138" t="e">
        <f t="shared" si="80"/>
        <v>#N/A</v>
      </c>
      <c r="AS759" s="138" t="e">
        <f t="shared" si="81"/>
        <v>#N/A</v>
      </c>
      <c r="AT759" s="139" t="e">
        <f t="shared" si="82"/>
        <v>#N/A</v>
      </c>
    </row>
    <row r="760" spans="1:46" ht="54" customHeight="1">
      <c r="A760" s="428">
        <f t="shared" si="90"/>
        <v>752</v>
      </c>
      <c r="B760" s="294"/>
      <c r="C760" s="201"/>
      <c r="D760" s="290"/>
      <c r="E760" s="301"/>
      <c r="F760" s="301"/>
      <c r="G760" s="290"/>
      <c r="H760" s="291"/>
      <c r="I760" s="292"/>
      <c r="J760" s="61"/>
      <c r="K760" s="57"/>
      <c r="L760" s="303"/>
      <c r="M760" s="201"/>
      <c r="N760" s="84" t="str">
        <f>IF($AI760&lt;&gt;"",Master!$N$37,IF($AC760&lt;&gt;"",Master!$N$38,IF($S760&lt;&gt;"",Master!$N$39,IF($C760&lt;&gt;"",Master!$N$40,Master!$N$41))))</f>
        <v>起票</v>
      </c>
      <c r="O760" s="202" t="str">
        <f>IF($N760=Master!$N$37,MAX($S760,$AC760,$AI760),"")</f>
        <v/>
      </c>
      <c r="P760" s="65"/>
      <c r="Q760" s="203"/>
      <c r="R760" s="57"/>
      <c r="S760" s="203"/>
      <c r="T760" s="310"/>
      <c r="U760" s="289"/>
      <c r="V760" s="57"/>
      <c r="W760" s="288"/>
      <c r="X760" s="288"/>
      <c r="Y760" s="296"/>
      <c r="Z760" s="57"/>
      <c r="AA760" s="203"/>
      <c r="AB760" s="288"/>
      <c r="AC760" s="201"/>
      <c r="AD760" s="298"/>
      <c r="AE760" s="297"/>
      <c r="AF760" s="58"/>
      <c r="AG760" s="204"/>
      <c r="AH760" s="57"/>
      <c r="AI760" s="201"/>
      <c r="AJ760" s="287"/>
      <c r="AK760" s="452"/>
      <c r="AL760" s="59"/>
      <c r="AM760" s="60"/>
      <c r="AO760" s="137" t="e">
        <f t="shared" si="77"/>
        <v>#N/A</v>
      </c>
      <c r="AP760" s="138" t="e">
        <f t="shared" si="78"/>
        <v>#N/A</v>
      </c>
      <c r="AQ760" s="138" t="e">
        <f t="shared" si="79"/>
        <v>#N/A</v>
      </c>
      <c r="AR760" s="138" t="e">
        <f t="shared" si="80"/>
        <v>#N/A</v>
      </c>
      <c r="AS760" s="138" t="e">
        <f t="shared" si="81"/>
        <v>#N/A</v>
      </c>
      <c r="AT760" s="139" t="e">
        <f t="shared" si="82"/>
        <v>#N/A</v>
      </c>
    </row>
    <row r="761" spans="1:46" ht="54" customHeight="1">
      <c r="A761" s="428">
        <f t="shared" si="90"/>
        <v>753</v>
      </c>
      <c r="B761" s="294"/>
      <c r="C761" s="201"/>
      <c r="D761" s="290"/>
      <c r="E761" s="301"/>
      <c r="F761" s="301"/>
      <c r="G761" s="290"/>
      <c r="H761" s="291"/>
      <c r="I761" s="292"/>
      <c r="J761" s="61"/>
      <c r="K761" s="57"/>
      <c r="L761" s="303"/>
      <c r="M761" s="201"/>
      <c r="N761" s="84" t="str">
        <f>IF($AI761&lt;&gt;"",Master!$N$37,IF($AC761&lt;&gt;"",Master!$N$38,IF($S761&lt;&gt;"",Master!$N$39,IF($C761&lt;&gt;"",Master!$N$40,Master!$N$41))))</f>
        <v>起票</v>
      </c>
      <c r="O761" s="202" t="str">
        <f>IF($N761=Master!$N$37,MAX($S761,$AC761,$AI761),"")</f>
        <v/>
      </c>
      <c r="P761" s="65"/>
      <c r="Q761" s="203"/>
      <c r="R761" s="57"/>
      <c r="S761" s="203"/>
      <c r="T761" s="310"/>
      <c r="U761" s="289"/>
      <c r="V761" s="57"/>
      <c r="W761" s="288"/>
      <c r="X761" s="288"/>
      <c r="Y761" s="296"/>
      <c r="Z761" s="57"/>
      <c r="AA761" s="203"/>
      <c r="AB761" s="288"/>
      <c r="AC761" s="201"/>
      <c r="AD761" s="298"/>
      <c r="AE761" s="297"/>
      <c r="AF761" s="58"/>
      <c r="AG761" s="204"/>
      <c r="AH761" s="57"/>
      <c r="AI761" s="201"/>
      <c r="AJ761" s="287"/>
      <c r="AK761" s="452"/>
      <c r="AL761" s="59"/>
      <c r="AM761" s="60"/>
      <c r="AO761" s="137" t="e">
        <f t="shared" si="77"/>
        <v>#N/A</v>
      </c>
      <c r="AP761" s="138" t="e">
        <f t="shared" si="78"/>
        <v>#N/A</v>
      </c>
      <c r="AQ761" s="138" t="e">
        <f t="shared" si="79"/>
        <v>#N/A</v>
      </c>
      <c r="AR761" s="138" t="e">
        <f t="shared" si="80"/>
        <v>#N/A</v>
      </c>
      <c r="AS761" s="138" t="e">
        <f t="shared" si="81"/>
        <v>#N/A</v>
      </c>
      <c r="AT761" s="139" t="e">
        <f t="shared" si="82"/>
        <v>#N/A</v>
      </c>
    </row>
    <row r="762" spans="1:46" ht="54" customHeight="1">
      <c r="A762" s="428">
        <f t="shared" si="90"/>
        <v>754</v>
      </c>
      <c r="B762" s="403"/>
      <c r="C762" s="404"/>
      <c r="D762" s="405"/>
      <c r="E762" s="405"/>
      <c r="F762" s="405"/>
      <c r="G762" s="405"/>
      <c r="H762" s="406"/>
      <c r="I762" s="407"/>
      <c r="J762" s="408"/>
      <c r="K762" s="409"/>
      <c r="L762" s="410"/>
      <c r="M762" s="404"/>
      <c r="N762" s="411" t="str">
        <f>IF($AI762&lt;&gt;"",Master!$N$37,IF($AC762&lt;&gt;"",Master!$N$38,IF($S762&lt;&gt;"",Master!$N$39,IF($C762&lt;&gt;"",Master!$N$40,Master!$N$41))))</f>
        <v>起票</v>
      </c>
      <c r="O762" s="412" t="str">
        <f>IF($N762=Master!$N$37,MAX($S762,$AC762,$AI762),"")</f>
        <v/>
      </c>
      <c r="P762" s="413"/>
      <c r="Q762" s="414"/>
      <c r="R762" s="409"/>
      <c r="S762" s="404"/>
      <c r="T762" s="418"/>
      <c r="U762" s="415"/>
      <c r="V762" s="409"/>
      <c r="W762" s="419"/>
      <c r="X762" s="419"/>
      <c r="Y762" s="416"/>
      <c r="Z762" s="417"/>
      <c r="AA762" s="418"/>
      <c r="AB762" s="419"/>
      <c r="AC762" s="404"/>
      <c r="AD762" s="404"/>
      <c r="AE762" s="420"/>
      <c r="AF762" s="421"/>
      <c r="AG762" s="418"/>
      <c r="AH762" s="409"/>
      <c r="AI762" s="404"/>
      <c r="AJ762" s="416"/>
      <c r="AK762" s="453"/>
      <c r="AL762" s="422"/>
      <c r="AM762" s="423"/>
      <c r="AO762" s="137" t="e">
        <f t="shared" si="77"/>
        <v>#N/A</v>
      </c>
      <c r="AP762" s="138" t="e">
        <f t="shared" si="78"/>
        <v>#N/A</v>
      </c>
      <c r="AQ762" s="138" t="e">
        <f t="shared" si="79"/>
        <v>#N/A</v>
      </c>
      <c r="AR762" s="138" t="e">
        <f t="shared" si="80"/>
        <v>#N/A</v>
      </c>
      <c r="AS762" s="138" t="e">
        <f t="shared" si="81"/>
        <v>#N/A</v>
      </c>
      <c r="AT762" s="139" t="e">
        <f t="shared" si="82"/>
        <v>#N/A</v>
      </c>
    </row>
    <row r="763" spans="1:46" ht="54" customHeight="1">
      <c r="A763" s="428">
        <f t="shared" si="90"/>
        <v>755</v>
      </c>
      <c r="B763" s="403"/>
      <c r="C763" s="404"/>
      <c r="D763" s="405"/>
      <c r="E763" s="405"/>
      <c r="F763" s="405"/>
      <c r="G763" s="405"/>
      <c r="H763" s="406"/>
      <c r="I763" s="407"/>
      <c r="J763" s="408"/>
      <c r="K763" s="409"/>
      <c r="L763" s="410"/>
      <c r="M763" s="404"/>
      <c r="N763" s="411" t="str">
        <f>IF($AI763&lt;&gt;"",Master!$N$37,IF($AC763&lt;&gt;"",Master!$N$38,IF($S763&lt;&gt;"",Master!$N$39,IF($C763&lt;&gt;"",Master!$N$40,Master!$N$41))))</f>
        <v>起票</v>
      </c>
      <c r="O763" s="412" t="str">
        <f>IF($N763=Master!$N$37,MAX($S763,$AC763,$AI763),"")</f>
        <v/>
      </c>
      <c r="P763" s="413"/>
      <c r="Q763" s="414"/>
      <c r="R763" s="409"/>
      <c r="S763" s="404"/>
      <c r="T763" s="418"/>
      <c r="U763" s="415"/>
      <c r="V763" s="409"/>
      <c r="W763" s="419"/>
      <c r="X763" s="419"/>
      <c r="Y763" s="416"/>
      <c r="Z763" s="417"/>
      <c r="AA763" s="418"/>
      <c r="AB763" s="419"/>
      <c r="AC763" s="404"/>
      <c r="AD763" s="404"/>
      <c r="AE763" s="420"/>
      <c r="AF763" s="421"/>
      <c r="AG763" s="418"/>
      <c r="AH763" s="409"/>
      <c r="AI763" s="404"/>
      <c r="AJ763" s="416"/>
      <c r="AK763" s="453"/>
      <c r="AL763" s="422"/>
      <c r="AM763" s="423"/>
      <c r="AO763" s="137" t="e">
        <f t="shared" si="77"/>
        <v>#N/A</v>
      </c>
      <c r="AP763" s="138" t="e">
        <f t="shared" si="78"/>
        <v>#N/A</v>
      </c>
      <c r="AQ763" s="138" t="e">
        <f t="shared" si="79"/>
        <v>#N/A</v>
      </c>
      <c r="AR763" s="138" t="e">
        <f t="shared" si="80"/>
        <v>#N/A</v>
      </c>
      <c r="AS763" s="138" t="e">
        <f t="shared" si="81"/>
        <v>#N/A</v>
      </c>
      <c r="AT763" s="139" t="e">
        <f t="shared" si="82"/>
        <v>#N/A</v>
      </c>
    </row>
    <row r="764" spans="1:46" ht="54" customHeight="1">
      <c r="A764" s="428">
        <f t="shared" si="90"/>
        <v>756</v>
      </c>
      <c r="B764" s="403"/>
      <c r="C764" s="404"/>
      <c r="D764" s="405"/>
      <c r="E764" s="405"/>
      <c r="F764" s="405"/>
      <c r="G764" s="405"/>
      <c r="H764" s="406"/>
      <c r="I764" s="407"/>
      <c r="J764" s="408"/>
      <c r="K764" s="409"/>
      <c r="L764" s="410"/>
      <c r="M764" s="404"/>
      <c r="N764" s="411" t="str">
        <f>IF($AI764&lt;&gt;"",Master!$N$37,IF($AC764&lt;&gt;"",Master!$N$38,IF($S764&lt;&gt;"",Master!$N$39,IF($C764&lt;&gt;"",Master!$N$40,Master!$N$41))))</f>
        <v>起票</v>
      </c>
      <c r="O764" s="412" t="str">
        <f>IF($N764=Master!$N$37,MAX($S764,$AC764,$AI764),"")</f>
        <v/>
      </c>
      <c r="P764" s="413"/>
      <c r="Q764" s="414"/>
      <c r="R764" s="409"/>
      <c r="S764" s="404"/>
      <c r="T764" s="418"/>
      <c r="U764" s="415"/>
      <c r="V764" s="409"/>
      <c r="W764" s="419"/>
      <c r="X764" s="419"/>
      <c r="Y764" s="416"/>
      <c r="Z764" s="417"/>
      <c r="AA764" s="418"/>
      <c r="AB764" s="419"/>
      <c r="AC764" s="404"/>
      <c r="AD764" s="404"/>
      <c r="AE764" s="420"/>
      <c r="AF764" s="421"/>
      <c r="AG764" s="418"/>
      <c r="AH764" s="409"/>
      <c r="AI764" s="404"/>
      <c r="AJ764" s="416"/>
      <c r="AK764" s="453"/>
      <c r="AL764" s="422"/>
      <c r="AM764" s="423"/>
      <c r="AO764" s="137" t="e">
        <f t="shared" si="77"/>
        <v>#N/A</v>
      </c>
      <c r="AP764" s="138" t="e">
        <f t="shared" si="78"/>
        <v>#N/A</v>
      </c>
      <c r="AQ764" s="138" t="e">
        <f t="shared" si="79"/>
        <v>#N/A</v>
      </c>
      <c r="AR764" s="138" t="e">
        <f t="shared" si="80"/>
        <v>#N/A</v>
      </c>
      <c r="AS764" s="138" t="e">
        <f t="shared" si="81"/>
        <v>#N/A</v>
      </c>
      <c r="AT764" s="139" t="e">
        <f t="shared" si="82"/>
        <v>#N/A</v>
      </c>
    </row>
    <row r="765" spans="1:46" ht="54" customHeight="1">
      <c r="A765" s="428">
        <f t="shared" si="90"/>
        <v>757</v>
      </c>
      <c r="B765" s="294"/>
      <c r="C765" s="201"/>
      <c r="D765" s="290"/>
      <c r="E765" s="301"/>
      <c r="F765" s="301"/>
      <c r="G765" s="290"/>
      <c r="H765" s="291"/>
      <c r="I765" s="292"/>
      <c r="J765" s="61"/>
      <c r="K765" s="57"/>
      <c r="L765" s="303"/>
      <c r="M765" s="201"/>
      <c r="N765" s="84" t="str">
        <f>IF($AI765&lt;&gt;"",Master!$N$37,IF($AC765&lt;&gt;"",Master!$N$38,IF($S765&lt;&gt;"",Master!$N$39,IF($C765&lt;&gt;"",Master!$N$40,Master!$N$41))))</f>
        <v>起票</v>
      </c>
      <c r="O765" s="202" t="str">
        <f>IF($N765=Master!$N$37,MAX($S765,$AC765,$AI765),"")</f>
        <v/>
      </c>
      <c r="P765" s="65"/>
      <c r="Q765" s="203"/>
      <c r="R765" s="57"/>
      <c r="S765" s="203"/>
      <c r="T765" s="310"/>
      <c r="U765" s="289"/>
      <c r="V765" s="57"/>
      <c r="W765" s="288"/>
      <c r="X765" s="288"/>
      <c r="Y765" s="296"/>
      <c r="Z765" s="57"/>
      <c r="AA765" s="203"/>
      <c r="AB765" s="288"/>
      <c r="AC765" s="201"/>
      <c r="AD765" s="298"/>
      <c r="AE765" s="297"/>
      <c r="AF765" s="58"/>
      <c r="AG765" s="204"/>
      <c r="AH765" s="57"/>
      <c r="AI765" s="201"/>
      <c r="AJ765" s="287"/>
      <c r="AK765" s="452"/>
      <c r="AL765" s="59"/>
      <c r="AM765" s="60"/>
      <c r="AO765" s="137" t="e">
        <f t="shared" si="77"/>
        <v>#N/A</v>
      </c>
      <c r="AP765" s="138" t="e">
        <f t="shared" si="78"/>
        <v>#N/A</v>
      </c>
      <c r="AQ765" s="138" t="e">
        <f t="shared" si="79"/>
        <v>#N/A</v>
      </c>
      <c r="AR765" s="138" t="e">
        <f t="shared" si="80"/>
        <v>#N/A</v>
      </c>
      <c r="AS765" s="138" t="e">
        <f t="shared" si="81"/>
        <v>#N/A</v>
      </c>
      <c r="AT765" s="139" t="e">
        <f t="shared" si="82"/>
        <v>#N/A</v>
      </c>
    </row>
    <row r="766" spans="1:46" ht="54" customHeight="1">
      <c r="A766" s="428">
        <f t="shared" si="90"/>
        <v>758</v>
      </c>
      <c r="B766" s="294"/>
      <c r="C766" s="201"/>
      <c r="D766" s="290"/>
      <c r="E766" s="301"/>
      <c r="F766" s="301"/>
      <c r="G766" s="290"/>
      <c r="H766" s="291"/>
      <c r="I766" s="292"/>
      <c r="J766" s="61"/>
      <c r="K766" s="57"/>
      <c r="L766" s="303"/>
      <c r="M766" s="201"/>
      <c r="N766" s="84" t="str">
        <f>IF($AI766&lt;&gt;"",Master!$N$37,IF($AC766&lt;&gt;"",Master!$N$38,IF($S766&lt;&gt;"",Master!$N$39,IF($C766&lt;&gt;"",Master!$N$40,Master!$N$41))))</f>
        <v>起票</v>
      </c>
      <c r="O766" s="202" t="str">
        <f>IF($N766=Master!$N$37,MAX($S766,$AC766,$AI766),"")</f>
        <v/>
      </c>
      <c r="P766" s="65"/>
      <c r="Q766" s="203"/>
      <c r="R766" s="57"/>
      <c r="S766" s="203"/>
      <c r="T766" s="310"/>
      <c r="U766" s="289"/>
      <c r="V766" s="57"/>
      <c r="W766" s="288"/>
      <c r="X766" s="288"/>
      <c r="Y766" s="296"/>
      <c r="Z766" s="57"/>
      <c r="AA766" s="203"/>
      <c r="AB766" s="288"/>
      <c r="AC766" s="201"/>
      <c r="AD766" s="298"/>
      <c r="AE766" s="297"/>
      <c r="AF766" s="58"/>
      <c r="AG766" s="204"/>
      <c r="AH766" s="57"/>
      <c r="AI766" s="201"/>
      <c r="AJ766" s="287"/>
      <c r="AK766" s="452"/>
      <c r="AL766" s="59"/>
      <c r="AM766" s="60"/>
      <c r="AO766" s="137" t="e">
        <f t="shared" si="77"/>
        <v>#N/A</v>
      </c>
      <c r="AP766" s="138" t="e">
        <f t="shared" si="78"/>
        <v>#N/A</v>
      </c>
      <c r="AQ766" s="138" t="e">
        <f t="shared" si="79"/>
        <v>#N/A</v>
      </c>
      <c r="AR766" s="138" t="e">
        <f t="shared" si="80"/>
        <v>#N/A</v>
      </c>
      <c r="AS766" s="138" t="e">
        <f t="shared" si="81"/>
        <v>#N/A</v>
      </c>
      <c r="AT766" s="139" t="e">
        <f t="shared" si="82"/>
        <v>#N/A</v>
      </c>
    </row>
    <row r="767" spans="1:46" ht="54" customHeight="1">
      <c r="A767" s="428">
        <f t="shared" si="90"/>
        <v>759</v>
      </c>
      <c r="B767" s="403"/>
      <c r="C767" s="404"/>
      <c r="D767" s="405"/>
      <c r="E767" s="405"/>
      <c r="F767" s="405"/>
      <c r="G767" s="405"/>
      <c r="H767" s="406"/>
      <c r="I767" s="407"/>
      <c r="J767" s="408"/>
      <c r="K767" s="409"/>
      <c r="L767" s="410"/>
      <c r="M767" s="404"/>
      <c r="N767" s="411" t="str">
        <f>IF($AI767&lt;&gt;"",Master!$N$37,IF($AC767&lt;&gt;"",Master!$N$38,IF($S767&lt;&gt;"",Master!$N$39,IF($C767&lt;&gt;"",Master!$N$40,Master!$N$41))))</f>
        <v>起票</v>
      </c>
      <c r="O767" s="412" t="str">
        <f>IF($N767=Master!$N$37,MAX($S767,$AC767,$AI767),"")</f>
        <v/>
      </c>
      <c r="P767" s="413"/>
      <c r="Q767" s="414"/>
      <c r="R767" s="409"/>
      <c r="S767" s="404"/>
      <c r="T767" s="418"/>
      <c r="U767" s="415"/>
      <c r="V767" s="409"/>
      <c r="W767" s="419"/>
      <c r="X767" s="419"/>
      <c r="Y767" s="416"/>
      <c r="Z767" s="417"/>
      <c r="AA767" s="418"/>
      <c r="AB767" s="419"/>
      <c r="AC767" s="404"/>
      <c r="AD767" s="404"/>
      <c r="AE767" s="420"/>
      <c r="AF767" s="421"/>
      <c r="AG767" s="418"/>
      <c r="AH767" s="409"/>
      <c r="AI767" s="404"/>
      <c r="AJ767" s="416"/>
      <c r="AK767" s="453"/>
      <c r="AL767" s="422"/>
      <c r="AM767" s="423"/>
      <c r="AO767" s="137" t="e">
        <f t="shared" si="77"/>
        <v>#N/A</v>
      </c>
      <c r="AP767" s="138" t="e">
        <f t="shared" si="78"/>
        <v>#N/A</v>
      </c>
      <c r="AQ767" s="138" t="e">
        <f t="shared" si="79"/>
        <v>#N/A</v>
      </c>
      <c r="AR767" s="138" t="e">
        <f t="shared" si="80"/>
        <v>#N/A</v>
      </c>
      <c r="AS767" s="138" t="e">
        <f t="shared" si="81"/>
        <v>#N/A</v>
      </c>
      <c r="AT767" s="139" t="e">
        <f t="shared" si="82"/>
        <v>#N/A</v>
      </c>
    </row>
    <row r="768" spans="1:46" ht="54" customHeight="1">
      <c r="A768" s="428">
        <f t="shared" si="90"/>
        <v>760</v>
      </c>
      <c r="B768" s="403"/>
      <c r="C768" s="404"/>
      <c r="D768" s="405"/>
      <c r="E768" s="405"/>
      <c r="F768" s="405"/>
      <c r="G768" s="405"/>
      <c r="H768" s="406"/>
      <c r="I768" s="407"/>
      <c r="J768" s="408"/>
      <c r="K768" s="409"/>
      <c r="L768" s="410"/>
      <c r="M768" s="404"/>
      <c r="N768" s="411" t="str">
        <f>IF($AI768&lt;&gt;"",Master!$N$37,IF($AC768&lt;&gt;"",Master!$N$38,IF($S768&lt;&gt;"",Master!$N$39,IF($C768&lt;&gt;"",Master!$N$40,Master!$N$41))))</f>
        <v>起票</v>
      </c>
      <c r="O768" s="412" t="str">
        <f>IF($N768=Master!$N$37,MAX($S768,$AC768,$AI768),"")</f>
        <v/>
      </c>
      <c r="P768" s="413"/>
      <c r="Q768" s="414"/>
      <c r="R768" s="409"/>
      <c r="S768" s="404"/>
      <c r="T768" s="418"/>
      <c r="U768" s="415"/>
      <c r="V768" s="409"/>
      <c r="W768" s="419"/>
      <c r="X768" s="419"/>
      <c r="Y768" s="416"/>
      <c r="Z768" s="417"/>
      <c r="AA768" s="418"/>
      <c r="AB768" s="419"/>
      <c r="AC768" s="404"/>
      <c r="AD768" s="404"/>
      <c r="AE768" s="420"/>
      <c r="AF768" s="421"/>
      <c r="AG768" s="418"/>
      <c r="AH768" s="409"/>
      <c r="AI768" s="404"/>
      <c r="AJ768" s="416"/>
      <c r="AK768" s="453"/>
      <c r="AL768" s="422"/>
      <c r="AM768" s="423"/>
      <c r="AO768" s="137" t="e">
        <f t="shared" si="77"/>
        <v>#N/A</v>
      </c>
      <c r="AP768" s="138" t="e">
        <f t="shared" si="78"/>
        <v>#N/A</v>
      </c>
      <c r="AQ768" s="138" t="e">
        <f t="shared" si="79"/>
        <v>#N/A</v>
      </c>
      <c r="AR768" s="138" t="e">
        <f t="shared" si="80"/>
        <v>#N/A</v>
      </c>
      <c r="AS768" s="138" t="e">
        <f t="shared" si="81"/>
        <v>#N/A</v>
      </c>
      <c r="AT768" s="139" t="e">
        <f t="shared" si="82"/>
        <v>#N/A</v>
      </c>
    </row>
    <row r="769" spans="1:46" ht="54" customHeight="1">
      <c r="A769" s="428">
        <f t="shared" si="90"/>
        <v>761</v>
      </c>
      <c r="B769" s="403"/>
      <c r="C769" s="404"/>
      <c r="D769" s="405"/>
      <c r="E769" s="405"/>
      <c r="F769" s="405"/>
      <c r="G769" s="405"/>
      <c r="H769" s="406"/>
      <c r="I769" s="407"/>
      <c r="J769" s="408"/>
      <c r="K769" s="409"/>
      <c r="L769" s="410"/>
      <c r="M769" s="404"/>
      <c r="N769" s="411" t="str">
        <f>IF($AI769&lt;&gt;"",Master!$N$37,IF($AC769&lt;&gt;"",Master!$N$38,IF($S769&lt;&gt;"",Master!$N$39,IF($C769&lt;&gt;"",Master!$N$40,Master!$N$41))))</f>
        <v>起票</v>
      </c>
      <c r="O769" s="412" t="str">
        <f>IF($N769=Master!$N$37,MAX($S769,$AC769,$AI769),"")</f>
        <v/>
      </c>
      <c r="P769" s="413"/>
      <c r="Q769" s="414"/>
      <c r="R769" s="409"/>
      <c r="S769" s="404"/>
      <c r="T769" s="418"/>
      <c r="U769" s="415"/>
      <c r="V769" s="409"/>
      <c r="W769" s="419"/>
      <c r="X769" s="419"/>
      <c r="Y769" s="416"/>
      <c r="Z769" s="417"/>
      <c r="AA769" s="418"/>
      <c r="AB769" s="419"/>
      <c r="AC769" s="404"/>
      <c r="AD769" s="404"/>
      <c r="AE769" s="420"/>
      <c r="AF769" s="421"/>
      <c r="AG769" s="418"/>
      <c r="AH769" s="409"/>
      <c r="AI769" s="404"/>
      <c r="AJ769" s="416"/>
      <c r="AK769" s="453"/>
      <c r="AL769" s="422"/>
      <c r="AM769" s="423"/>
      <c r="AO769" s="137" t="e">
        <f t="shared" si="77"/>
        <v>#N/A</v>
      </c>
      <c r="AP769" s="138" t="e">
        <f t="shared" si="78"/>
        <v>#N/A</v>
      </c>
      <c r="AQ769" s="138" t="e">
        <f t="shared" si="79"/>
        <v>#N/A</v>
      </c>
      <c r="AR769" s="138" t="e">
        <f t="shared" si="80"/>
        <v>#N/A</v>
      </c>
      <c r="AS769" s="138" t="e">
        <f t="shared" si="81"/>
        <v>#N/A</v>
      </c>
      <c r="AT769" s="139" t="e">
        <f t="shared" si="82"/>
        <v>#N/A</v>
      </c>
    </row>
    <row r="770" spans="1:46" ht="54" customHeight="1">
      <c r="A770" s="428">
        <f t="shared" si="90"/>
        <v>762</v>
      </c>
      <c r="B770" s="294"/>
      <c r="C770" s="201"/>
      <c r="D770" s="290"/>
      <c r="E770" s="301"/>
      <c r="F770" s="301"/>
      <c r="G770" s="290"/>
      <c r="H770" s="291"/>
      <c r="I770" s="292"/>
      <c r="J770" s="61"/>
      <c r="K770" s="57"/>
      <c r="L770" s="303"/>
      <c r="M770" s="201"/>
      <c r="N770" s="84" t="str">
        <f>IF($AI770&lt;&gt;"",Master!$N$37,IF($AC770&lt;&gt;"",Master!$N$38,IF($S770&lt;&gt;"",Master!$N$39,IF($C770&lt;&gt;"",Master!$N$40,Master!$N$41))))</f>
        <v>起票</v>
      </c>
      <c r="O770" s="202" t="str">
        <f>IF($N770=Master!$N$37,MAX($S770,$AC770,$AI770),"")</f>
        <v/>
      </c>
      <c r="P770" s="65"/>
      <c r="Q770" s="203"/>
      <c r="R770" s="57"/>
      <c r="S770" s="203"/>
      <c r="T770" s="310"/>
      <c r="U770" s="289"/>
      <c r="V770" s="57"/>
      <c r="W770" s="288"/>
      <c r="X770" s="288"/>
      <c r="Y770" s="296"/>
      <c r="Z770" s="57"/>
      <c r="AA770" s="203"/>
      <c r="AB770" s="288"/>
      <c r="AC770" s="201"/>
      <c r="AD770" s="298"/>
      <c r="AE770" s="297"/>
      <c r="AF770" s="58"/>
      <c r="AG770" s="204"/>
      <c r="AH770" s="57"/>
      <c r="AI770" s="201"/>
      <c r="AJ770" s="287"/>
      <c r="AK770" s="452"/>
      <c r="AL770" s="59"/>
      <c r="AM770" s="60"/>
      <c r="AO770" s="137" t="e">
        <f t="shared" si="77"/>
        <v>#N/A</v>
      </c>
      <c r="AP770" s="138" t="e">
        <f t="shared" si="78"/>
        <v>#N/A</v>
      </c>
      <c r="AQ770" s="138" t="e">
        <f t="shared" si="79"/>
        <v>#N/A</v>
      </c>
      <c r="AR770" s="138" t="e">
        <f t="shared" si="80"/>
        <v>#N/A</v>
      </c>
      <c r="AS770" s="138" t="e">
        <f t="shared" si="81"/>
        <v>#N/A</v>
      </c>
      <c r="AT770" s="139" t="e">
        <f t="shared" si="82"/>
        <v>#N/A</v>
      </c>
    </row>
    <row r="771" spans="1:46" ht="54" customHeight="1">
      <c r="A771" s="428">
        <f t="shared" si="90"/>
        <v>763</v>
      </c>
      <c r="B771" s="294"/>
      <c r="C771" s="201"/>
      <c r="D771" s="290"/>
      <c r="E771" s="301"/>
      <c r="F771" s="301"/>
      <c r="G771" s="290"/>
      <c r="H771" s="291"/>
      <c r="I771" s="292"/>
      <c r="J771" s="61"/>
      <c r="K771" s="57"/>
      <c r="L771" s="303"/>
      <c r="M771" s="201"/>
      <c r="N771" s="84" t="str">
        <f>IF($AI771&lt;&gt;"",Master!$N$37,IF($AC771&lt;&gt;"",Master!$N$38,IF($S771&lt;&gt;"",Master!$N$39,IF($C771&lt;&gt;"",Master!$N$40,Master!$N$41))))</f>
        <v>起票</v>
      </c>
      <c r="O771" s="202" t="str">
        <f>IF($N771=Master!$N$37,MAX($S771,$AC771,$AI771),"")</f>
        <v/>
      </c>
      <c r="P771" s="65"/>
      <c r="Q771" s="203"/>
      <c r="R771" s="57"/>
      <c r="S771" s="203"/>
      <c r="T771" s="310"/>
      <c r="U771" s="289"/>
      <c r="V771" s="57"/>
      <c r="W771" s="288"/>
      <c r="X771" s="288"/>
      <c r="Y771" s="296"/>
      <c r="Z771" s="57"/>
      <c r="AA771" s="203"/>
      <c r="AB771" s="288"/>
      <c r="AC771" s="201"/>
      <c r="AD771" s="298"/>
      <c r="AE771" s="297"/>
      <c r="AF771" s="58"/>
      <c r="AG771" s="204"/>
      <c r="AH771" s="57"/>
      <c r="AI771" s="201"/>
      <c r="AJ771" s="287"/>
      <c r="AK771" s="452"/>
      <c r="AL771" s="59"/>
      <c r="AM771" s="60"/>
      <c r="AO771" s="137" t="e">
        <f t="shared" si="77"/>
        <v>#N/A</v>
      </c>
      <c r="AP771" s="138" t="e">
        <f t="shared" si="78"/>
        <v>#N/A</v>
      </c>
      <c r="AQ771" s="138" t="e">
        <f t="shared" si="79"/>
        <v>#N/A</v>
      </c>
      <c r="AR771" s="138" t="e">
        <f t="shared" si="80"/>
        <v>#N/A</v>
      </c>
      <c r="AS771" s="138" t="e">
        <f t="shared" si="81"/>
        <v>#N/A</v>
      </c>
      <c r="AT771" s="139" t="e">
        <f t="shared" si="82"/>
        <v>#N/A</v>
      </c>
    </row>
    <row r="772" spans="1:46" ht="54" customHeight="1">
      <c r="A772" s="428">
        <f t="shared" si="90"/>
        <v>764</v>
      </c>
      <c r="B772" s="403"/>
      <c r="C772" s="404"/>
      <c r="D772" s="405"/>
      <c r="E772" s="405"/>
      <c r="F772" s="405"/>
      <c r="G772" s="405"/>
      <c r="H772" s="406"/>
      <c r="I772" s="407"/>
      <c r="J772" s="408"/>
      <c r="K772" s="409"/>
      <c r="L772" s="410"/>
      <c r="M772" s="404"/>
      <c r="N772" s="411" t="str">
        <f>IF($AI772&lt;&gt;"",Master!$N$37,IF($AC772&lt;&gt;"",Master!$N$38,IF($S772&lt;&gt;"",Master!$N$39,IF($C772&lt;&gt;"",Master!$N$40,Master!$N$41))))</f>
        <v>起票</v>
      </c>
      <c r="O772" s="412" t="str">
        <f>IF($N772=Master!$N$37,MAX($S772,$AC772,$AI772),"")</f>
        <v/>
      </c>
      <c r="P772" s="413"/>
      <c r="Q772" s="414"/>
      <c r="R772" s="409"/>
      <c r="S772" s="404"/>
      <c r="T772" s="418"/>
      <c r="U772" s="415"/>
      <c r="V772" s="409"/>
      <c r="W772" s="419"/>
      <c r="X772" s="419"/>
      <c r="Y772" s="416"/>
      <c r="Z772" s="417"/>
      <c r="AA772" s="418"/>
      <c r="AB772" s="419"/>
      <c r="AC772" s="404"/>
      <c r="AD772" s="404"/>
      <c r="AE772" s="420"/>
      <c r="AF772" s="421"/>
      <c r="AG772" s="418"/>
      <c r="AH772" s="409"/>
      <c r="AI772" s="404"/>
      <c r="AJ772" s="416"/>
      <c r="AK772" s="453"/>
      <c r="AL772" s="422"/>
      <c r="AM772" s="423"/>
      <c r="AO772" s="137" t="e">
        <f t="shared" si="77"/>
        <v>#N/A</v>
      </c>
      <c r="AP772" s="138" t="e">
        <f t="shared" si="78"/>
        <v>#N/A</v>
      </c>
      <c r="AQ772" s="138" t="e">
        <f t="shared" si="79"/>
        <v>#N/A</v>
      </c>
      <c r="AR772" s="138" t="e">
        <f t="shared" si="80"/>
        <v>#N/A</v>
      </c>
      <c r="AS772" s="138" t="e">
        <f t="shared" si="81"/>
        <v>#N/A</v>
      </c>
      <c r="AT772" s="139" t="e">
        <f t="shared" si="82"/>
        <v>#N/A</v>
      </c>
    </row>
    <row r="773" spans="1:46" ht="54" customHeight="1">
      <c r="A773" s="428">
        <f t="shared" si="90"/>
        <v>765</v>
      </c>
      <c r="B773" s="403"/>
      <c r="C773" s="404"/>
      <c r="D773" s="405"/>
      <c r="E773" s="405"/>
      <c r="F773" s="405"/>
      <c r="G773" s="405"/>
      <c r="H773" s="406"/>
      <c r="I773" s="407"/>
      <c r="J773" s="408"/>
      <c r="K773" s="409"/>
      <c r="L773" s="410"/>
      <c r="M773" s="404"/>
      <c r="N773" s="411" t="str">
        <f>IF($AI773&lt;&gt;"",Master!$N$37,IF($AC773&lt;&gt;"",Master!$N$38,IF($S773&lt;&gt;"",Master!$N$39,IF($C773&lt;&gt;"",Master!$N$40,Master!$N$41))))</f>
        <v>起票</v>
      </c>
      <c r="O773" s="412" t="str">
        <f>IF($N773=Master!$N$37,MAX($S773,$AC773,$AI773),"")</f>
        <v/>
      </c>
      <c r="P773" s="413"/>
      <c r="Q773" s="414"/>
      <c r="R773" s="409"/>
      <c r="S773" s="404"/>
      <c r="T773" s="418"/>
      <c r="U773" s="415"/>
      <c r="V773" s="409"/>
      <c r="W773" s="419"/>
      <c r="X773" s="419"/>
      <c r="Y773" s="416"/>
      <c r="Z773" s="417"/>
      <c r="AA773" s="418"/>
      <c r="AB773" s="419"/>
      <c r="AC773" s="404"/>
      <c r="AD773" s="404"/>
      <c r="AE773" s="420"/>
      <c r="AF773" s="421"/>
      <c r="AG773" s="418"/>
      <c r="AH773" s="409"/>
      <c r="AI773" s="404"/>
      <c r="AJ773" s="416"/>
      <c r="AK773" s="453"/>
      <c r="AL773" s="422"/>
      <c r="AM773" s="423"/>
      <c r="AO773" s="137" t="e">
        <f t="shared" si="77"/>
        <v>#N/A</v>
      </c>
      <c r="AP773" s="138" t="e">
        <f t="shared" si="78"/>
        <v>#N/A</v>
      </c>
      <c r="AQ773" s="138" t="e">
        <f t="shared" si="79"/>
        <v>#N/A</v>
      </c>
      <c r="AR773" s="138" t="e">
        <f t="shared" si="80"/>
        <v>#N/A</v>
      </c>
      <c r="AS773" s="138" t="e">
        <f t="shared" si="81"/>
        <v>#N/A</v>
      </c>
      <c r="AT773" s="139" t="e">
        <f t="shared" si="82"/>
        <v>#N/A</v>
      </c>
    </row>
    <row r="774" spans="1:46" ht="54" customHeight="1">
      <c r="A774" s="428">
        <f t="shared" si="90"/>
        <v>766</v>
      </c>
      <c r="B774" s="403"/>
      <c r="C774" s="404"/>
      <c r="D774" s="405"/>
      <c r="E774" s="405"/>
      <c r="F774" s="405"/>
      <c r="G774" s="405"/>
      <c r="H774" s="406"/>
      <c r="I774" s="407"/>
      <c r="J774" s="408"/>
      <c r="K774" s="409"/>
      <c r="L774" s="410"/>
      <c r="M774" s="404"/>
      <c r="N774" s="411" t="str">
        <f>IF($AI774&lt;&gt;"",Master!$N$37,IF($AC774&lt;&gt;"",Master!$N$38,IF($S774&lt;&gt;"",Master!$N$39,IF($C774&lt;&gt;"",Master!$N$40,Master!$N$41))))</f>
        <v>起票</v>
      </c>
      <c r="O774" s="412" t="str">
        <f>IF($N774=Master!$N$37,MAX($S774,$AC774,$AI774),"")</f>
        <v/>
      </c>
      <c r="P774" s="413"/>
      <c r="Q774" s="414"/>
      <c r="R774" s="409"/>
      <c r="S774" s="404"/>
      <c r="T774" s="418"/>
      <c r="U774" s="415"/>
      <c r="V774" s="409"/>
      <c r="W774" s="419"/>
      <c r="X774" s="419"/>
      <c r="Y774" s="416"/>
      <c r="Z774" s="417"/>
      <c r="AA774" s="418"/>
      <c r="AB774" s="419"/>
      <c r="AC774" s="404"/>
      <c r="AD774" s="404"/>
      <c r="AE774" s="420"/>
      <c r="AF774" s="421"/>
      <c r="AG774" s="418"/>
      <c r="AH774" s="409"/>
      <c r="AI774" s="404"/>
      <c r="AJ774" s="416"/>
      <c r="AK774" s="453"/>
      <c r="AL774" s="422"/>
      <c r="AM774" s="423"/>
      <c r="AO774" s="137" t="e">
        <f t="shared" si="77"/>
        <v>#N/A</v>
      </c>
      <c r="AP774" s="138" t="e">
        <f t="shared" si="78"/>
        <v>#N/A</v>
      </c>
      <c r="AQ774" s="138" t="e">
        <f t="shared" si="79"/>
        <v>#N/A</v>
      </c>
      <c r="AR774" s="138" t="e">
        <f t="shared" si="80"/>
        <v>#N/A</v>
      </c>
      <c r="AS774" s="138" t="e">
        <f t="shared" si="81"/>
        <v>#N/A</v>
      </c>
      <c r="AT774" s="139" t="e">
        <f t="shared" si="82"/>
        <v>#N/A</v>
      </c>
    </row>
    <row r="775" spans="1:46" ht="54" customHeight="1">
      <c r="A775" s="428">
        <f t="shared" si="90"/>
        <v>767</v>
      </c>
      <c r="B775" s="294"/>
      <c r="C775" s="201"/>
      <c r="D775" s="290"/>
      <c r="E775" s="301"/>
      <c r="F775" s="301"/>
      <c r="G775" s="290"/>
      <c r="H775" s="291"/>
      <c r="I775" s="292"/>
      <c r="J775" s="61"/>
      <c r="K775" s="57"/>
      <c r="L775" s="303"/>
      <c r="M775" s="201"/>
      <c r="N775" s="84" t="str">
        <f>IF($AI775&lt;&gt;"",Master!$N$37,IF($AC775&lt;&gt;"",Master!$N$38,IF($S775&lt;&gt;"",Master!$N$39,IF($C775&lt;&gt;"",Master!$N$40,Master!$N$41))))</f>
        <v>起票</v>
      </c>
      <c r="O775" s="202" t="str">
        <f>IF($N775=Master!$N$37,MAX($S775,$AC775,$AI775),"")</f>
        <v/>
      </c>
      <c r="P775" s="65"/>
      <c r="Q775" s="203"/>
      <c r="R775" s="57"/>
      <c r="S775" s="203"/>
      <c r="T775" s="310"/>
      <c r="U775" s="289"/>
      <c r="V775" s="57"/>
      <c r="W775" s="288"/>
      <c r="X775" s="288"/>
      <c r="Y775" s="296"/>
      <c r="Z775" s="57"/>
      <c r="AA775" s="203"/>
      <c r="AB775" s="288"/>
      <c r="AC775" s="201"/>
      <c r="AD775" s="298"/>
      <c r="AE775" s="297"/>
      <c r="AF775" s="58"/>
      <c r="AG775" s="204"/>
      <c r="AH775" s="57"/>
      <c r="AI775" s="201"/>
      <c r="AJ775" s="287"/>
      <c r="AK775" s="452"/>
      <c r="AL775" s="59"/>
      <c r="AM775" s="60"/>
      <c r="AO775" s="137" t="e">
        <f t="shared" ref="AO775:AO834" si="91">IF(AND(C775&lt;&gt;"",C775&lt;=$AI$3),IF(E775="","",E775),NA())</f>
        <v>#N/A</v>
      </c>
      <c r="AP775" s="138" t="e">
        <f t="shared" ref="AP775:AP834" si="92">IF(AND(C775&lt;&gt;"",C775&lt;=$AI$3),IF(F775="","",F775),NA())</f>
        <v>#N/A</v>
      </c>
      <c r="AQ775" s="138" t="e">
        <f t="shared" ref="AQ775:AQ834" si="93">IF(AND(C775&lt;&gt;"",C775&lt;=$AI$3),IF(H775="","",H775),NA())</f>
        <v>#N/A</v>
      </c>
      <c r="AR775" s="138" t="e">
        <f t="shared" ref="AR775:AR834" si="94">IF(AND(C775&lt;&gt;"",C775&lt;=$AI$3),IF(U775="","",U775),NA())</f>
        <v>#N/A</v>
      </c>
      <c r="AS775" s="138" t="e">
        <f t="shared" ref="AS775:AS834" si="95">IF(AND(C775&lt;&gt;"",C775&lt;=$AI$3),IF(V775="","",V775),NA())</f>
        <v>#N/A</v>
      </c>
      <c r="AT775" s="139" t="e">
        <f t="shared" ref="AT775:AT834" si="96">IF(AND(C775&lt;&gt;"",C775&lt;=$AI$3),IF(AB775="","",AB775),NA())</f>
        <v>#N/A</v>
      </c>
    </row>
    <row r="776" spans="1:46" ht="54" customHeight="1">
      <c r="A776" s="428">
        <f t="shared" si="90"/>
        <v>768</v>
      </c>
      <c r="B776" s="294"/>
      <c r="C776" s="201"/>
      <c r="D776" s="290"/>
      <c r="E776" s="301"/>
      <c r="F776" s="301"/>
      <c r="G776" s="290"/>
      <c r="H776" s="291"/>
      <c r="I776" s="292"/>
      <c r="J776" s="61"/>
      <c r="K776" s="57"/>
      <c r="L776" s="303"/>
      <c r="M776" s="201"/>
      <c r="N776" s="84" t="str">
        <f>IF($AI776&lt;&gt;"",Master!$N$37,IF($AC776&lt;&gt;"",Master!$N$38,IF($S776&lt;&gt;"",Master!$N$39,IF($C776&lt;&gt;"",Master!$N$40,Master!$N$41))))</f>
        <v>起票</v>
      </c>
      <c r="O776" s="202" t="str">
        <f>IF($N776=Master!$N$37,MAX($S776,$AC776,$AI776),"")</f>
        <v/>
      </c>
      <c r="P776" s="65"/>
      <c r="Q776" s="203"/>
      <c r="R776" s="57"/>
      <c r="S776" s="203"/>
      <c r="T776" s="310"/>
      <c r="U776" s="289"/>
      <c r="V776" s="57"/>
      <c r="W776" s="288"/>
      <c r="X776" s="288"/>
      <c r="Y776" s="296"/>
      <c r="Z776" s="57"/>
      <c r="AA776" s="203"/>
      <c r="AB776" s="288"/>
      <c r="AC776" s="201"/>
      <c r="AD776" s="298"/>
      <c r="AE776" s="297"/>
      <c r="AF776" s="58"/>
      <c r="AG776" s="204"/>
      <c r="AH776" s="57"/>
      <c r="AI776" s="201"/>
      <c r="AJ776" s="287"/>
      <c r="AK776" s="452"/>
      <c r="AL776" s="59"/>
      <c r="AM776" s="60"/>
      <c r="AO776" s="137" t="e">
        <f t="shared" si="91"/>
        <v>#N/A</v>
      </c>
      <c r="AP776" s="138" t="e">
        <f t="shared" si="92"/>
        <v>#N/A</v>
      </c>
      <c r="AQ776" s="138" t="e">
        <f t="shared" si="93"/>
        <v>#N/A</v>
      </c>
      <c r="AR776" s="138" t="e">
        <f t="shared" si="94"/>
        <v>#N/A</v>
      </c>
      <c r="AS776" s="138" t="e">
        <f t="shared" si="95"/>
        <v>#N/A</v>
      </c>
      <c r="AT776" s="139" t="e">
        <f t="shared" si="96"/>
        <v>#N/A</v>
      </c>
    </row>
    <row r="777" spans="1:46" ht="54" customHeight="1">
      <c r="A777" s="428">
        <f t="shared" si="90"/>
        <v>769</v>
      </c>
      <c r="B777" s="403"/>
      <c r="C777" s="404"/>
      <c r="D777" s="405"/>
      <c r="E777" s="405"/>
      <c r="F777" s="405"/>
      <c r="G777" s="405"/>
      <c r="H777" s="406"/>
      <c r="I777" s="407"/>
      <c r="J777" s="408"/>
      <c r="K777" s="409"/>
      <c r="L777" s="410"/>
      <c r="M777" s="404"/>
      <c r="N777" s="411" t="str">
        <f>IF($AI777&lt;&gt;"",Master!$N$37,IF($AC777&lt;&gt;"",Master!$N$38,IF($S777&lt;&gt;"",Master!$N$39,IF($C777&lt;&gt;"",Master!$N$40,Master!$N$41))))</f>
        <v>起票</v>
      </c>
      <c r="O777" s="412" t="str">
        <f>IF($N777=Master!$N$37,MAX($S777,$AC777,$AI777),"")</f>
        <v/>
      </c>
      <c r="P777" s="413"/>
      <c r="Q777" s="414"/>
      <c r="R777" s="409"/>
      <c r="S777" s="404"/>
      <c r="T777" s="418"/>
      <c r="U777" s="415"/>
      <c r="V777" s="409"/>
      <c r="W777" s="419"/>
      <c r="X777" s="419"/>
      <c r="Y777" s="416"/>
      <c r="Z777" s="417"/>
      <c r="AA777" s="418"/>
      <c r="AB777" s="419"/>
      <c r="AC777" s="404"/>
      <c r="AD777" s="404"/>
      <c r="AE777" s="420"/>
      <c r="AF777" s="421"/>
      <c r="AG777" s="418"/>
      <c r="AH777" s="409"/>
      <c r="AI777" s="404"/>
      <c r="AJ777" s="416"/>
      <c r="AK777" s="453"/>
      <c r="AL777" s="422"/>
      <c r="AM777" s="423"/>
      <c r="AO777" s="137" t="e">
        <f t="shared" si="91"/>
        <v>#N/A</v>
      </c>
      <c r="AP777" s="138" t="e">
        <f t="shared" si="92"/>
        <v>#N/A</v>
      </c>
      <c r="AQ777" s="138" t="e">
        <f t="shared" si="93"/>
        <v>#N/A</v>
      </c>
      <c r="AR777" s="138" t="e">
        <f t="shared" si="94"/>
        <v>#N/A</v>
      </c>
      <c r="AS777" s="138" t="e">
        <f t="shared" si="95"/>
        <v>#N/A</v>
      </c>
      <c r="AT777" s="139" t="e">
        <f t="shared" si="96"/>
        <v>#N/A</v>
      </c>
    </row>
    <row r="778" spans="1:46" ht="54" customHeight="1">
      <c r="A778" s="428">
        <f t="shared" si="90"/>
        <v>770</v>
      </c>
      <c r="B778" s="403"/>
      <c r="C778" s="404"/>
      <c r="D778" s="405"/>
      <c r="E778" s="405"/>
      <c r="F778" s="405"/>
      <c r="G778" s="405"/>
      <c r="H778" s="406"/>
      <c r="I778" s="407"/>
      <c r="J778" s="408"/>
      <c r="K778" s="409"/>
      <c r="L778" s="410"/>
      <c r="M778" s="404"/>
      <c r="N778" s="411" t="str">
        <f>IF($AI778&lt;&gt;"",Master!$N$37,IF($AC778&lt;&gt;"",Master!$N$38,IF($S778&lt;&gt;"",Master!$N$39,IF($C778&lt;&gt;"",Master!$N$40,Master!$N$41))))</f>
        <v>起票</v>
      </c>
      <c r="O778" s="412" t="str">
        <f>IF($N778=Master!$N$37,MAX($S778,$AC778,$AI778),"")</f>
        <v/>
      </c>
      <c r="P778" s="413"/>
      <c r="Q778" s="414"/>
      <c r="R778" s="409"/>
      <c r="S778" s="404"/>
      <c r="T778" s="418"/>
      <c r="U778" s="415"/>
      <c r="V778" s="409"/>
      <c r="W778" s="419"/>
      <c r="X778" s="419"/>
      <c r="Y778" s="416"/>
      <c r="Z778" s="417"/>
      <c r="AA778" s="418"/>
      <c r="AB778" s="419"/>
      <c r="AC778" s="404"/>
      <c r="AD778" s="404"/>
      <c r="AE778" s="420"/>
      <c r="AF778" s="421"/>
      <c r="AG778" s="418"/>
      <c r="AH778" s="409"/>
      <c r="AI778" s="404"/>
      <c r="AJ778" s="416"/>
      <c r="AK778" s="453"/>
      <c r="AL778" s="422"/>
      <c r="AM778" s="423"/>
      <c r="AO778" s="137" t="e">
        <f t="shared" si="91"/>
        <v>#N/A</v>
      </c>
      <c r="AP778" s="138" t="e">
        <f t="shared" si="92"/>
        <v>#N/A</v>
      </c>
      <c r="AQ778" s="138" t="e">
        <f t="shared" si="93"/>
        <v>#N/A</v>
      </c>
      <c r="AR778" s="138" t="e">
        <f t="shared" si="94"/>
        <v>#N/A</v>
      </c>
      <c r="AS778" s="138" t="e">
        <f t="shared" si="95"/>
        <v>#N/A</v>
      </c>
      <c r="AT778" s="139" t="e">
        <f t="shared" si="96"/>
        <v>#N/A</v>
      </c>
    </row>
    <row r="779" spans="1:46" ht="54" customHeight="1">
      <c r="A779" s="428">
        <f t="shared" si="90"/>
        <v>771</v>
      </c>
      <c r="B779" s="403"/>
      <c r="C779" s="404"/>
      <c r="D779" s="405"/>
      <c r="E779" s="405"/>
      <c r="F779" s="405"/>
      <c r="G779" s="405"/>
      <c r="H779" s="406"/>
      <c r="I779" s="407"/>
      <c r="J779" s="408"/>
      <c r="K779" s="409"/>
      <c r="L779" s="410"/>
      <c r="M779" s="404"/>
      <c r="N779" s="411" t="str">
        <f>IF($AI779&lt;&gt;"",Master!$N$37,IF($AC779&lt;&gt;"",Master!$N$38,IF($S779&lt;&gt;"",Master!$N$39,IF($C779&lt;&gt;"",Master!$N$40,Master!$N$41))))</f>
        <v>起票</v>
      </c>
      <c r="O779" s="412" t="str">
        <f>IF($N779=Master!$N$37,MAX($S779,$AC779,$AI779),"")</f>
        <v/>
      </c>
      <c r="P779" s="413"/>
      <c r="Q779" s="414"/>
      <c r="R779" s="409"/>
      <c r="S779" s="404"/>
      <c r="T779" s="418"/>
      <c r="U779" s="415"/>
      <c r="V779" s="409"/>
      <c r="W779" s="419"/>
      <c r="X779" s="419"/>
      <c r="Y779" s="416"/>
      <c r="Z779" s="417"/>
      <c r="AA779" s="418"/>
      <c r="AB779" s="419"/>
      <c r="AC779" s="404"/>
      <c r="AD779" s="404"/>
      <c r="AE779" s="420"/>
      <c r="AF779" s="421"/>
      <c r="AG779" s="418"/>
      <c r="AH779" s="409"/>
      <c r="AI779" s="404"/>
      <c r="AJ779" s="416"/>
      <c r="AK779" s="453"/>
      <c r="AL779" s="422"/>
      <c r="AM779" s="423"/>
      <c r="AO779" s="137" t="e">
        <f t="shared" si="91"/>
        <v>#N/A</v>
      </c>
      <c r="AP779" s="138" t="e">
        <f t="shared" si="92"/>
        <v>#N/A</v>
      </c>
      <c r="AQ779" s="138" t="e">
        <f t="shared" si="93"/>
        <v>#N/A</v>
      </c>
      <c r="AR779" s="138" t="e">
        <f t="shared" si="94"/>
        <v>#N/A</v>
      </c>
      <c r="AS779" s="138" t="e">
        <f t="shared" si="95"/>
        <v>#N/A</v>
      </c>
      <c r="AT779" s="139" t="e">
        <f t="shared" si="96"/>
        <v>#N/A</v>
      </c>
    </row>
    <row r="780" spans="1:46" ht="54" customHeight="1">
      <c r="A780" s="428">
        <f t="shared" ref="A780:A843" si="97">A779+1</f>
        <v>772</v>
      </c>
      <c r="B780" s="294"/>
      <c r="C780" s="201"/>
      <c r="D780" s="290"/>
      <c r="E780" s="301"/>
      <c r="F780" s="301"/>
      <c r="G780" s="290"/>
      <c r="H780" s="291"/>
      <c r="I780" s="292"/>
      <c r="J780" s="61"/>
      <c r="K780" s="57"/>
      <c r="L780" s="303"/>
      <c r="M780" s="201"/>
      <c r="N780" s="84" t="str">
        <f>IF($AI780&lt;&gt;"",Master!$N$37,IF($AC780&lt;&gt;"",Master!$N$38,IF($S780&lt;&gt;"",Master!$N$39,IF($C780&lt;&gt;"",Master!$N$40,Master!$N$41))))</f>
        <v>起票</v>
      </c>
      <c r="O780" s="202" t="str">
        <f>IF($N780=Master!$N$37,MAX($S780,$AC780,$AI780),"")</f>
        <v/>
      </c>
      <c r="P780" s="65"/>
      <c r="Q780" s="203"/>
      <c r="R780" s="57"/>
      <c r="S780" s="203"/>
      <c r="T780" s="310"/>
      <c r="U780" s="289"/>
      <c r="V780" s="57"/>
      <c r="W780" s="288"/>
      <c r="X780" s="288"/>
      <c r="Y780" s="296"/>
      <c r="Z780" s="57"/>
      <c r="AA780" s="203"/>
      <c r="AB780" s="288"/>
      <c r="AC780" s="201"/>
      <c r="AD780" s="298"/>
      <c r="AE780" s="297"/>
      <c r="AF780" s="58"/>
      <c r="AG780" s="204"/>
      <c r="AH780" s="57"/>
      <c r="AI780" s="201"/>
      <c r="AJ780" s="287"/>
      <c r="AK780" s="452"/>
      <c r="AL780" s="59"/>
      <c r="AM780" s="60"/>
      <c r="AO780" s="137" t="e">
        <f t="shared" si="91"/>
        <v>#N/A</v>
      </c>
      <c r="AP780" s="138" t="e">
        <f t="shared" si="92"/>
        <v>#N/A</v>
      </c>
      <c r="AQ780" s="138" t="e">
        <f t="shared" si="93"/>
        <v>#N/A</v>
      </c>
      <c r="AR780" s="138" t="e">
        <f t="shared" si="94"/>
        <v>#N/A</v>
      </c>
      <c r="AS780" s="138" t="e">
        <f t="shared" si="95"/>
        <v>#N/A</v>
      </c>
      <c r="AT780" s="139" t="e">
        <f t="shared" si="96"/>
        <v>#N/A</v>
      </c>
    </row>
    <row r="781" spans="1:46" ht="54" customHeight="1">
      <c r="A781" s="428">
        <f t="shared" si="97"/>
        <v>773</v>
      </c>
      <c r="B781" s="294"/>
      <c r="C781" s="201"/>
      <c r="D781" s="290"/>
      <c r="E781" s="301"/>
      <c r="F781" s="301"/>
      <c r="G781" s="290"/>
      <c r="H781" s="291"/>
      <c r="I781" s="292"/>
      <c r="J781" s="61"/>
      <c r="K781" s="57"/>
      <c r="L781" s="303"/>
      <c r="M781" s="201"/>
      <c r="N781" s="84" t="str">
        <f>IF($AI781&lt;&gt;"",Master!$N$37,IF($AC781&lt;&gt;"",Master!$N$38,IF($S781&lt;&gt;"",Master!$N$39,IF($C781&lt;&gt;"",Master!$N$40,Master!$N$41))))</f>
        <v>起票</v>
      </c>
      <c r="O781" s="202" t="str">
        <f>IF($N781=Master!$N$37,MAX($S781,$AC781,$AI781),"")</f>
        <v/>
      </c>
      <c r="P781" s="65"/>
      <c r="Q781" s="203"/>
      <c r="R781" s="57"/>
      <c r="S781" s="203"/>
      <c r="T781" s="310"/>
      <c r="U781" s="289"/>
      <c r="V781" s="57"/>
      <c r="W781" s="288"/>
      <c r="X781" s="288"/>
      <c r="Y781" s="296"/>
      <c r="Z781" s="57"/>
      <c r="AA781" s="203"/>
      <c r="AB781" s="288"/>
      <c r="AC781" s="201"/>
      <c r="AD781" s="298"/>
      <c r="AE781" s="297"/>
      <c r="AF781" s="58"/>
      <c r="AG781" s="204"/>
      <c r="AH781" s="57"/>
      <c r="AI781" s="201"/>
      <c r="AJ781" s="287"/>
      <c r="AK781" s="452"/>
      <c r="AL781" s="59"/>
      <c r="AM781" s="60"/>
      <c r="AO781" s="137" t="e">
        <f t="shared" si="91"/>
        <v>#N/A</v>
      </c>
      <c r="AP781" s="138" t="e">
        <f t="shared" si="92"/>
        <v>#N/A</v>
      </c>
      <c r="AQ781" s="138" t="e">
        <f t="shared" si="93"/>
        <v>#N/A</v>
      </c>
      <c r="AR781" s="138" t="e">
        <f t="shared" si="94"/>
        <v>#N/A</v>
      </c>
      <c r="AS781" s="138" t="e">
        <f t="shared" si="95"/>
        <v>#N/A</v>
      </c>
      <c r="AT781" s="139" t="e">
        <f t="shared" si="96"/>
        <v>#N/A</v>
      </c>
    </row>
    <row r="782" spans="1:46" ht="54" customHeight="1">
      <c r="A782" s="428">
        <f t="shared" si="97"/>
        <v>774</v>
      </c>
      <c r="B782" s="403"/>
      <c r="C782" s="404"/>
      <c r="D782" s="405"/>
      <c r="E782" s="405"/>
      <c r="F782" s="405"/>
      <c r="G782" s="405"/>
      <c r="H782" s="406"/>
      <c r="I782" s="407"/>
      <c r="J782" s="408"/>
      <c r="K782" s="409"/>
      <c r="L782" s="410"/>
      <c r="M782" s="404"/>
      <c r="N782" s="411" t="str">
        <f>IF($AI782&lt;&gt;"",Master!$N$37,IF($AC782&lt;&gt;"",Master!$N$38,IF($S782&lt;&gt;"",Master!$N$39,IF($C782&lt;&gt;"",Master!$N$40,Master!$N$41))))</f>
        <v>起票</v>
      </c>
      <c r="O782" s="412" t="str">
        <f>IF($N782=Master!$N$37,MAX($S782,$AC782,$AI782),"")</f>
        <v/>
      </c>
      <c r="P782" s="413"/>
      <c r="Q782" s="414"/>
      <c r="R782" s="409"/>
      <c r="S782" s="404"/>
      <c r="T782" s="418"/>
      <c r="U782" s="415"/>
      <c r="V782" s="409"/>
      <c r="W782" s="419"/>
      <c r="X782" s="419"/>
      <c r="Y782" s="416"/>
      <c r="Z782" s="417"/>
      <c r="AA782" s="418"/>
      <c r="AB782" s="419"/>
      <c r="AC782" s="404"/>
      <c r="AD782" s="404"/>
      <c r="AE782" s="420"/>
      <c r="AF782" s="421"/>
      <c r="AG782" s="418"/>
      <c r="AH782" s="409"/>
      <c r="AI782" s="404"/>
      <c r="AJ782" s="416"/>
      <c r="AK782" s="453"/>
      <c r="AL782" s="422"/>
      <c r="AM782" s="423"/>
      <c r="AO782" s="137" t="e">
        <f t="shared" si="91"/>
        <v>#N/A</v>
      </c>
      <c r="AP782" s="138" t="e">
        <f t="shared" si="92"/>
        <v>#N/A</v>
      </c>
      <c r="AQ782" s="138" t="e">
        <f t="shared" si="93"/>
        <v>#N/A</v>
      </c>
      <c r="AR782" s="138" t="e">
        <f t="shared" si="94"/>
        <v>#N/A</v>
      </c>
      <c r="AS782" s="138" t="e">
        <f t="shared" si="95"/>
        <v>#N/A</v>
      </c>
      <c r="AT782" s="139" t="e">
        <f t="shared" si="96"/>
        <v>#N/A</v>
      </c>
    </row>
    <row r="783" spans="1:46" ht="54" customHeight="1">
      <c r="A783" s="428">
        <f t="shared" si="97"/>
        <v>775</v>
      </c>
      <c r="B783" s="403"/>
      <c r="C783" s="404"/>
      <c r="D783" s="405"/>
      <c r="E783" s="405"/>
      <c r="F783" s="405"/>
      <c r="G783" s="405"/>
      <c r="H783" s="406"/>
      <c r="I783" s="407"/>
      <c r="J783" s="408"/>
      <c r="K783" s="409"/>
      <c r="L783" s="410"/>
      <c r="M783" s="404"/>
      <c r="N783" s="411" t="str">
        <f>IF($AI783&lt;&gt;"",Master!$N$37,IF($AC783&lt;&gt;"",Master!$N$38,IF($S783&lt;&gt;"",Master!$N$39,IF($C783&lt;&gt;"",Master!$N$40,Master!$N$41))))</f>
        <v>起票</v>
      </c>
      <c r="O783" s="412" t="str">
        <f>IF($N783=Master!$N$37,MAX($S783,$AC783,$AI783),"")</f>
        <v/>
      </c>
      <c r="P783" s="413"/>
      <c r="Q783" s="414"/>
      <c r="R783" s="409"/>
      <c r="S783" s="404"/>
      <c r="T783" s="418"/>
      <c r="U783" s="415"/>
      <c r="V783" s="409"/>
      <c r="W783" s="419"/>
      <c r="X783" s="419"/>
      <c r="Y783" s="416"/>
      <c r="Z783" s="417"/>
      <c r="AA783" s="418"/>
      <c r="AB783" s="419"/>
      <c r="AC783" s="404"/>
      <c r="AD783" s="404"/>
      <c r="AE783" s="420"/>
      <c r="AF783" s="421"/>
      <c r="AG783" s="418"/>
      <c r="AH783" s="409"/>
      <c r="AI783" s="404"/>
      <c r="AJ783" s="416"/>
      <c r="AK783" s="453"/>
      <c r="AL783" s="422"/>
      <c r="AM783" s="423"/>
      <c r="AO783" s="137" t="e">
        <f t="shared" si="91"/>
        <v>#N/A</v>
      </c>
      <c r="AP783" s="138" t="e">
        <f t="shared" si="92"/>
        <v>#N/A</v>
      </c>
      <c r="AQ783" s="138" t="e">
        <f t="shared" si="93"/>
        <v>#N/A</v>
      </c>
      <c r="AR783" s="138" t="e">
        <f t="shared" si="94"/>
        <v>#N/A</v>
      </c>
      <c r="AS783" s="138" t="e">
        <f t="shared" si="95"/>
        <v>#N/A</v>
      </c>
      <c r="AT783" s="139" t="e">
        <f t="shared" si="96"/>
        <v>#N/A</v>
      </c>
    </row>
    <row r="784" spans="1:46" ht="54" customHeight="1">
      <c r="A784" s="428">
        <f t="shared" si="97"/>
        <v>776</v>
      </c>
      <c r="B784" s="403"/>
      <c r="C784" s="404"/>
      <c r="D784" s="405"/>
      <c r="E784" s="405"/>
      <c r="F784" s="405"/>
      <c r="G784" s="405"/>
      <c r="H784" s="406"/>
      <c r="I784" s="407"/>
      <c r="J784" s="408"/>
      <c r="K784" s="409"/>
      <c r="L784" s="410"/>
      <c r="M784" s="404"/>
      <c r="N784" s="411" t="str">
        <f>IF($AI784&lt;&gt;"",Master!$N$37,IF($AC784&lt;&gt;"",Master!$N$38,IF($S784&lt;&gt;"",Master!$N$39,IF($C784&lt;&gt;"",Master!$N$40,Master!$N$41))))</f>
        <v>起票</v>
      </c>
      <c r="O784" s="412" t="str">
        <f>IF($N784=Master!$N$37,MAX($S784,$AC784,$AI784),"")</f>
        <v/>
      </c>
      <c r="P784" s="413"/>
      <c r="Q784" s="414"/>
      <c r="R784" s="409"/>
      <c r="S784" s="404"/>
      <c r="T784" s="418"/>
      <c r="U784" s="415"/>
      <c r="V784" s="409"/>
      <c r="W784" s="419"/>
      <c r="X784" s="419"/>
      <c r="Y784" s="416"/>
      <c r="Z784" s="417"/>
      <c r="AA784" s="418"/>
      <c r="AB784" s="419"/>
      <c r="AC784" s="404"/>
      <c r="AD784" s="404"/>
      <c r="AE784" s="420"/>
      <c r="AF784" s="421"/>
      <c r="AG784" s="418"/>
      <c r="AH784" s="409"/>
      <c r="AI784" s="404"/>
      <c r="AJ784" s="416"/>
      <c r="AK784" s="453"/>
      <c r="AL784" s="422"/>
      <c r="AM784" s="423"/>
      <c r="AO784" s="137" t="e">
        <f t="shared" si="91"/>
        <v>#N/A</v>
      </c>
      <c r="AP784" s="138" t="e">
        <f t="shared" si="92"/>
        <v>#N/A</v>
      </c>
      <c r="AQ784" s="138" t="e">
        <f t="shared" si="93"/>
        <v>#N/A</v>
      </c>
      <c r="AR784" s="138" t="e">
        <f t="shared" si="94"/>
        <v>#N/A</v>
      </c>
      <c r="AS784" s="138" t="e">
        <f t="shared" si="95"/>
        <v>#N/A</v>
      </c>
      <c r="AT784" s="139" t="e">
        <f t="shared" si="96"/>
        <v>#N/A</v>
      </c>
    </row>
    <row r="785" spans="1:46" ht="54" customHeight="1">
      <c r="A785" s="428">
        <f t="shared" si="97"/>
        <v>777</v>
      </c>
      <c r="B785" s="294"/>
      <c r="C785" s="201"/>
      <c r="D785" s="290"/>
      <c r="E785" s="301"/>
      <c r="F785" s="301"/>
      <c r="G785" s="290"/>
      <c r="H785" s="291"/>
      <c r="I785" s="292"/>
      <c r="J785" s="61"/>
      <c r="K785" s="57"/>
      <c r="L785" s="303"/>
      <c r="M785" s="201"/>
      <c r="N785" s="84" t="str">
        <f>IF($AI785&lt;&gt;"",Master!$N$37,IF($AC785&lt;&gt;"",Master!$N$38,IF($S785&lt;&gt;"",Master!$N$39,IF($C785&lt;&gt;"",Master!$N$40,Master!$N$41))))</f>
        <v>起票</v>
      </c>
      <c r="O785" s="202" t="str">
        <f>IF($N785=Master!$N$37,MAX($S785,$AC785,$AI785),"")</f>
        <v/>
      </c>
      <c r="P785" s="65"/>
      <c r="Q785" s="203"/>
      <c r="R785" s="57"/>
      <c r="S785" s="203"/>
      <c r="T785" s="310"/>
      <c r="U785" s="289"/>
      <c r="V785" s="57"/>
      <c r="W785" s="288"/>
      <c r="X785" s="288"/>
      <c r="Y785" s="296"/>
      <c r="Z785" s="57"/>
      <c r="AA785" s="203"/>
      <c r="AB785" s="288"/>
      <c r="AC785" s="201"/>
      <c r="AD785" s="298"/>
      <c r="AE785" s="297"/>
      <c r="AF785" s="58"/>
      <c r="AG785" s="204"/>
      <c r="AH785" s="57"/>
      <c r="AI785" s="201"/>
      <c r="AJ785" s="287"/>
      <c r="AK785" s="452"/>
      <c r="AL785" s="59"/>
      <c r="AM785" s="60"/>
      <c r="AO785" s="137" t="e">
        <f t="shared" si="91"/>
        <v>#N/A</v>
      </c>
      <c r="AP785" s="138" t="e">
        <f t="shared" si="92"/>
        <v>#N/A</v>
      </c>
      <c r="AQ785" s="138" t="e">
        <f t="shared" si="93"/>
        <v>#N/A</v>
      </c>
      <c r="AR785" s="138" t="e">
        <f t="shared" si="94"/>
        <v>#N/A</v>
      </c>
      <c r="AS785" s="138" t="e">
        <f t="shared" si="95"/>
        <v>#N/A</v>
      </c>
      <c r="AT785" s="139" t="e">
        <f t="shared" si="96"/>
        <v>#N/A</v>
      </c>
    </row>
    <row r="786" spans="1:46" ht="54" customHeight="1">
      <c r="A786" s="428">
        <f t="shared" si="97"/>
        <v>778</v>
      </c>
      <c r="B786" s="294"/>
      <c r="C786" s="201"/>
      <c r="D786" s="290"/>
      <c r="E786" s="301"/>
      <c r="F786" s="301"/>
      <c r="G786" s="290"/>
      <c r="H786" s="291"/>
      <c r="I786" s="292"/>
      <c r="J786" s="61"/>
      <c r="K786" s="57"/>
      <c r="L786" s="303"/>
      <c r="M786" s="201"/>
      <c r="N786" s="84" t="str">
        <f>IF($AI786&lt;&gt;"",Master!$N$37,IF($AC786&lt;&gt;"",Master!$N$38,IF($S786&lt;&gt;"",Master!$N$39,IF($C786&lt;&gt;"",Master!$N$40,Master!$N$41))))</f>
        <v>起票</v>
      </c>
      <c r="O786" s="202" t="str">
        <f>IF($N786=Master!$N$37,MAX($S786,$AC786,$AI786),"")</f>
        <v/>
      </c>
      <c r="P786" s="65"/>
      <c r="Q786" s="203"/>
      <c r="R786" s="57"/>
      <c r="S786" s="203"/>
      <c r="T786" s="310"/>
      <c r="U786" s="289"/>
      <c r="V786" s="57"/>
      <c r="W786" s="288"/>
      <c r="X786" s="288"/>
      <c r="Y786" s="296"/>
      <c r="Z786" s="57"/>
      <c r="AA786" s="203"/>
      <c r="AB786" s="288"/>
      <c r="AC786" s="201"/>
      <c r="AD786" s="298"/>
      <c r="AE786" s="297"/>
      <c r="AF786" s="58"/>
      <c r="AG786" s="204"/>
      <c r="AH786" s="57"/>
      <c r="AI786" s="201"/>
      <c r="AJ786" s="287"/>
      <c r="AK786" s="452"/>
      <c r="AL786" s="59"/>
      <c r="AM786" s="60"/>
      <c r="AO786" s="137" t="e">
        <f t="shared" si="91"/>
        <v>#N/A</v>
      </c>
      <c r="AP786" s="138" t="e">
        <f t="shared" si="92"/>
        <v>#N/A</v>
      </c>
      <c r="AQ786" s="138" t="e">
        <f t="shared" si="93"/>
        <v>#N/A</v>
      </c>
      <c r="AR786" s="138" t="e">
        <f t="shared" si="94"/>
        <v>#N/A</v>
      </c>
      <c r="AS786" s="138" t="e">
        <f t="shared" si="95"/>
        <v>#N/A</v>
      </c>
      <c r="AT786" s="139" t="e">
        <f t="shared" si="96"/>
        <v>#N/A</v>
      </c>
    </row>
    <row r="787" spans="1:46" ht="54" customHeight="1">
      <c r="A787" s="428">
        <f t="shared" si="97"/>
        <v>779</v>
      </c>
      <c r="B787" s="403"/>
      <c r="C787" s="404"/>
      <c r="D787" s="405"/>
      <c r="E787" s="405"/>
      <c r="F787" s="405"/>
      <c r="G787" s="405"/>
      <c r="H787" s="406"/>
      <c r="I787" s="407"/>
      <c r="J787" s="408"/>
      <c r="K787" s="409"/>
      <c r="L787" s="410"/>
      <c r="M787" s="404"/>
      <c r="N787" s="411" t="str">
        <f>IF($AI787&lt;&gt;"",Master!$N$37,IF($AC787&lt;&gt;"",Master!$N$38,IF($S787&lt;&gt;"",Master!$N$39,IF($C787&lt;&gt;"",Master!$N$40,Master!$N$41))))</f>
        <v>起票</v>
      </c>
      <c r="O787" s="412" t="str">
        <f>IF($N787=Master!$N$37,MAX($S787,$AC787,$AI787),"")</f>
        <v/>
      </c>
      <c r="P787" s="413"/>
      <c r="Q787" s="414"/>
      <c r="R787" s="409"/>
      <c r="S787" s="404"/>
      <c r="T787" s="418"/>
      <c r="U787" s="415"/>
      <c r="V787" s="409"/>
      <c r="W787" s="419"/>
      <c r="X787" s="419"/>
      <c r="Y787" s="416"/>
      <c r="Z787" s="417"/>
      <c r="AA787" s="418"/>
      <c r="AB787" s="419"/>
      <c r="AC787" s="404"/>
      <c r="AD787" s="404"/>
      <c r="AE787" s="420"/>
      <c r="AF787" s="421"/>
      <c r="AG787" s="418"/>
      <c r="AH787" s="409"/>
      <c r="AI787" s="404"/>
      <c r="AJ787" s="416"/>
      <c r="AK787" s="453"/>
      <c r="AL787" s="422"/>
      <c r="AM787" s="423"/>
      <c r="AO787" s="137" t="e">
        <f t="shared" si="91"/>
        <v>#N/A</v>
      </c>
      <c r="AP787" s="138" t="e">
        <f t="shared" si="92"/>
        <v>#N/A</v>
      </c>
      <c r="AQ787" s="138" t="e">
        <f t="shared" si="93"/>
        <v>#N/A</v>
      </c>
      <c r="AR787" s="138" t="e">
        <f t="shared" si="94"/>
        <v>#N/A</v>
      </c>
      <c r="AS787" s="138" t="e">
        <f t="shared" si="95"/>
        <v>#N/A</v>
      </c>
      <c r="AT787" s="139" t="e">
        <f t="shared" si="96"/>
        <v>#N/A</v>
      </c>
    </row>
    <row r="788" spans="1:46" ht="54" customHeight="1">
      <c r="A788" s="428">
        <f t="shared" si="97"/>
        <v>780</v>
      </c>
      <c r="B788" s="403"/>
      <c r="C788" s="404"/>
      <c r="D788" s="405"/>
      <c r="E788" s="405"/>
      <c r="F788" s="405"/>
      <c r="G788" s="405"/>
      <c r="H788" s="406"/>
      <c r="I788" s="407"/>
      <c r="J788" s="408"/>
      <c r="K788" s="409"/>
      <c r="L788" s="410"/>
      <c r="M788" s="404"/>
      <c r="N788" s="411" t="str">
        <f>IF($AI788&lt;&gt;"",Master!$N$37,IF($AC788&lt;&gt;"",Master!$N$38,IF($S788&lt;&gt;"",Master!$N$39,IF($C788&lt;&gt;"",Master!$N$40,Master!$N$41))))</f>
        <v>起票</v>
      </c>
      <c r="O788" s="412" t="str">
        <f>IF($N788=Master!$N$37,MAX($S788,$AC788,$AI788),"")</f>
        <v/>
      </c>
      <c r="P788" s="413"/>
      <c r="Q788" s="414"/>
      <c r="R788" s="409"/>
      <c r="S788" s="404"/>
      <c r="T788" s="418"/>
      <c r="U788" s="415"/>
      <c r="V788" s="409"/>
      <c r="W788" s="419"/>
      <c r="X788" s="419"/>
      <c r="Y788" s="416"/>
      <c r="Z788" s="417"/>
      <c r="AA788" s="418"/>
      <c r="AB788" s="419"/>
      <c r="AC788" s="404"/>
      <c r="AD788" s="404"/>
      <c r="AE788" s="420"/>
      <c r="AF788" s="421"/>
      <c r="AG788" s="418"/>
      <c r="AH788" s="409"/>
      <c r="AI788" s="404"/>
      <c r="AJ788" s="416"/>
      <c r="AK788" s="453"/>
      <c r="AL788" s="422"/>
      <c r="AM788" s="423"/>
      <c r="AO788" s="137" t="e">
        <f t="shared" si="91"/>
        <v>#N/A</v>
      </c>
      <c r="AP788" s="138" t="e">
        <f t="shared" si="92"/>
        <v>#N/A</v>
      </c>
      <c r="AQ788" s="138" t="e">
        <f t="shared" si="93"/>
        <v>#N/A</v>
      </c>
      <c r="AR788" s="138" t="e">
        <f t="shared" si="94"/>
        <v>#N/A</v>
      </c>
      <c r="AS788" s="138" t="e">
        <f t="shared" si="95"/>
        <v>#N/A</v>
      </c>
      <c r="AT788" s="139" t="e">
        <f t="shared" si="96"/>
        <v>#N/A</v>
      </c>
    </row>
    <row r="789" spans="1:46" ht="54" customHeight="1">
      <c r="A789" s="428">
        <f t="shared" si="97"/>
        <v>781</v>
      </c>
      <c r="B789" s="403"/>
      <c r="C789" s="404"/>
      <c r="D789" s="405"/>
      <c r="E789" s="405"/>
      <c r="F789" s="405"/>
      <c r="G789" s="405"/>
      <c r="H789" s="406"/>
      <c r="I789" s="407"/>
      <c r="J789" s="408"/>
      <c r="K789" s="409"/>
      <c r="L789" s="410"/>
      <c r="M789" s="404"/>
      <c r="N789" s="411" t="str">
        <f>IF($AI789&lt;&gt;"",Master!$N$37,IF($AC789&lt;&gt;"",Master!$N$38,IF($S789&lt;&gt;"",Master!$N$39,IF($C789&lt;&gt;"",Master!$N$40,Master!$N$41))))</f>
        <v>起票</v>
      </c>
      <c r="O789" s="412" t="str">
        <f>IF($N789=Master!$N$37,MAX($S789,$AC789,$AI789),"")</f>
        <v/>
      </c>
      <c r="P789" s="413"/>
      <c r="Q789" s="414"/>
      <c r="R789" s="409"/>
      <c r="S789" s="404"/>
      <c r="T789" s="418"/>
      <c r="U789" s="415"/>
      <c r="V789" s="409"/>
      <c r="W789" s="419"/>
      <c r="X789" s="419"/>
      <c r="Y789" s="416"/>
      <c r="Z789" s="417"/>
      <c r="AA789" s="418"/>
      <c r="AB789" s="419"/>
      <c r="AC789" s="404"/>
      <c r="AD789" s="404"/>
      <c r="AE789" s="420"/>
      <c r="AF789" s="421"/>
      <c r="AG789" s="418"/>
      <c r="AH789" s="409"/>
      <c r="AI789" s="404"/>
      <c r="AJ789" s="416"/>
      <c r="AK789" s="453"/>
      <c r="AL789" s="422"/>
      <c r="AM789" s="423"/>
      <c r="AO789" s="137" t="e">
        <f t="shared" si="91"/>
        <v>#N/A</v>
      </c>
      <c r="AP789" s="138" t="e">
        <f t="shared" si="92"/>
        <v>#N/A</v>
      </c>
      <c r="AQ789" s="138" t="e">
        <f t="shared" si="93"/>
        <v>#N/A</v>
      </c>
      <c r="AR789" s="138" t="e">
        <f t="shared" si="94"/>
        <v>#N/A</v>
      </c>
      <c r="AS789" s="138" t="e">
        <f t="shared" si="95"/>
        <v>#N/A</v>
      </c>
      <c r="AT789" s="139" t="e">
        <f t="shared" si="96"/>
        <v>#N/A</v>
      </c>
    </row>
    <row r="790" spans="1:46" ht="54" customHeight="1">
      <c r="A790" s="428">
        <f t="shared" si="97"/>
        <v>782</v>
      </c>
      <c r="B790" s="294"/>
      <c r="C790" s="201"/>
      <c r="D790" s="290"/>
      <c r="E790" s="301"/>
      <c r="F790" s="301"/>
      <c r="G790" s="290"/>
      <c r="H790" s="291"/>
      <c r="I790" s="292"/>
      <c r="J790" s="61"/>
      <c r="K790" s="57"/>
      <c r="L790" s="303"/>
      <c r="M790" s="201"/>
      <c r="N790" s="84" t="str">
        <f>IF($AI790&lt;&gt;"",Master!$N$37,IF($AC790&lt;&gt;"",Master!$N$38,IF($S790&lt;&gt;"",Master!$N$39,IF($C790&lt;&gt;"",Master!$N$40,Master!$N$41))))</f>
        <v>起票</v>
      </c>
      <c r="O790" s="202" t="str">
        <f>IF($N790=Master!$N$37,MAX($S790,$AC790,$AI790),"")</f>
        <v/>
      </c>
      <c r="P790" s="65"/>
      <c r="Q790" s="203"/>
      <c r="R790" s="57"/>
      <c r="S790" s="203"/>
      <c r="T790" s="310"/>
      <c r="U790" s="289"/>
      <c r="V790" s="57"/>
      <c r="W790" s="288"/>
      <c r="X790" s="288"/>
      <c r="Y790" s="296"/>
      <c r="Z790" s="57"/>
      <c r="AA790" s="203"/>
      <c r="AB790" s="288"/>
      <c r="AC790" s="201"/>
      <c r="AD790" s="298"/>
      <c r="AE790" s="297"/>
      <c r="AF790" s="58"/>
      <c r="AG790" s="204"/>
      <c r="AH790" s="57"/>
      <c r="AI790" s="201"/>
      <c r="AJ790" s="287"/>
      <c r="AK790" s="452"/>
      <c r="AL790" s="59"/>
      <c r="AM790" s="60"/>
      <c r="AO790" s="137" t="e">
        <f t="shared" si="91"/>
        <v>#N/A</v>
      </c>
      <c r="AP790" s="138" t="e">
        <f t="shared" si="92"/>
        <v>#N/A</v>
      </c>
      <c r="AQ790" s="138" t="e">
        <f t="shared" si="93"/>
        <v>#N/A</v>
      </c>
      <c r="AR790" s="138" t="e">
        <f t="shared" si="94"/>
        <v>#N/A</v>
      </c>
      <c r="AS790" s="138" t="e">
        <f t="shared" si="95"/>
        <v>#N/A</v>
      </c>
      <c r="AT790" s="139" t="e">
        <f t="shared" si="96"/>
        <v>#N/A</v>
      </c>
    </row>
    <row r="791" spans="1:46" ht="54" customHeight="1">
      <c r="A791" s="428">
        <f t="shared" si="97"/>
        <v>783</v>
      </c>
      <c r="B791" s="294"/>
      <c r="C791" s="201"/>
      <c r="D791" s="290"/>
      <c r="E791" s="301"/>
      <c r="F791" s="301"/>
      <c r="G791" s="290"/>
      <c r="H791" s="291"/>
      <c r="I791" s="292"/>
      <c r="J791" s="61"/>
      <c r="K791" s="57"/>
      <c r="L791" s="303"/>
      <c r="M791" s="201"/>
      <c r="N791" s="84" t="str">
        <f>IF($AI791&lt;&gt;"",Master!$N$37,IF($AC791&lt;&gt;"",Master!$N$38,IF($S791&lt;&gt;"",Master!$N$39,IF($C791&lt;&gt;"",Master!$N$40,Master!$N$41))))</f>
        <v>起票</v>
      </c>
      <c r="O791" s="202" t="str">
        <f>IF($N791=Master!$N$37,MAX($S791,$AC791,$AI791),"")</f>
        <v/>
      </c>
      <c r="P791" s="65"/>
      <c r="Q791" s="203"/>
      <c r="R791" s="57"/>
      <c r="S791" s="203"/>
      <c r="T791" s="310"/>
      <c r="U791" s="289"/>
      <c r="V791" s="57"/>
      <c r="W791" s="288"/>
      <c r="X791" s="288"/>
      <c r="Y791" s="296"/>
      <c r="Z791" s="57"/>
      <c r="AA791" s="203"/>
      <c r="AB791" s="288"/>
      <c r="AC791" s="201"/>
      <c r="AD791" s="298"/>
      <c r="AE791" s="297"/>
      <c r="AF791" s="58"/>
      <c r="AG791" s="204"/>
      <c r="AH791" s="57"/>
      <c r="AI791" s="201"/>
      <c r="AJ791" s="287"/>
      <c r="AK791" s="452"/>
      <c r="AL791" s="59"/>
      <c r="AM791" s="60"/>
      <c r="AO791" s="137" t="e">
        <f t="shared" si="91"/>
        <v>#N/A</v>
      </c>
      <c r="AP791" s="138" t="e">
        <f t="shared" si="92"/>
        <v>#N/A</v>
      </c>
      <c r="AQ791" s="138" t="e">
        <f t="shared" si="93"/>
        <v>#N/A</v>
      </c>
      <c r="AR791" s="138" t="e">
        <f t="shared" si="94"/>
        <v>#N/A</v>
      </c>
      <c r="AS791" s="138" t="e">
        <f t="shared" si="95"/>
        <v>#N/A</v>
      </c>
      <c r="AT791" s="139" t="e">
        <f t="shared" si="96"/>
        <v>#N/A</v>
      </c>
    </row>
    <row r="792" spans="1:46" ht="54" customHeight="1">
      <c r="A792" s="428">
        <f t="shared" si="97"/>
        <v>784</v>
      </c>
      <c r="B792" s="403"/>
      <c r="C792" s="404"/>
      <c r="D792" s="405"/>
      <c r="E792" s="405"/>
      <c r="F792" s="405"/>
      <c r="G792" s="405"/>
      <c r="H792" s="406"/>
      <c r="I792" s="407"/>
      <c r="J792" s="408"/>
      <c r="K792" s="409"/>
      <c r="L792" s="410"/>
      <c r="M792" s="404"/>
      <c r="N792" s="411" t="str">
        <f>IF($AI792&lt;&gt;"",Master!$N$37,IF($AC792&lt;&gt;"",Master!$N$38,IF($S792&lt;&gt;"",Master!$N$39,IF($C792&lt;&gt;"",Master!$N$40,Master!$N$41))))</f>
        <v>起票</v>
      </c>
      <c r="O792" s="412" t="str">
        <f>IF($N792=Master!$N$37,MAX($S792,$AC792,$AI792),"")</f>
        <v/>
      </c>
      <c r="P792" s="413"/>
      <c r="Q792" s="414"/>
      <c r="R792" s="409"/>
      <c r="S792" s="404"/>
      <c r="T792" s="418"/>
      <c r="U792" s="415"/>
      <c r="V792" s="409"/>
      <c r="W792" s="419"/>
      <c r="X792" s="419"/>
      <c r="Y792" s="416"/>
      <c r="Z792" s="417"/>
      <c r="AA792" s="418"/>
      <c r="AB792" s="419"/>
      <c r="AC792" s="404"/>
      <c r="AD792" s="404"/>
      <c r="AE792" s="420"/>
      <c r="AF792" s="421"/>
      <c r="AG792" s="418"/>
      <c r="AH792" s="409"/>
      <c r="AI792" s="404"/>
      <c r="AJ792" s="416"/>
      <c r="AK792" s="453"/>
      <c r="AL792" s="422"/>
      <c r="AM792" s="423"/>
      <c r="AO792" s="137" t="e">
        <f t="shared" si="91"/>
        <v>#N/A</v>
      </c>
      <c r="AP792" s="138" t="e">
        <f t="shared" si="92"/>
        <v>#N/A</v>
      </c>
      <c r="AQ792" s="138" t="e">
        <f t="shared" si="93"/>
        <v>#N/A</v>
      </c>
      <c r="AR792" s="138" t="e">
        <f t="shared" si="94"/>
        <v>#N/A</v>
      </c>
      <c r="AS792" s="138" t="e">
        <f t="shared" si="95"/>
        <v>#N/A</v>
      </c>
      <c r="AT792" s="139" t="e">
        <f t="shared" si="96"/>
        <v>#N/A</v>
      </c>
    </row>
    <row r="793" spans="1:46" ht="54" customHeight="1">
      <c r="A793" s="428">
        <f t="shared" si="97"/>
        <v>785</v>
      </c>
      <c r="B793" s="403"/>
      <c r="C793" s="404"/>
      <c r="D793" s="405"/>
      <c r="E793" s="405"/>
      <c r="F793" s="405"/>
      <c r="G793" s="405"/>
      <c r="H793" s="406"/>
      <c r="I793" s="407"/>
      <c r="J793" s="408"/>
      <c r="K793" s="409"/>
      <c r="L793" s="410"/>
      <c r="M793" s="404"/>
      <c r="N793" s="411" t="str">
        <f>IF($AI793&lt;&gt;"",Master!$N$37,IF($AC793&lt;&gt;"",Master!$N$38,IF($S793&lt;&gt;"",Master!$N$39,IF($C793&lt;&gt;"",Master!$N$40,Master!$N$41))))</f>
        <v>起票</v>
      </c>
      <c r="O793" s="412" t="str">
        <f>IF($N793=Master!$N$37,MAX($S793,$AC793,$AI793),"")</f>
        <v/>
      </c>
      <c r="P793" s="413"/>
      <c r="Q793" s="414"/>
      <c r="R793" s="409"/>
      <c r="S793" s="404"/>
      <c r="T793" s="418"/>
      <c r="U793" s="415"/>
      <c r="V793" s="409"/>
      <c r="W793" s="419"/>
      <c r="X793" s="419"/>
      <c r="Y793" s="416"/>
      <c r="Z793" s="417"/>
      <c r="AA793" s="418"/>
      <c r="AB793" s="419"/>
      <c r="AC793" s="404"/>
      <c r="AD793" s="404"/>
      <c r="AE793" s="420"/>
      <c r="AF793" s="421"/>
      <c r="AG793" s="418"/>
      <c r="AH793" s="409"/>
      <c r="AI793" s="404"/>
      <c r="AJ793" s="416"/>
      <c r="AK793" s="453"/>
      <c r="AL793" s="422"/>
      <c r="AM793" s="423"/>
      <c r="AO793" s="137" t="e">
        <f t="shared" si="91"/>
        <v>#N/A</v>
      </c>
      <c r="AP793" s="138" t="e">
        <f t="shared" si="92"/>
        <v>#N/A</v>
      </c>
      <c r="AQ793" s="138" t="e">
        <f t="shared" si="93"/>
        <v>#N/A</v>
      </c>
      <c r="AR793" s="138" t="e">
        <f t="shared" si="94"/>
        <v>#N/A</v>
      </c>
      <c r="AS793" s="138" t="e">
        <f t="shared" si="95"/>
        <v>#N/A</v>
      </c>
      <c r="AT793" s="139" t="e">
        <f t="shared" si="96"/>
        <v>#N/A</v>
      </c>
    </row>
    <row r="794" spans="1:46" ht="54" customHeight="1">
      <c r="A794" s="428">
        <f t="shared" si="97"/>
        <v>786</v>
      </c>
      <c r="B794" s="403"/>
      <c r="C794" s="404"/>
      <c r="D794" s="405"/>
      <c r="E794" s="405"/>
      <c r="F794" s="405"/>
      <c r="G794" s="405"/>
      <c r="H794" s="406"/>
      <c r="I794" s="407"/>
      <c r="J794" s="408"/>
      <c r="K794" s="409"/>
      <c r="L794" s="410"/>
      <c r="M794" s="404"/>
      <c r="N794" s="411" t="str">
        <f>IF($AI794&lt;&gt;"",Master!$N$37,IF($AC794&lt;&gt;"",Master!$N$38,IF($S794&lt;&gt;"",Master!$N$39,IF($C794&lt;&gt;"",Master!$N$40,Master!$N$41))))</f>
        <v>起票</v>
      </c>
      <c r="O794" s="412" t="str">
        <f>IF($N794=Master!$N$37,MAX($S794,$AC794,$AI794),"")</f>
        <v/>
      </c>
      <c r="P794" s="413"/>
      <c r="Q794" s="414"/>
      <c r="R794" s="409"/>
      <c r="S794" s="404"/>
      <c r="T794" s="418"/>
      <c r="U794" s="415"/>
      <c r="V794" s="409"/>
      <c r="W794" s="419"/>
      <c r="X794" s="419"/>
      <c r="Y794" s="416"/>
      <c r="Z794" s="417"/>
      <c r="AA794" s="418"/>
      <c r="AB794" s="419"/>
      <c r="AC794" s="404"/>
      <c r="AD794" s="404"/>
      <c r="AE794" s="420"/>
      <c r="AF794" s="421"/>
      <c r="AG794" s="418"/>
      <c r="AH794" s="409"/>
      <c r="AI794" s="404"/>
      <c r="AJ794" s="416"/>
      <c r="AK794" s="453"/>
      <c r="AL794" s="422"/>
      <c r="AM794" s="423"/>
      <c r="AO794" s="137" t="e">
        <f t="shared" si="91"/>
        <v>#N/A</v>
      </c>
      <c r="AP794" s="138" t="e">
        <f t="shared" si="92"/>
        <v>#N/A</v>
      </c>
      <c r="AQ794" s="138" t="e">
        <f t="shared" si="93"/>
        <v>#N/A</v>
      </c>
      <c r="AR794" s="138" t="e">
        <f t="shared" si="94"/>
        <v>#N/A</v>
      </c>
      <c r="AS794" s="138" t="e">
        <f t="shared" si="95"/>
        <v>#N/A</v>
      </c>
      <c r="AT794" s="139" t="e">
        <f t="shared" si="96"/>
        <v>#N/A</v>
      </c>
    </row>
    <row r="795" spans="1:46" ht="54" customHeight="1">
      <c r="A795" s="428">
        <f t="shared" si="97"/>
        <v>787</v>
      </c>
      <c r="B795" s="294"/>
      <c r="C795" s="201"/>
      <c r="D795" s="290"/>
      <c r="E795" s="301"/>
      <c r="F795" s="301"/>
      <c r="G795" s="290"/>
      <c r="H795" s="291"/>
      <c r="I795" s="292"/>
      <c r="J795" s="61"/>
      <c r="K795" s="57"/>
      <c r="L795" s="303"/>
      <c r="M795" s="201"/>
      <c r="N795" s="84" t="str">
        <f>IF($AI795&lt;&gt;"",Master!$N$37,IF($AC795&lt;&gt;"",Master!$N$38,IF($S795&lt;&gt;"",Master!$N$39,IF($C795&lt;&gt;"",Master!$N$40,Master!$N$41))))</f>
        <v>起票</v>
      </c>
      <c r="O795" s="202" t="str">
        <f>IF($N795=Master!$N$37,MAX($S795,$AC795,$AI795),"")</f>
        <v/>
      </c>
      <c r="P795" s="65"/>
      <c r="Q795" s="203"/>
      <c r="R795" s="57"/>
      <c r="S795" s="203"/>
      <c r="T795" s="310"/>
      <c r="U795" s="289"/>
      <c r="V795" s="57"/>
      <c r="W795" s="288"/>
      <c r="X795" s="288"/>
      <c r="Y795" s="296"/>
      <c r="Z795" s="57"/>
      <c r="AA795" s="203"/>
      <c r="AB795" s="288"/>
      <c r="AC795" s="201"/>
      <c r="AD795" s="298"/>
      <c r="AE795" s="297"/>
      <c r="AF795" s="58"/>
      <c r="AG795" s="204"/>
      <c r="AH795" s="57"/>
      <c r="AI795" s="201"/>
      <c r="AJ795" s="287"/>
      <c r="AK795" s="452"/>
      <c r="AL795" s="59"/>
      <c r="AM795" s="60"/>
      <c r="AO795" s="137" t="e">
        <f t="shared" si="91"/>
        <v>#N/A</v>
      </c>
      <c r="AP795" s="138" t="e">
        <f t="shared" si="92"/>
        <v>#N/A</v>
      </c>
      <c r="AQ795" s="138" t="e">
        <f t="shared" si="93"/>
        <v>#N/A</v>
      </c>
      <c r="AR795" s="138" t="e">
        <f t="shared" si="94"/>
        <v>#N/A</v>
      </c>
      <c r="AS795" s="138" t="e">
        <f t="shared" si="95"/>
        <v>#N/A</v>
      </c>
      <c r="AT795" s="139" t="e">
        <f t="shared" si="96"/>
        <v>#N/A</v>
      </c>
    </row>
    <row r="796" spans="1:46" ht="54" customHeight="1">
      <c r="A796" s="428">
        <f t="shared" si="97"/>
        <v>788</v>
      </c>
      <c r="B796" s="294"/>
      <c r="C796" s="201"/>
      <c r="D796" s="290"/>
      <c r="E796" s="301"/>
      <c r="F796" s="301"/>
      <c r="G796" s="290"/>
      <c r="H796" s="291"/>
      <c r="I796" s="292"/>
      <c r="J796" s="61"/>
      <c r="K796" s="57"/>
      <c r="L796" s="303"/>
      <c r="M796" s="201"/>
      <c r="N796" s="84" t="str">
        <f>IF($AI796&lt;&gt;"",Master!$N$37,IF($AC796&lt;&gt;"",Master!$N$38,IF($S796&lt;&gt;"",Master!$N$39,IF($C796&lt;&gt;"",Master!$N$40,Master!$N$41))))</f>
        <v>起票</v>
      </c>
      <c r="O796" s="202" t="str">
        <f>IF($N796=Master!$N$37,MAX($S796,$AC796,$AI796),"")</f>
        <v/>
      </c>
      <c r="P796" s="65"/>
      <c r="Q796" s="203"/>
      <c r="R796" s="57"/>
      <c r="S796" s="203"/>
      <c r="T796" s="310"/>
      <c r="U796" s="289"/>
      <c r="V796" s="57"/>
      <c r="W796" s="288"/>
      <c r="X796" s="288"/>
      <c r="Y796" s="296"/>
      <c r="Z796" s="57"/>
      <c r="AA796" s="203"/>
      <c r="AB796" s="288"/>
      <c r="AC796" s="201"/>
      <c r="AD796" s="298"/>
      <c r="AE796" s="297"/>
      <c r="AF796" s="58"/>
      <c r="AG796" s="204"/>
      <c r="AH796" s="57"/>
      <c r="AI796" s="201"/>
      <c r="AJ796" s="287"/>
      <c r="AK796" s="452"/>
      <c r="AL796" s="59"/>
      <c r="AM796" s="60"/>
      <c r="AO796" s="137" t="e">
        <f t="shared" si="91"/>
        <v>#N/A</v>
      </c>
      <c r="AP796" s="138" t="e">
        <f t="shared" si="92"/>
        <v>#N/A</v>
      </c>
      <c r="AQ796" s="138" t="e">
        <f t="shared" si="93"/>
        <v>#N/A</v>
      </c>
      <c r="AR796" s="138" t="e">
        <f t="shared" si="94"/>
        <v>#N/A</v>
      </c>
      <c r="AS796" s="138" t="e">
        <f t="shared" si="95"/>
        <v>#N/A</v>
      </c>
      <c r="AT796" s="139" t="e">
        <f t="shared" si="96"/>
        <v>#N/A</v>
      </c>
    </row>
    <row r="797" spans="1:46" ht="54" customHeight="1">
      <c r="A797" s="428">
        <f t="shared" si="97"/>
        <v>789</v>
      </c>
      <c r="B797" s="403"/>
      <c r="C797" s="404"/>
      <c r="D797" s="405"/>
      <c r="E797" s="405"/>
      <c r="F797" s="405"/>
      <c r="G797" s="405"/>
      <c r="H797" s="406"/>
      <c r="I797" s="407"/>
      <c r="J797" s="408"/>
      <c r="K797" s="409"/>
      <c r="L797" s="410"/>
      <c r="M797" s="404"/>
      <c r="N797" s="411" t="str">
        <f>IF($AI797&lt;&gt;"",Master!$N$37,IF($AC797&lt;&gt;"",Master!$N$38,IF($S797&lt;&gt;"",Master!$N$39,IF($C797&lt;&gt;"",Master!$N$40,Master!$N$41))))</f>
        <v>起票</v>
      </c>
      <c r="O797" s="412" t="str">
        <f>IF($N797=Master!$N$37,MAX($S797,$AC797,$AI797),"")</f>
        <v/>
      </c>
      <c r="P797" s="413"/>
      <c r="Q797" s="414"/>
      <c r="R797" s="409"/>
      <c r="S797" s="404"/>
      <c r="T797" s="418"/>
      <c r="U797" s="415"/>
      <c r="V797" s="409"/>
      <c r="W797" s="419"/>
      <c r="X797" s="419"/>
      <c r="Y797" s="416"/>
      <c r="Z797" s="417"/>
      <c r="AA797" s="418"/>
      <c r="AB797" s="419"/>
      <c r="AC797" s="404"/>
      <c r="AD797" s="404"/>
      <c r="AE797" s="420"/>
      <c r="AF797" s="421"/>
      <c r="AG797" s="418"/>
      <c r="AH797" s="409"/>
      <c r="AI797" s="404"/>
      <c r="AJ797" s="416"/>
      <c r="AK797" s="453"/>
      <c r="AL797" s="422"/>
      <c r="AM797" s="423"/>
      <c r="AO797" s="137" t="e">
        <f t="shared" si="91"/>
        <v>#N/A</v>
      </c>
      <c r="AP797" s="138" t="e">
        <f t="shared" si="92"/>
        <v>#N/A</v>
      </c>
      <c r="AQ797" s="138" t="e">
        <f t="shared" si="93"/>
        <v>#N/A</v>
      </c>
      <c r="AR797" s="138" t="e">
        <f t="shared" si="94"/>
        <v>#N/A</v>
      </c>
      <c r="AS797" s="138" t="e">
        <f t="shared" si="95"/>
        <v>#N/A</v>
      </c>
      <c r="AT797" s="139" t="e">
        <f t="shared" si="96"/>
        <v>#N/A</v>
      </c>
    </row>
    <row r="798" spans="1:46" ht="54" customHeight="1">
      <c r="A798" s="428">
        <f t="shared" si="97"/>
        <v>790</v>
      </c>
      <c r="B798" s="403"/>
      <c r="C798" s="404"/>
      <c r="D798" s="405"/>
      <c r="E798" s="405"/>
      <c r="F798" s="405"/>
      <c r="G798" s="405"/>
      <c r="H798" s="406"/>
      <c r="I798" s="407"/>
      <c r="J798" s="408"/>
      <c r="K798" s="409"/>
      <c r="L798" s="410"/>
      <c r="M798" s="404"/>
      <c r="N798" s="411" t="str">
        <f>IF($AI798&lt;&gt;"",Master!$N$37,IF($AC798&lt;&gt;"",Master!$N$38,IF($S798&lt;&gt;"",Master!$N$39,IF($C798&lt;&gt;"",Master!$N$40,Master!$N$41))))</f>
        <v>起票</v>
      </c>
      <c r="O798" s="412" t="str">
        <f>IF($N798=Master!$N$37,MAX($S798,$AC798,$AI798),"")</f>
        <v/>
      </c>
      <c r="P798" s="413"/>
      <c r="Q798" s="414"/>
      <c r="R798" s="409"/>
      <c r="S798" s="404"/>
      <c r="T798" s="418"/>
      <c r="U798" s="415"/>
      <c r="V798" s="409"/>
      <c r="W798" s="419"/>
      <c r="X798" s="419"/>
      <c r="Y798" s="416"/>
      <c r="Z798" s="417"/>
      <c r="AA798" s="418"/>
      <c r="AB798" s="419"/>
      <c r="AC798" s="404"/>
      <c r="AD798" s="404"/>
      <c r="AE798" s="420"/>
      <c r="AF798" s="421"/>
      <c r="AG798" s="418"/>
      <c r="AH798" s="409"/>
      <c r="AI798" s="404"/>
      <c r="AJ798" s="416"/>
      <c r="AK798" s="453"/>
      <c r="AL798" s="422"/>
      <c r="AM798" s="423"/>
      <c r="AO798" s="137" t="e">
        <f t="shared" si="91"/>
        <v>#N/A</v>
      </c>
      <c r="AP798" s="138" t="e">
        <f t="shared" si="92"/>
        <v>#N/A</v>
      </c>
      <c r="AQ798" s="138" t="e">
        <f t="shared" si="93"/>
        <v>#N/A</v>
      </c>
      <c r="AR798" s="138" t="e">
        <f t="shared" si="94"/>
        <v>#N/A</v>
      </c>
      <c r="AS798" s="138" t="e">
        <f t="shared" si="95"/>
        <v>#N/A</v>
      </c>
      <c r="AT798" s="139" t="e">
        <f t="shared" si="96"/>
        <v>#N/A</v>
      </c>
    </row>
    <row r="799" spans="1:46" ht="54" customHeight="1">
      <c r="A799" s="428">
        <f t="shared" si="97"/>
        <v>791</v>
      </c>
      <c r="B799" s="403"/>
      <c r="C799" s="404"/>
      <c r="D799" s="405"/>
      <c r="E799" s="405"/>
      <c r="F799" s="405"/>
      <c r="G799" s="405"/>
      <c r="H799" s="406"/>
      <c r="I799" s="407"/>
      <c r="J799" s="408"/>
      <c r="K799" s="409"/>
      <c r="L799" s="410"/>
      <c r="M799" s="404"/>
      <c r="N799" s="411" t="str">
        <f>IF($AI799&lt;&gt;"",Master!$N$37,IF($AC799&lt;&gt;"",Master!$N$38,IF($S799&lt;&gt;"",Master!$N$39,IF($C799&lt;&gt;"",Master!$N$40,Master!$N$41))))</f>
        <v>起票</v>
      </c>
      <c r="O799" s="412" t="str">
        <f>IF($N799=Master!$N$37,MAX($S799,$AC799,$AI799),"")</f>
        <v/>
      </c>
      <c r="P799" s="413"/>
      <c r="Q799" s="414"/>
      <c r="R799" s="409"/>
      <c r="S799" s="404"/>
      <c r="T799" s="418"/>
      <c r="U799" s="415"/>
      <c r="V799" s="409"/>
      <c r="W799" s="419"/>
      <c r="X799" s="419"/>
      <c r="Y799" s="416"/>
      <c r="Z799" s="417"/>
      <c r="AA799" s="418"/>
      <c r="AB799" s="419"/>
      <c r="AC799" s="404"/>
      <c r="AD799" s="404"/>
      <c r="AE799" s="420"/>
      <c r="AF799" s="421"/>
      <c r="AG799" s="418"/>
      <c r="AH799" s="409"/>
      <c r="AI799" s="404"/>
      <c r="AJ799" s="416"/>
      <c r="AK799" s="453"/>
      <c r="AL799" s="422"/>
      <c r="AM799" s="423"/>
      <c r="AO799" s="137" t="e">
        <f t="shared" si="91"/>
        <v>#N/A</v>
      </c>
      <c r="AP799" s="138" t="e">
        <f t="shared" si="92"/>
        <v>#N/A</v>
      </c>
      <c r="AQ799" s="138" t="e">
        <f t="shared" si="93"/>
        <v>#N/A</v>
      </c>
      <c r="AR799" s="138" t="e">
        <f t="shared" si="94"/>
        <v>#N/A</v>
      </c>
      <c r="AS799" s="138" t="e">
        <f t="shared" si="95"/>
        <v>#N/A</v>
      </c>
      <c r="AT799" s="139" t="e">
        <f t="shared" si="96"/>
        <v>#N/A</v>
      </c>
    </row>
    <row r="800" spans="1:46" ht="54" customHeight="1">
      <c r="A800" s="428">
        <f t="shared" si="97"/>
        <v>792</v>
      </c>
      <c r="B800" s="294"/>
      <c r="C800" s="201"/>
      <c r="D800" s="290"/>
      <c r="E800" s="301"/>
      <c r="F800" s="301"/>
      <c r="G800" s="290"/>
      <c r="H800" s="291"/>
      <c r="I800" s="292"/>
      <c r="J800" s="61"/>
      <c r="K800" s="57"/>
      <c r="L800" s="303"/>
      <c r="M800" s="201"/>
      <c r="N800" s="84" t="str">
        <f>IF($AI800&lt;&gt;"",Master!$N$37,IF($AC800&lt;&gt;"",Master!$N$38,IF($S800&lt;&gt;"",Master!$N$39,IF($C800&lt;&gt;"",Master!$N$40,Master!$N$41))))</f>
        <v>起票</v>
      </c>
      <c r="O800" s="202" t="str">
        <f>IF($N800=Master!$N$37,MAX($S800,$AC800,$AI800),"")</f>
        <v/>
      </c>
      <c r="P800" s="65"/>
      <c r="Q800" s="203"/>
      <c r="R800" s="57"/>
      <c r="S800" s="203"/>
      <c r="T800" s="310"/>
      <c r="U800" s="289"/>
      <c r="V800" s="57"/>
      <c r="W800" s="288"/>
      <c r="X800" s="288"/>
      <c r="Y800" s="296"/>
      <c r="Z800" s="57"/>
      <c r="AA800" s="203"/>
      <c r="AB800" s="288"/>
      <c r="AC800" s="201"/>
      <c r="AD800" s="298"/>
      <c r="AE800" s="297"/>
      <c r="AF800" s="58"/>
      <c r="AG800" s="204"/>
      <c r="AH800" s="57"/>
      <c r="AI800" s="201"/>
      <c r="AJ800" s="287"/>
      <c r="AK800" s="452"/>
      <c r="AL800" s="59"/>
      <c r="AM800" s="60"/>
      <c r="AO800" s="137" t="e">
        <f t="shared" si="91"/>
        <v>#N/A</v>
      </c>
      <c r="AP800" s="138" t="e">
        <f t="shared" si="92"/>
        <v>#N/A</v>
      </c>
      <c r="AQ800" s="138" t="e">
        <f t="shared" si="93"/>
        <v>#N/A</v>
      </c>
      <c r="AR800" s="138" t="e">
        <f t="shared" si="94"/>
        <v>#N/A</v>
      </c>
      <c r="AS800" s="138" t="e">
        <f t="shared" si="95"/>
        <v>#N/A</v>
      </c>
      <c r="AT800" s="139" t="e">
        <f t="shared" si="96"/>
        <v>#N/A</v>
      </c>
    </row>
    <row r="801" spans="1:46" ht="54" customHeight="1">
      <c r="A801" s="428">
        <f t="shared" si="97"/>
        <v>793</v>
      </c>
      <c r="B801" s="294"/>
      <c r="C801" s="201"/>
      <c r="D801" s="290"/>
      <c r="E801" s="301"/>
      <c r="F801" s="301"/>
      <c r="G801" s="290"/>
      <c r="H801" s="291"/>
      <c r="I801" s="292"/>
      <c r="J801" s="61"/>
      <c r="K801" s="57"/>
      <c r="L801" s="303"/>
      <c r="M801" s="201"/>
      <c r="N801" s="84" t="str">
        <f>IF($AI801&lt;&gt;"",Master!$N$37,IF($AC801&lt;&gt;"",Master!$N$38,IF($S801&lt;&gt;"",Master!$N$39,IF($C801&lt;&gt;"",Master!$N$40,Master!$N$41))))</f>
        <v>起票</v>
      </c>
      <c r="O801" s="202" t="str">
        <f>IF($N801=Master!$N$37,MAX($S801,$AC801,$AI801),"")</f>
        <v/>
      </c>
      <c r="P801" s="65"/>
      <c r="Q801" s="203"/>
      <c r="R801" s="57"/>
      <c r="S801" s="203"/>
      <c r="T801" s="310"/>
      <c r="U801" s="289"/>
      <c r="V801" s="57"/>
      <c r="W801" s="288"/>
      <c r="X801" s="288"/>
      <c r="Y801" s="296"/>
      <c r="Z801" s="57"/>
      <c r="AA801" s="203"/>
      <c r="AB801" s="288"/>
      <c r="AC801" s="201"/>
      <c r="AD801" s="298"/>
      <c r="AE801" s="297"/>
      <c r="AF801" s="58"/>
      <c r="AG801" s="204"/>
      <c r="AH801" s="57"/>
      <c r="AI801" s="201"/>
      <c r="AJ801" s="287"/>
      <c r="AK801" s="452"/>
      <c r="AL801" s="59"/>
      <c r="AM801" s="60"/>
      <c r="AO801" s="137" t="e">
        <f t="shared" si="91"/>
        <v>#N/A</v>
      </c>
      <c r="AP801" s="138" t="e">
        <f t="shared" si="92"/>
        <v>#N/A</v>
      </c>
      <c r="AQ801" s="138" t="e">
        <f t="shared" si="93"/>
        <v>#N/A</v>
      </c>
      <c r="AR801" s="138" t="e">
        <f t="shared" si="94"/>
        <v>#N/A</v>
      </c>
      <c r="AS801" s="138" t="e">
        <f t="shared" si="95"/>
        <v>#N/A</v>
      </c>
      <c r="AT801" s="139" t="e">
        <f t="shared" si="96"/>
        <v>#N/A</v>
      </c>
    </row>
    <row r="802" spans="1:46" ht="54" customHeight="1">
      <c r="A802" s="428">
        <f t="shared" si="97"/>
        <v>794</v>
      </c>
      <c r="B802" s="403"/>
      <c r="C802" s="404"/>
      <c r="D802" s="405"/>
      <c r="E802" s="405"/>
      <c r="F802" s="405"/>
      <c r="G802" s="405"/>
      <c r="H802" s="406"/>
      <c r="I802" s="407"/>
      <c r="J802" s="408"/>
      <c r="K802" s="409"/>
      <c r="L802" s="410"/>
      <c r="M802" s="404"/>
      <c r="N802" s="411" t="str">
        <f>IF($AI802&lt;&gt;"",Master!$N$37,IF($AC802&lt;&gt;"",Master!$N$38,IF($S802&lt;&gt;"",Master!$N$39,IF($C802&lt;&gt;"",Master!$N$40,Master!$N$41))))</f>
        <v>起票</v>
      </c>
      <c r="O802" s="412" t="str">
        <f>IF($N802=Master!$N$37,MAX($S802,$AC802,$AI802),"")</f>
        <v/>
      </c>
      <c r="P802" s="413"/>
      <c r="Q802" s="414"/>
      <c r="R802" s="409"/>
      <c r="S802" s="404"/>
      <c r="T802" s="418"/>
      <c r="U802" s="415"/>
      <c r="V802" s="409"/>
      <c r="W802" s="419"/>
      <c r="X802" s="419"/>
      <c r="Y802" s="416"/>
      <c r="Z802" s="417"/>
      <c r="AA802" s="418"/>
      <c r="AB802" s="419"/>
      <c r="AC802" s="404"/>
      <c r="AD802" s="404"/>
      <c r="AE802" s="420"/>
      <c r="AF802" s="421"/>
      <c r="AG802" s="418"/>
      <c r="AH802" s="409"/>
      <c r="AI802" s="404"/>
      <c r="AJ802" s="416"/>
      <c r="AK802" s="453"/>
      <c r="AL802" s="422"/>
      <c r="AM802" s="423"/>
      <c r="AO802" s="137" t="e">
        <f t="shared" si="91"/>
        <v>#N/A</v>
      </c>
      <c r="AP802" s="138" t="e">
        <f t="shared" si="92"/>
        <v>#N/A</v>
      </c>
      <c r="AQ802" s="138" t="e">
        <f t="shared" si="93"/>
        <v>#N/A</v>
      </c>
      <c r="AR802" s="138" t="e">
        <f t="shared" si="94"/>
        <v>#N/A</v>
      </c>
      <c r="AS802" s="138" t="e">
        <f t="shared" si="95"/>
        <v>#N/A</v>
      </c>
      <c r="AT802" s="139" t="e">
        <f t="shared" si="96"/>
        <v>#N/A</v>
      </c>
    </row>
    <row r="803" spans="1:46" ht="54" customHeight="1">
      <c r="A803" s="428">
        <f t="shared" si="97"/>
        <v>795</v>
      </c>
      <c r="B803" s="403"/>
      <c r="C803" s="404"/>
      <c r="D803" s="405"/>
      <c r="E803" s="405"/>
      <c r="F803" s="405"/>
      <c r="G803" s="405"/>
      <c r="H803" s="406"/>
      <c r="I803" s="407"/>
      <c r="J803" s="408"/>
      <c r="K803" s="409"/>
      <c r="L803" s="410"/>
      <c r="M803" s="404"/>
      <c r="N803" s="411" t="str">
        <f>IF($AI803&lt;&gt;"",Master!$N$37,IF($AC803&lt;&gt;"",Master!$N$38,IF($S803&lt;&gt;"",Master!$N$39,IF($C803&lt;&gt;"",Master!$N$40,Master!$N$41))))</f>
        <v>起票</v>
      </c>
      <c r="O803" s="412" t="str">
        <f>IF($N803=Master!$N$37,MAX($S803,$AC803,$AI803),"")</f>
        <v/>
      </c>
      <c r="P803" s="413"/>
      <c r="Q803" s="414"/>
      <c r="R803" s="409"/>
      <c r="S803" s="404"/>
      <c r="T803" s="418"/>
      <c r="U803" s="415"/>
      <c r="V803" s="409"/>
      <c r="W803" s="419"/>
      <c r="X803" s="419"/>
      <c r="Y803" s="416"/>
      <c r="Z803" s="417"/>
      <c r="AA803" s="418"/>
      <c r="AB803" s="419"/>
      <c r="AC803" s="404"/>
      <c r="AD803" s="404"/>
      <c r="AE803" s="420"/>
      <c r="AF803" s="421"/>
      <c r="AG803" s="418"/>
      <c r="AH803" s="409"/>
      <c r="AI803" s="404"/>
      <c r="AJ803" s="416"/>
      <c r="AK803" s="453"/>
      <c r="AL803" s="422"/>
      <c r="AM803" s="423"/>
      <c r="AO803" s="137" t="e">
        <f t="shared" si="91"/>
        <v>#N/A</v>
      </c>
      <c r="AP803" s="138" t="e">
        <f t="shared" si="92"/>
        <v>#N/A</v>
      </c>
      <c r="AQ803" s="138" t="e">
        <f t="shared" si="93"/>
        <v>#N/A</v>
      </c>
      <c r="AR803" s="138" t="e">
        <f t="shared" si="94"/>
        <v>#N/A</v>
      </c>
      <c r="AS803" s="138" t="e">
        <f t="shared" si="95"/>
        <v>#N/A</v>
      </c>
      <c r="AT803" s="139" t="e">
        <f t="shared" si="96"/>
        <v>#N/A</v>
      </c>
    </row>
    <row r="804" spans="1:46" ht="54" customHeight="1">
      <c r="A804" s="428">
        <f t="shared" si="97"/>
        <v>796</v>
      </c>
      <c r="B804" s="403"/>
      <c r="C804" s="404"/>
      <c r="D804" s="405"/>
      <c r="E804" s="405"/>
      <c r="F804" s="405"/>
      <c r="G804" s="405"/>
      <c r="H804" s="406"/>
      <c r="I804" s="407"/>
      <c r="J804" s="408"/>
      <c r="K804" s="409"/>
      <c r="L804" s="410"/>
      <c r="M804" s="404"/>
      <c r="N804" s="411" t="str">
        <f>IF($AI804&lt;&gt;"",Master!$N$37,IF($AC804&lt;&gt;"",Master!$N$38,IF($S804&lt;&gt;"",Master!$N$39,IF($C804&lt;&gt;"",Master!$N$40,Master!$N$41))))</f>
        <v>起票</v>
      </c>
      <c r="O804" s="412" t="str">
        <f>IF($N804=Master!$N$37,MAX($S804,$AC804,$AI804),"")</f>
        <v/>
      </c>
      <c r="P804" s="413"/>
      <c r="Q804" s="414"/>
      <c r="R804" s="409"/>
      <c r="S804" s="404"/>
      <c r="T804" s="418"/>
      <c r="U804" s="415"/>
      <c r="V804" s="409"/>
      <c r="W804" s="419"/>
      <c r="X804" s="419"/>
      <c r="Y804" s="416"/>
      <c r="Z804" s="417"/>
      <c r="AA804" s="418"/>
      <c r="AB804" s="419"/>
      <c r="AC804" s="404"/>
      <c r="AD804" s="404"/>
      <c r="AE804" s="420"/>
      <c r="AF804" s="421"/>
      <c r="AG804" s="418"/>
      <c r="AH804" s="409"/>
      <c r="AI804" s="404"/>
      <c r="AJ804" s="416"/>
      <c r="AK804" s="453"/>
      <c r="AL804" s="422"/>
      <c r="AM804" s="423"/>
      <c r="AO804" s="137" t="e">
        <f t="shared" si="91"/>
        <v>#N/A</v>
      </c>
      <c r="AP804" s="138" t="e">
        <f t="shared" si="92"/>
        <v>#N/A</v>
      </c>
      <c r="AQ804" s="138" t="e">
        <f t="shared" si="93"/>
        <v>#N/A</v>
      </c>
      <c r="AR804" s="138" t="e">
        <f t="shared" si="94"/>
        <v>#N/A</v>
      </c>
      <c r="AS804" s="138" t="e">
        <f t="shared" si="95"/>
        <v>#N/A</v>
      </c>
      <c r="AT804" s="139" t="e">
        <f t="shared" si="96"/>
        <v>#N/A</v>
      </c>
    </row>
    <row r="805" spans="1:46" ht="54" customHeight="1">
      <c r="A805" s="428">
        <f t="shared" si="97"/>
        <v>797</v>
      </c>
      <c r="B805" s="294"/>
      <c r="C805" s="201"/>
      <c r="D805" s="290"/>
      <c r="E805" s="301"/>
      <c r="F805" s="301"/>
      <c r="G805" s="290"/>
      <c r="H805" s="291"/>
      <c r="I805" s="292"/>
      <c r="J805" s="61"/>
      <c r="K805" s="57"/>
      <c r="L805" s="303"/>
      <c r="M805" s="201"/>
      <c r="N805" s="84" t="str">
        <f>IF($AI805&lt;&gt;"",Master!$N$37,IF($AC805&lt;&gt;"",Master!$N$38,IF($S805&lt;&gt;"",Master!$N$39,IF($C805&lt;&gt;"",Master!$N$40,Master!$N$41))))</f>
        <v>起票</v>
      </c>
      <c r="O805" s="202" t="str">
        <f>IF($N805=Master!$N$37,MAX($S805,$AC805,$AI805),"")</f>
        <v/>
      </c>
      <c r="P805" s="65"/>
      <c r="Q805" s="203"/>
      <c r="R805" s="57"/>
      <c r="S805" s="203"/>
      <c r="T805" s="310"/>
      <c r="U805" s="289"/>
      <c r="V805" s="57"/>
      <c r="W805" s="288"/>
      <c r="X805" s="288"/>
      <c r="Y805" s="296"/>
      <c r="Z805" s="57"/>
      <c r="AA805" s="203"/>
      <c r="AB805" s="288"/>
      <c r="AC805" s="201"/>
      <c r="AD805" s="298"/>
      <c r="AE805" s="297"/>
      <c r="AF805" s="58"/>
      <c r="AG805" s="204"/>
      <c r="AH805" s="57"/>
      <c r="AI805" s="201"/>
      <c r="AJ805" s="287"/>
      <c r="AK805" s="452"/>
      <c r="AL805" s="59"/>
      <c r="AM805" s="60"/>
      <c r="AO805" s="137" t="e">
        <f t="shared" si="91"/>
        <v>#N/A</v>
      </c>
      <c r="AP805" s="138" t="e">
        <f t="shared" si="92"/>
        <v>#N/A</v>
      </c>
      <c r="AQ805" s="138" t="e">
        <f t="shared" si="93"/>
        <v>#N/A</v>
      </c>
      <c r="AR805" s="138" t="e">
        <f t="shared" si="94"/>
        <v>#N/A</v>
      </c>
      <c r="AS805" s="138" t="e">
        <f t="shared" si="95"/>
        <v>#N/A</v>
      </c>
      <c r="AT805" s="139" t="e">
        <f t="shared" si="96"/>
        <v>#N/A</v>
      </c>
    </row>
    <row r="806" spans="1:46" ht="54" customHeight="1">
      <c r="A806" s="428">
        <f t="shared" si="97"/>
        <v>798</v>
      </c>
      <c r="B806" s="294"/>
      <c r="C806" s="201"/>
      <c r="D806" s="290"/>
      <c r="E806" s="301"/>
      <c r="F806" s="301"/>
      <c r="G806" s="290"/>
      <c r="H806" s="291"/>
      <c r="I806" s="292"/>
      <c r="J806" s="61"/>
      <c r="K806" s="57"/>
      <c r="L806" s="303"/>
      <c r="M806" s="201"/>
      <c r="N806" s="84" t="str">
        <f>IF($AI806&lt;&gt;"",Master!$N$37,IF($AC806&lt;&gt;"",Master!$N$38,IF($S806&lt;&gt;"",Master!$N$39,IF($C806&lt;&gt;"",Master!$N$40,Master!$N$41))))</f>
        <v>起票</v>
      </c>
      <c r="O806" s="202" t="str">
        <f>IF($N806=Master!$N$37,MAX($S806,$AC806,$AI806),"")</f>
        <v/>
      </c>
      <c r="P806" s="65"/>
      <c r="Q806" s="203"/>
      <c r="R806" s="57"/>
      <c r="S806" s="203"/>
      <c r="T806" s="310"/>
      <c r="U806" s="289"/>
      <c r="V806" s="57"/>
      <c r="W806" s="288"/>
      <c r="X806" s="288"/>
      <c r="Y806" s="296"/>
      <c r="Z806" s="57"/>
      <c r="AA806" s="203"/>
      <c r="AB806" s="288"/>
      <c r="AC806" s="201"/>
      <c r="AD806" s="298"/>
      <c r="AE806" s="297"/>
      <c r="AF806" s="58"/>
      <c r="AG806" s="204"/>
      <c r="AH806" s="57"/>
      <c r="AI806" s="201"/>
      <c r="AJ806" s="287"/>
      <c r="AK806" s="452"/>
      <c r="AL806" s="59"/>
      <c r="AM806" s="60"/>
      <c r="AO806" s="137" t="e">
        <f t="shared" si="91"/>
        <v>#N/A</v>
      </c>
      <c r="AP806" s="138" t="e">
        <f t="shared" si="92"/>
        <v>#N/A</v>
      </c>
      <c r="AQ806" s="138" t="e">
        <f t="shared" si="93"/>
        <v>#N/A</v>
      </c>
      <c r="AR806" s="138" t="e">
        <f t="shared" si="94"/>
        <v>#N/A</v>
      </c>
      <c r="AS806" s="138" t="e">
        <f t="shared" si="95"/>
        <v>#N/A</v>
      </c>
      <c r="AT806" s="139" t="e">
        <f t="shared" si="96"/>
        <v>#N/A</v>
      </c>
    </row>
    <row r="807" spans="1:46" ht="54" customHeight="1">
      <c r="A807" s="428">
        <f t="shared" si="97"/>
        <v>799</v>
      </c>
      <c r="B807" s="403"/>
      <c r="C807" s="404"/>
      <c r="D807" s="405"/>
      <c r="E807" s="405"/>
      <c r="F807" s="405"/>
      <c r="G807" s="405"/>
      <c r="H807" s="406"/>
      <c r="I807" s="407"/>
      <c r="J807" s="408"/>
      <c r="K807" s="409"/>
      <c r="L807" s="410"/>
      <c r="M807" s="404"/>
      <c r="N807" s="411" t="str">
        <f>IF($AI807&lt;&gt;"",Master!$N$37,IF($AC807&lt;&gt;"",Master!$N$38,IF($S807&lt;&gt;"",Master!$N$39,IF($C807&lt;&gt;"",Master!$N$40,Master!$N$41))))</f>
        <v>起票</v>
      </c>
      <c r="O807" s="412" t="str">
        <f>IF($N807=Master!$N$37,MAX($S807,$AC807,$AI807),"")</f>
        <v/>
      </c>
      <c r="P807" s="413"/>
      <c r="Q807" s="414"/>
      <c r="R807" s="409"/>
      <c r="S807" s="404"/>
      <c r="T807" s="418"/>
      <c r="U807" s="415"/>
      <c r="V807" s="409"/>
      <c r="W807" s="419"/>
      <c r="X807" s="419"/>
      <c r="Y807" s="416"/>
      <c r="Z807" s="417"/>
      <c r="AA807" s="418"/>
      <c r="AB807" s="419"/>
      <c r="AC807" s="404"/>
      <c r="AD807" s="404"/>
      <c r="AE807" s="420"/>
      <c r="AF807" s="421"/>
      <c r="AG807" s="418"/>
      <c r="AH807" s="409"/>
      <c r="AI807" s="404"/>
      <c r="AJ807" s="416"/>
      <c r="AK807" s="453"/>
      <c r="AL807" s="422"/>
      <c r="AM807" s="423"/>
      <c r="AO807" s="137" t="e">
        <f t="shared" si="91"/>
        <v>#N/A</v>
      </c>
      <c r="AP807" s="138" t="e">
        <f t="shared" si="92"/>
        <v>#N/A</v>
      </c>
      <c r="AQ807" s="138" t="e">
        <f t="shared" si="93"/>
        <v>#N/A</v>
      </c>
      <c r="AR807" s="138" t="e">
        <f t="shared" si="94"/>
        <v>#N/A</v>
      </c>
      <c r="AS807" s="138" t="e">
        <f t="shared" si="95"/>
        <v>#N/A</v>
      </c>
      <c r="AT807" s="139" t="e">
        <f t="shared" si="96"/>
        <v>#N/A</v>
      </c>
    </row>
    <row r="808" spans="1:46" ht="54" customHeight="1">
      <c r="A808" s="428">
        <f t="shared" si="97"/>
        <v>800</v>
      </c>
      <c r="B808" s="403"/>
      <c r="C808" s="404"/>
      <c r="D808" s="405"/>
      <c r="E808" s="405"/>
      <c r="F808" s="405"/>
      <c r="G808" s="405"/>
      <c r="H808" s="406"/>
      <c r="I808" s="407"/>
      <c r="J808" s="408"/>
      <c r="K808" s="409"/>
      <c r="L808" s="410"/>
      <c r="M808" s="404"/>
      <c r="N808" s="411" t="str">
        <f>IF($AI808&lt;&gt;"",Master!$N$37,IF($AC808&lt;&gt;"",Master!$N$38,IF($S808&lt;&gt;"",Master!$N$39,IF($C808&lt;&gt;"",Master!$N$40,Master!$N$41))))</f>
        <v>起票</v>
      </c>
      <c r="O808" s="412" t="str">
        <f>IF($N808=Master!$N$37,MAX($S808,$AC808,$AI808),"")</f>
        <v/>
      </c>
      <c r="P808" s="413"/>
      <c r="Q808" s="414"/>
      <c r="R808" s="409"/>
      <c r="S808" s="404"/>
      <c r="T808" s="418"/>
      <c r="U808" s="415"/>
      <c r="V808" s="409"/>
      <c r="W808" s="419"/>
      <c r="X808" s="419"/>
      <c r="Y808" s="416"/>
      <c r="Z808" s="417"/>
      <c r="AA808" s="418"/>
      <c r="AB808" s="419"/>
      <c r="AC808" s="404"/>
      <c r="AD808" s="404"/>
      <c r="AE808" s="420"/>
      <c r="AF808" s="421"/>
      <c r="AG808" s="418"/>
      <c r="AH808" s="409"/>
      <c r="AI808" s="404"/>
      <c r="AJ808" s="416"/>
      <c r="AK808" s="453"/>
      <c r="AL808" s="422"/>
      <c r="AM808" s="423"/>
      <c r="AO808" s="137" t="e">
        <f t="shared" si="91"/>
        <v>#N/A</v>
      </c>
      <c r="AP808" s="138" t="e">
        <f t="shared" si="92"/>
        <v>#N/A</v>
      </c>
      <c r="AQ808" s="138" t="e">
        <f t="shared" si="93"/>
        <v>#N/A</v>
      </c>
      <c r="AR808" s="138" t="e">
        <f t="shared" si="94"/>
        <v>#N/A</v>
      </c>
      <c r="AS808" s="138" t="e">
        <f t="shared" si="95"/>
        <v>#N/A</v>
      </c>
      <c r="AT808" s="139" t="e">
        <f t="shared" si="96"/>
        <v>#N/A</v>
      </c>
    </row>
    <row r="809" spans="1:46" ht="54" customHeight="1">
      <c r="A809" s="428">
        <f t="shared" si="97"/>
        <v>801</v>
      </c>
      <c r="B809" s="403"/>
      <c r="C809" s="404"/>
      <c r="D809" s="405"/>
      <c r="E809" s="405"/>
      <c r="F809" s="405"/>
      <c r="G809" s="405"/>
      <c r="H809" s="406"/>
      <c r="I809" s="407"/>
      <c r="J809" s="408"/>
      <c r="K809" s="409"/>
      <c r="L809" s="410"/>
      <c r="M809" s="404"/>
      <c r="N809" s="411" t="str">
        <f>IF($AI809&lt;&gt;"",Master!$N$37,IF($AC809&lt;&gt;"",Master!$N$38,IF($S809&lt;&gt;"",Master!$N$39,IF($C809&lt;&gt;"",Master!$N$40,Master!$N$41))))</f>
        <v>起票</v>
      </c>
      <c r="O809" s="412" t="str">
        <f>IF($N809=Master!$N$37,MAX($S809,$AC809,$AI809),"")</f>
        <v/>
      </c>
      <c r="P809" s="413"/>
      <c r="Q809" s="414"/>
      <c r="R809" s="409"/>
      <c r="S809" s="404"/>
      <c r="T809" s="418"/>
      <c r="U809" s="415"/>
      <c r="V809" s="409"/>
      <c r="W809" s="419"/>
      <c r="X809" s="419"/>
      <c r="Y809" s="416"/>
      <c r="Z809" s="417"/>
      <c r="AA809" s="418"/>
      <c r="AB809" s="419"/>
      <c r="AC809" s="404"/>
      <c r="AD809" s="404"/>
      <c r="AE809" s="420"/>
      <c r="AF809" s="421"/>
      <c r="AG809" s="418"/>
      <c r="AH809" s="409"/>
      <c r="AI809" s="404"/>
      <c r="AJ809" s="416"/>
      <c r="AK809" s="453"/>
      <c r="AL809" s="422"/>
      <c r="AM809" s="423"/>
      <c r="AO809" s="137" t="e">
        <f t="shared" si="91"/>
        <v>#N/A</v>
      </c>
      <c r="AP809" s="138" t="e">
        <f t="shared" si="92"/>
        <v>#N/A</v>
      </c>
      <c r="AQ809" s="138" t="e">
        <f t="shared" si="93"/>
        <v>#N/A</v>
      </c>
      <c r="AR809" s="138" t="e">
        <f t="shared" si="94"/>
        <v>#N/A</v>
      </c>
      <c r="AS809" s="138" t="e">
        <f t="shared" si="95"/>
        <v>#N/A</v>
      </c>
      <c r="AT809" s="139" t="e">
        <f t="shared" si="96"/>
        <v>#N/A</v>
      </c>
    </row>
    <row r="810" spans="1:46" ht="54" customHeight="1">
      <c r="A810" s="428">
        <f t="shared" si="97"/>
        <v>802</v>
      </c>
      <c r="B810" s="294"/>
      <c r="C810" s="201"/>
      <c r="D810" s="290"/>
      <c r="E810" s="301"/>
      <c r="F810" s="301"/>
      <c r="G810" s="290"/>
      <c r="H810" s="291"/>
      <c r="I810" s="292"/>
      <c r="J810" s="61"/>
      <c r="K810" s="57"/>
      <c r="L810" s="303"/>
      <c r="M810" s="201"/>
      <c r="N810" s="84" t="str">
        <f>IF($AI810&lt;&gt;"",Master!$N$37,IF($AC810&lt;&gt;"",Master!$N$38,IF($S810&lt;&gt;"",Master!$N$39,IF($C810&lt;&gt;"",Master!$N$40,Master!$N$41))))</f>
        <v>起票</v>
      </c>
      <c r="O810" s="202" t="str">
        <f>IF($N810=Master!$N$37,MAX($S810,$AC810,$AI810),"")</f>
        <v/>
      </c>
      <c r="P810" s="65"/>
      <c r="Q810" s="203"/>
      <c r="R810" s="57"/>
      <c r="S810" s="203"/>
      <c r="T810" s="310"/>
      <c r="U810" s="289"/>
      <c r="V810" s="57"/>
      <c r="W810" s="288"/>
      <c r="X810" s="288"/>
      <c r="Y810" s="296"/>
      <c r="Z810" s="57"/>
      <c r="AA810" s="203"/>
      <c r="AB810" s="288"/>
      <c r="AC810" s="201"/>
      <c r="AD810" s="298"/>
      <c r="AE810" s="297"/>
      <c r="AF810" s="58"/>
      <c r="AG810" s="204"/>
      <c r="AH810" s="57"/>
      <c r="AI810" s="201"/>
      <c r="AJ810" s="287"/>
      <c r="AK810" s="452"/>
      <c r="AL810" s="59"/>
      <c r="AM810" s="60"/>
      <c r="AO810" s="137" t="e">
        <f t="shared" si="91"/>
        <v>#N/A</v>
      </c>
      <c r="AP810" s="138" t="e">
        <f t="shared" si="92"/>
        <v>#N/A</v>
      </c>
      <c r="AQ810" s="138" t="e">
        <f t="shared" si="93"/>
        <v>#N/A</v>
      </c>
      <c r="AR810" s="138" t="e">
        <f t="shared" si="94"/>
        <v>#N/A</v>
      </c>
      <c r="AS810" s="138" t="e">
        <f t="shared" si="95"/>
        <v>#N/A</v>
      </c>
      <c r="AT810" s="139" t="e">
        <f t="shared" si="96"/>
        <v>#N/A</v>
      </c>
    </row>
    <row r="811" spans="1:46" ht="54" customHeight="1">
      <c r="A811" s="428">
        <f t="shared" si="97"/>
        <v>803</v>
      </c>
      <c r="B811" s="294"/>
      <c r="C811" s="201"/>
      <c r="D811" s="290"/>
      <c r="E811" s="301"/>
      <c r="F811" s="301"/>
      <c r="G811" s="290"/>
      <c r="H811" s="291"/>
      <c r="I811" s="292"/>
      <c r="J811" s="61"/>
      <c r="K811" s="57"/>
      <c r="L811" s="303"/>
      <c r="M811" s="201"/>
      <c r="N811" s="84" t="str">
        <f>IF($AI811&lt;&gt;"",Master!$N$37,IF($AC811&lt;&gt;"",Master!$N$38,IF($S811&lt;&gt;"",Master!$N$39,IF($C811&lt;&gt;"",Master!$N$40,Master!$N$41))))</f>
        <v>起票</v>
      </c>
      <c r="O811" s="202" t="str">
        <f>IF($N811=Master!$N$37,MAX($S811,$AC811,$AI811),"")</f>
        <v/>
      </c>
      <c r="P811" s="65"/>
      <c r="Q811" s="203"/>
      <c r="R811" s="57"/>
      <c r="S811" s="203"/>
      <c r="T811" s="310"/>
      <c r="U811" s="289"/>
      <c r="V811" s="57"/>
      <c r="W811" s="288"/>
      <c r="X811" s="288"/>
      <c r="Y811" s="296"/>
      <c r="Z811" s="57"/>
      <c r="AA811" s="203"/>
      <c r="AB811" s="288"/>
      <c r="AC811" s="201"/>
      <c r="AD811" s="298"/>
      <c r="AE811" s="297"/>
      <c r="AF811" s="58"/>
      <c r="AG811" s="204"/>
      <c r="AH811" s="57"/>
      <c r="AI811" s="201"/>
      <c r="AJ811" s="287"/>
      <c r="AK811" s="452"/>
      <c r="AL811" s="59"/>
      <c r="AM811" s="60"/>
      <c r="AO811" s="137" t="e">
        <f t="shared" si="91"/>
        <v>#N/A</v>
      </c>
      <c r="AP811" s="138" t="e">
        <f t="shared" si="92"/>
        <v>#N/A</v>
      </c>
      <c r="AQ811" s="138" t="e">
        <f t="shared" si="93"/>
        <v>#N/A</v>
      </c>
      <c r="AR811" s="138" t="e">
        <f t="shared" si="94"/>
        <v>#N/A</v>
      </c>
      <c r="AS811" s="138" t="e">
        <f t="shared" si="95"/>
        <v>#N/A</v>
      </c>
      <c r="AT811" s="139" t="e">
        <f t="shared" si="96"/>
        <v>#N/A</v>
      </c>
    </row>
    <row r="812" spans="1:46" ht="54" customHeight="1">
      <c r="A812" s="428">
        <f t="shared" si="97"/>
        <v>804</v>
      </c>
      <c r="B812" s="403"/>
      <c r="C812" s="404"/>
      <c r="D812" s="405"/>
      <c r="E812" s="405"/>
      <c r="F812" s="405"/>
      <c r="G812" s="405"/>
      <c r="H812" s="406"/>
      <c r="I812" s="407"/>
      <c r="J812" s="408"/>
      <c r="K812" s="409"/>
      <c r="L812" s="410"/>
      <c r="M812" s="404"/>
      <c r="N812" s="411" t="str">
        <f>IF($AI812&lt;&gt;"",Master!$N$37,IF($AC812&lt;&gt;"",Master!$N$38,IF($S812&lt;&gt;"",Master!$N$39,IF($C812&lt;&gt;"",Master!$N$40,Master!$N$41))))</f>
        <v>起票</v>
      </c>
      <c r="O812" s="412" t="str">
        <f>IF($N812=Master!$N$37,MAX($S812,$AC812,$AI812),"")</f>
        <v/>
      </c>
      <c r="P812" s="413"/>
      <c r="Q812" s="414"/>
      <c r="R812" s="409"/>
      <c r="S812" s="404"/>
      <c r="T812" s="418"/>
      <c r="U812" s="415"/>
      <c r="V812" s="409"/>
      <c r="W812" s="419"/>
      <c r="X812" s="419"/>
      <c r="Y812" s="416"/>
      <c r="Z812" s="417"/>
      <c r="AA812" s="418"/>
      <c r="AB812" s="419"/>
      <c r="AC812" s="404"/>
      <c r="AD812" s="404"/>
      <c r="AE812" s="420"/>
      <c r="AF812" s="421"/>
      <c r="AG812" s="418"/>
      <c r="AH812" s="409"/>
      <c r="AI812" s="404"/>
      <c r="AJ812" s="416"/>
      <c r="AK812" s="453"/>
      <c r="AL812" s="422"/>
      <c r="AM812" s="423"/>
      <c r="AO812" s="137" t="e">
        <f t="shared" si="91"/>
        <v>#N/A</v>
      </c>
      <c r="AP812" s="138" t="e">
        <f t="shared" si="92"/>
        <v>#N/A</v>
      </c>
      <c r="AQ812" s="138" t="e">
        <f t="shared" si="93"/>
        <v>#N/A</v>
      </c>
      <c r="AR812" s="138" t="e">
        <f t="shared" si="94"/>
        <v>#N/A</v>
      </c>
      <c r="AS812" s="138" t="e">
        <f t="shared" si="95"/>
        <v>#N/A</v>
      </c>
      <c r="AT812" s="139" t="e">
        <f t="shared" si="96"/>
        <v>#N/A</v>
      </c>
    </row>
    <row r="813" spans="1:46" ht="54" customHeight="1">
      <c r="A813" s="428">
        <f t="shared" si="97"/>
        <v>805</v>
      </c>
      <c r="B813" s="403"/>
      <c r="C813" s="404"/>
      <c r="D813" s="405"/>
      <c r="E813" s="405"/>
      <c r="F813" s="405"/>
      <c r="G813" s="405"/>
      <c r="H813" s="406"/>
      <c r="I813" s="407"/>
      <c r="J813" s="408"/>
      <c r="K813" s="409"/>
      <c r="L813" s="410"/>
      <c r="M813" s="404"/>
      <c r="N813" s="411" t="str">
        <f>IF($AI813&lt;&gt;"",Master!$N$37,IF($AC813&lt;&gt;"",Master!$N$38,IF($S813&lt;&gt;"",Master!$N$39,IF($C813&lt;&gt;"",Master!$N$40,Master!$N$41))))</f>
        <v>起票</v>
      </c>
      <c r="O813" s="412" t="str">
        <f>IF($N813=Master!$N$37,MAX($S813,$AC813,$AI813),"")</f>
        <v/>
      </c>
      <c r="P813" s="413"/>
      <c r="Q813" s="414"/>
      <c r="R813" s="409"/>
      <c r="S813" s="404"/>
      <c r="T813" s="418"/>
      <c r="U813" s="415"/>
      <c r="V813" s="409"/>
      <c r="W813" s="419"/>
      <c r="X813" s="419"/>
      <c r="Y813" s="416"/>
      <c r="Z813" s="417"/>
      <c r="AA813" s="418"/>
      <c r="AB813" s="419"/>
      <c r="AC813" s="404"/>
      <c r="AD813" s="404"/>
      <c r="AE813" s="420"/>
      <c r="AF813" s="421"/>
      <c r="AG813" s="418"/>
      <c r="AH813" s="409"/>
      <c r="AI813" s="404"/>
      <c r="AJ813" s="416"/>
      <c r="AK813" s="453"/>
      <c r="AL813" s="422"/>
      <c r="AM813" s="423"/>
      <c r="AO813" s="137" t="e">
        <f t="shared" si="91"/>
        <v>#N/A</v>
      </c>
      <c r="AP813" s="138" t="e">
        <f t="shared" si="92"/>
        <v>#N/A</v>
      </c>
      <c r="AQ813" s="138" t="e">
        <f t="shared" si="93"/>
        <v>#N/A</v>
      </c>
      <c r="AR813" s="138" t="e">
        <f t="shared" si="94"/>
        <v>#N/A</v>
      </c>
      <c r="AS813" s="138" t="e">
        <f t="shared" si="95"/>
        <v>#N/A</v>
      </c>
      <c r="AT813" s="139" t="e">
        <f t="shared" si="96"/>
        <v>#N/A</v>
      </c>
    </row>
    <row r="814" spans="1:46" ht="54" customHeight="1">
      <c r="A814" s="428">
        <f t="shared" si="97"/>
        <v>806</v>
      </c>
      <c r="B814" s="403"/>
      <c r="C814" s="404"/>
      <c r="D814" s="405"/>
      <c r="E814" s="405"/>
      <c r="F814" s="405"/>
      <c r="G814" s="405"/>
      <c r="H814" s="406"/>
      <c r="I814" s="407"/>
      <c r="J814" s="408"/>
      <c r="K814" s="409"/>
      <c r="L814" s="410"/>
      <c r="M814" s="404"/>
      <c r="N814" s="411" t="str">
        <f>IF($AI814&lt;&gt;"",Master!$N$37,IF($AC814&lt;&gt;"",Master!$N$38,IF($S814&lt;&gt;"",Master!$N$39,IF($C814&lt;&gt;"",Master!$N$40,Master!$N$41))))</f>
        <v>起票</v>
      </c>
      <c r="O814" s="412" t="str">
        <f>IF($N814=Master!$N$37,MAX($S814,$AC814,$AI814),"")</f>
        <v/>
      </c>
      <c r="P814" s="413"/>
      <c r="Q814" s="414"/>
      <c r="R814" s="409"/>
      <c r="S814" s="404"/>
      <c r="T814" s="418"/>
      <c r="U814" s="415"/>
      <c r="V814" s="409"/>
      <c r="W814" s="419"/>
      <c r="X814" s="419"/>
      <c r="Y814" s="416"/>
      <c r="Z814" s="417"/>
      <c r="AA814" s="418"/>
      <c r="AB814" s="419"/>
      <c r="AC814" s="404"/>
      <c r="AD814" s="404"/>
      <c r="AE814" s="420"/>
      <c r="AF814" s="421"/>
      <c r="AG814" s="418"/>
      <c r="AH814" s="409"/>
      <c r="AI814" s="404"/>
      <c r="AJ814" s="416"/>
      <c r="AK814" s="453"/>
      <c r="AL814" s="422"/>
      <c r="AM814" s="423"/>
      <c r="AO814" s="137" t="e">
        <f t="shared" si="91"/>
        <v>#N/A</v>
      </c>
      <c r="AP814" s="138" t="e">
        <f t="shared" si="92"/>
        <v>#N/A</v>
      </c>
      <c r="AQ814" s="138" t="e">
        <f t="shared" si="93"/>
        <v>#N/A</v>
      </c>
      <c r="AR814" s="138" t="e">
        <f t="shared" si="94"/>
        <v>#N/A</v>
      </c>
      <c r="AS814" s="138" t="e">
        <f t="shared" si="95"/>
        <v>#N/A</v>
      </c>
      <c r="AT814" s="139" t="e">
        <f t="shared" si="96"/>
        <v>#N/A</v>
      </c>
    </row>
    <row r="815" spans="1:46" ht="54" customHeight="1">
      <c r="A815" s="428">
        <f t="shared" si="97"/>
        <v>807</v>
      </c>
      <c r="B815" s="294"/>
      <c r="C815" s="201"/>
      <c r="D815" s="290"/>
      <c r="E815" s="301"/>
      <c r="F815" s="301"/>
      <c r="G815" s="290"/>
      <c r="H815" s="291"/>
      <c r="I815" s="292"/>
      <c r="J815" s="61"/>
      <c r="K815" s="57"/>
      <c r="L815" s="303"/>
      <c r="M815" s="201"/>
      <c r="N815" s="84" t="str">
        <f>IF($AI815&lt;&gt;"",Master!$N$37,IF($AC815&lt;&gt;"",Master!$N$38,IF($S815&lt;&gt;"",Master!$N$39,IF($C815&lt;&gt;"",Master!$N$40,Master!$N$41))))</f>
        <v>起票</v>
      </c>
      <c r="O815" s="202" t="str">
        <f>IF($N815=Master!$N$37,MAX($S815,$AC815,$AI815),"")</f>
        <v/>
      </c>
      <c r="P815" s="65"/>
      <c r="Q815" s="203"/>
      <c r="R815" s="57"/>
      <c r="S815" s="203"/>
      <c r="T815" s="310"/>
      <c r="U815" s="289"/>
      <c r="V815" s="57"/>
      <c r="W815" s="288"/>
      <c r="X815" s="288"/>
      <c r="Y815" s="296"/>
      <c r="Z815" s="57"/>
      <c r="AA815" s="203"/>
      <c r="AB815" s="288"/>
      <c r="AC815" s="201"/>
      <c r="AD815" s="298"/>
      <c r="AE815" s="297"/>
      <c r="AF815" s="58"/>
      <c r="AG815" s="204"/>
      <c r="AH815" s="57"/>
      <c r="AI815" s="201"/>
      <c r="AJ815" s="287"/>
      <c r="AK815" s="452"/>
      <c r="AL815" s="59"/>
      <c r="AM815" s="60"/>
      <c r="AO815" s="137" t="e">
        <f t="shared" si="91"/>
        <v>#N/A</v>
      </c>
      <c r="AP815" s="138" t="e">
        <f t="shared" si="92"/>
        <v>#N/A</v>
      </c>
      <c r="AQ815" s="138" t="e">
        <f t="shared" si="93"/>
        <v>#N/A</v>
      </c>
      <c r="AR815" s="138" t="e">
        <f t="shared" si="94"/>
        <v>#N/A</v>
      </c>
      <c r="AS815" s="138" t="e">
        <f t="shared" si="95"/>
        <v>#N/A</v>
      </c>
      <c r="AT815" s="139" t="e">
        <f t="shared" si="96"/>
        <v>#N/A</v>
      </c>
    </row>
    <row r="816" spans="1:46" ht="54" customHeight="1">
      <c r="A816" s="428">
        <f t="shared" si="97"/>
        <v>808</v>
      </c>
      <c r="B816" s="294"/>
      <c r="C816" s="201"/>
      <c r="D816" s="290"/>
      <c r="E816" s="301"/>
      <c r="F816" s="301"/>
      <c r="G816" s="290"/>
      <c r="H816" s="291"/>
      <c r="I816" s="292"/>
      <c r="J816" s="61"/>
      <c r="K816" s="57"/>
      <c r="L816" s="303"/>
      <c r="M816" s="201"/>
      <c r="N816" s="84" t="str">
        <f>IF($AI816&lt;&gt;"",Master!$N$37,IF($AC816&lt;&gt;"",Master!$N$38,IF($S816&lt;&gt;"",Master!$N$39,IF($C816&lt;&gt;"",Master!$N$40,Master!$N$41))))</f>
        <v>起票</v>
      </c>
      <c r="O816" s="202" t="str">
        <f>IF($N816=Master!$N$37,MAX($S816,$AC816,$AI816),"")</f>
        <v/>
      </c>
      <c r="P816" s="65"/>
      <c r="Q816" s="203"/>
      <c r="R816" s="57"/>
      <c r="S816" s="203"/>
      <c r="T816" s="310"/>
      <c r="U816" s="289"/>
      <c r="V816" s="57"/>
      <c r="W816" s="288"/>
      <c r="X816" s="288"/>
      <c r="Y816" s="296"/>
      <c r="Z816" s="57"/>
      <c r="AA816" s="203"/>
      <c r="AB816" s="288"/>
      <c r="AC816" s="201"/>
      <c r="AD816" s="298"/>
      <c r="AE816" s="297"/>
      <c r="AF816" s="58"/>
      <c r="AG816" s="204"/>
      <c r="AH816" s="57"/>
      <c r="AI816" s="201"/>
      <c r="AJ816" s="287"/>
      <c r="AK816" s="452"/>
      <c r="AL816" s="59"/>
      <c r="AM816" s="60"/>
      <c r="AO816" s="137" t="e">
        <f t="shared" si="91"/>
        <v>#N/A</v>
      </c>
      <c r="AP816" s="138" t="e">
        <f t="shared" si="92"/>
        <v>#N/A</v>
      </c>
      <c r="AQ816" s="138" t="e">
        <f t="shared" si="93"/>
        <v>#N/A</v>
      </c>
      <c r="AR816" s="138" t="e">
        <f t="shared" si="94"/>
        <v>#N/A</v>
      </c>
      <c r="AS816" s="138" t="e">
        <f t="shared" si="95"/>
        <v>#N/A</v>
      </c>
      <c r="AT816" s="139" t="e">
        <f t="shared" si="96"/>
        <v>#N/A</v>
      </c>
    </row>
    <row r="817" spans="1:46" ht="54" customHeight="1">
      <c r="A817" s="428">
        <f t="shared" si="97"/>
        <v>809</v>
      </c>
      <c r="B817" s="403"/>
      <c r="C817" s="404"/>
      <c r="D817" s="405"/>
      <c r="E817" s="405"/>
      <c r="F817" s="405"/>
      <c r="G817" s="405"/>
      <c r="H817" s="406"/>
      <c r="I817" s="407"/>
      <c r="J817" s="408"/>
      <c r="K817" s="409"/>
      <c r="L817" s="410"/>
      <c r="M817" s="404"/>
      <c r="N817" s="411" t="str">
        <f>IF($AI817&lt;&gt;"",Master!$N$37,IF($AC817&lt;&gt;"",Master!$N$38,IF($S817&lt;&gt;"",Master!$N$39,IF($C817&lt;&gt;"",Master!$N$40,Master!$N$41))))</f>
        <v>起票</v>
      </c>
      <c r="O817" s="412" t="str">
        <f>IF($N817=Master!$N$37,MAX($S817,$AC817,$AI817),"")</f>
        <v/>
      </c>
      <c r="P817" s="413"/>
      <c r="Q817" s="414"/>
      <c r="R817" s="409"/>
      <c r="S817" s="404"/>
      <c r="T817" s="418"/>
      <c r="U817" s="415"/>
      <c r="V817" s="409"/>
      <c r="W817" s="419"/>
      <c r="X817" s="419"/>
      <c r="Y817" s="416"/>
      <c r="Z817" s="417"/>
      <c r="AA817" s="418"/>
      <c r="AB817" s="419"/>
      <c r="AC817" s="404"/>
      <c r="AD817" s="404"/>
      <c r="AE817" s="420"/>
      <c r="AF817" s="421"/>
      <c r="AG817" s="418"/>
      <c r="AH817" s="409"/>
      <c r="AI817" s="404"/>
      <c r="AJ817" s="416"/>
      <c r="AK817" s="453"/>
      <c r="AL817" s="422"/>
      <c r="AM817" s="423"/>
      <c r="AO817" s="137" t="e">
        <f t="shared" si="91"/>
        <v>#N/A</v>
      </c>
      <c r="AP817" s="138" t="e">
        <f t="shared" si="92"/>
        <v>#N/A</v>
      </c>
      <c r="AQ817" s="138" t="e">
        <f t="shared" si="93"/>
        <v>#N/A</v>
      </c>
      <c r="AR817" s="138" t="e">
        <f t="shared" si="94"/>
        <v>#N/A</v>
      </c>
      <c r="AS817" s="138" t="e">
        <f t="shared" si="95"/>
        <v>#N/A</v>
      </c>
      <c r="AT817" s="139" t="e">
        <f t="shared" si="96"/>
        <v>#N/A</v>
      </c>
    </row>
    <row r="818" spans="1:46" ht="54" customHeight="1">
      <c r="A818" s="428">
        <f t="shared" si="97"/>
        <v>810</v>
      </c>
      <c r="B818" s="403"/>
      <c r="C818" s="404"/>
      <c r="D818" s="405"/>
      <c r="E818" s="405"/>
      <c r="F818" s="405"/>
      <c r="G818" s="405"/>
      <c r="H818" s="406"/>
      <c r="I818" s="407"/>
      <c r="J818" s="408"/>
      <c r="K818" s="409"/>
      <c r="L818" s="410"/>
      <c r="M818" s="404"/>
      <c r="N818" s="411" t="str">
        <f>IF($AI818&lt;&gt;"",Master!$N$37,IF($AC818&lt;&gt;"",Master!$N$38,IF($S818&lt;&gt;"",Master!$N$39,IF($C818&lt;&gt;"",Master!$N$40,Master!$N$41))))</f>
        <v>起票</v>
      </c>
      <c r="O818" s="412" t="str">
        <f>IF($N818=Master!$N$37,MAX($S818,$AC818,$AI818),"")</f>
        <v/>
      </c>
      <c r="P818" s="413"/>
      <c r="Q818" s="414"/>
      <c r="R818" s="409"/>
      <c r="S818" s="404"/>
      <c r="T818" s="418"/>
      <c r="U818" s="415"/>
      <c r="V818" s="409"/>
      <c r="W818" s="419"/>
      <c r="X818" s="419"/>
      <c r="Y818" s="416"/>
      <c r="Z818" s="417"/>
      <c r="AA818" s="418"/>
      <c r="AB818" s="419"/>
      <c r="AC818" s="404"/>
      <c r="AD818" s="404"/>
      <c r="AE818" s="420"/>
      <c r="AF818" s="421"/>
      <c r="AG818" s="418"/>
      <c r="AH818" s="409"/>
      <c r="AI818" s="404"/>
      <c r="AJ818" s="416"/>
      <c r="AK818" s="453"/>
      <c r="AL818" s="422"/>
      <c r="AM818" s="423"/>
      <c r="AO818" s="137" t="e">
        <f t="shared" si="91"/>
        <v>#N/A</v>
      </c>
      <c r="AP818" s="138" t="e">
        <f t="shared" si="92"/>
        <v>#N/A</v>
      </c>
      <c r="AQ818" s="138" t="e">
        <f t="shared" si="93"/>
        <v>#N/A</v>
      </c>
      <c r="AR818" s="138" t="e">
        <f t="shared" si="94"/>
        <v>#N/A</v>
      </c>
      <c r="AS818" s="138" t="e">
        <f t="shared" si="95"/>
        <v>#N/A</v>
      </c>
      <c r="AT818" s="139" t="e">
        <f t="shared" si="96"/>
        <v>#N/A</v>
      </c>
    </row>
    <row r="819" spans="1:46" ht="54" customHeight="1">
      <c r="A819" s="428">
        <f t="shared" si="97"/>
        <v>811</v>
      </c>
      <c r="B819" s="403"/>
      <c r="C819" s="404"/>
      <c r="D819" s="405"/>
      <c r="E819" s="405"/>
      <c r="F819" s="405"/>
      <c r="G819" s="405"/>
      <c r="H819" s="406"/>
      <c r="I819" s="407"/>
      <c r="J819" s="408"/>
      <c r="K819" s="409"/>
      <c r="L819" s="410"/>
      <c r="M819" s="404"/>
      <c r="N819" s="411" t="str">
        <f>IF($AI819&lt;&gt;"",Master!$N$37,IF($AC819&lt;&gt;"",Master!$N$38,IF($S819&lt;&gt;"",Master!$N$39,IF($C819&lt;&gt;"",Master!$N$40,Master!$N$41))))</f>
        <v>起票</v>
      </c>
      <c r="O819" s="412" t="str">
        <f>IF($N819=Master!$N$37,MAX($S819,$AC819,$AI819),"")</f>
        <v/>
      </c>
      <c r="P819" s="413"/>
      <c r="Q819" s="414"/>
      <c r="R819" s="409"/>
      <c r="S819" s="404"/>
      <c r="T819" s="418"/>
      <c r="U819" s="415"/>
      <c r="V819" s="409"/>
      <c r="W819" s="419"/>
      <c r="X819" s="419"/>
      <c r="Y819" s="416"/>
      <c r="Z819" s="417"/>
      <c r="AA819" s="418"/>
      <c r="AB819" s="419"/>
      <c r="AC819" s="404"/>
      <c r="AD819" s="404"/>
      <c r="AE819" s="420"/>
      <c r="AF819" s="421"/>
      <c r="AG819" s="418"/>
      <c r="AH819" s="409"/>
      <c r="AI819" s="404"/>
      <c r="AJ819" s="416"/>
      <c r="AK819" s="453"/>
      <c r="AL819" s="422"/>
      <c r="AM819" s="423"/>
      <c r="AO819" s="137" t="e">
        <f t="shared" si="91"/>
        <v>#N/A</v>
      </c>
      <c r="AP819" s="138" t="e">
        <f t="shared" si="92"/>
        <v>#N/A</v>
      </c>
      <c r="AQ819" s="138" t="e">
        <f t="shared" si="93"/>
        <v>#N/A</v>
      </c>
      <c r="AR819" s="138" t="e">
        <f t="shared" si="94"/>
        <v>#N/A</v>
      </c>
      <c r="AS819" s="138" t="e">
        <f t="shared" si="95"/>
        <v>#N/A</v>
      </c>
      <c r="AT819" s="139" t="e">
        <f t="shared" si="96"/>
        <v>#N/A</v>
      </c>
    </row>
    <row r="820" spans="1:46" ht="54" customHeight="1">
      <c r="A820" s="428">
        <f t="shared" si="97"/>
        <v>812</v>
      </c>
      <c r="B820" s="294"/>
      <c r="C820" s="201"/>
      <c r="D820" s="290"/>
      <c r="E820" s="301"/>
      <c r="F820" s="301"/>
      <c r="G820" s="290"/>
      <c r="H820" s="291"/>
      <c r="I820" s="292"/>
      <c r="J820" s="61"/>
      <c r="K820" s="57"/>
      <c r="L820" s="303"/>
      <c r="M820" s="201"/>
      <c r="N820" s="84" t="str">
        <f>IF($AI820&lt;&gt;"",Master!$N$37,IF($AC820&lt;&gt;"",Master!$N$38,IF($S820&lt;&gt;"",Master!$N$39,IF($C820&lt;&gt;"",Master!$N$40,Master!$N$41))))</f>
        <v>起票</v>
      </c>
      <c r="O820" s="202" t="str">
        <f>IF($N820=Master!$N$37,MAX($S820,$AC820,$AI820),"")</f>
        <v/>
      </c>
      <c r="P820" s="65"/>
      <c r="Q820" s="203"/>
      <c r="R820" s="57"/>
      <c r="S820" s="203"/>
      <c r="T820" s="310"/>
      <c r="U820" s="289"/>
      <c r="V820" s="57"/>
      <c r="W820" s="288"/>
      <c r="X820" s="288"/>
      <c r="Y820" s="296"/>
      <c r="Z820" s="57"/>
      <c r="AA820" s="203"/>
      <c r="AB820" s="288"/>
      <c r="AC820" s="201"/>
      <c r="AD820" s="298"/>
      <c r="AE820" s="297"/>
      <c r="AF820" s="58"/>
      <c r="AG820" s="204"/>
      <c r="AH820" s="57"/>
      <c r="AI820" s="201"/>
      <c r="AJ820" s="287"/>
      <c r="AK820" s="452"/>
      <c r="AL820" s="59"/>
      <c r="AM820" s="60"/>
      <c r="AO820" s="137" t="e">
        <f t="shared" si="91"/>
        <v>#N/A</v>
      </c>
      <c r="AP820" s="138" t="e">
        <f t="shared" si="92"/>
        <v>#N/A</v>
      </c>
      <c r="AQ820" s="138" t="e">
        <f t="shared" si="93"/>
        <v>#N/A</v>
      </c>
      <c r="AR820" s="138" t="e">
        <f t="shared" si="94"/>
        <v>#N/A</v>
      </c>
      <c r="AS820" s="138" t="e">
        <f t="shared" si="95"/>
        <v>#N/A</v>
      </c>
      <c r="AT820" s="139" t="e">
        <f t="shared" si="96"/>
        <v>#N/A</v>
      </c>
    </row>
    <row r="821" spans="1:46" ht="54" customHeight="1">
      <c r="A821" s="428">
        <f t="shared" si="97"/>
        <v>813</v>
      </c>
      <c r="B821" s="294"/>
      <c r="C821" s="201"/>
      <c r="D821" s="290"/>
      <c r="E821" s="301"/>
      <c r="F821" s="301"/>
      <c r="G821" s="290"/>
      <c r="H821" s="291"/>
      <c r="I821" s="292"/>
      <c r="J821" s="61"/>
      <c r="K821" s="57"/>
      <c r="L821" s="303"/>
      <c r="M821" s="201"/>
      <c r="N821" s="84" t="str">
        <f>IF($AI821&lt;&gt;"",Master!$N$37,IF($AC821&lt;&gt;"",Master!$N$38,IF($S821&lt;&gt;"",Master!$N$39,IF($C821&lt;&gt;"",Master!$N$40,Master!$N$41))))</f>
        <v>起票</v>
      </c>
      <c r="O821" s="202" t="str">
        <f>IF($N821=Master!$N$37,MAX($S821,$AC821,$AI821),"")</f>
        <v/>
      </c>
      <c r="P821" s="65"/>
      <c r="Q821" s="203"/>
      <c r="R821" s="57"/>
      <c r="S821" s="203"/>
      <c r="T821" s="310"/>
      <c r="U821" s="289"/>
      <c r="V821" s="57"/>
      <c r="W821" s="288"/>
      <c r="X821" s="288"/>
      <c r="Y821" s="296"/>
      <c r="Z821" s="57"/>
      <c r="AA821" s="203"/>
      <c r="AB821" s="288"/>
      <c r="AC821" s="201"/>
      <c r="AD821" s="298"/>
      <c r="AE821" s="297"/>
      <c r="AF821" s="58"/>
      <c r="AG821" s="204"/>
      <c r="AH821" s="57"/>
      <c r="AI821" s="201"/>
      <c r="AJ821" s="287"/>
      <c r="AK821" s="452"/>
      <c r="AL821" s="59"/>
      <c r="AM821" s="60"/>
      <c r="AO821" s="137" t="e">
        <f t="shared" si="91"/>
        <v>#N/A</v>
      </c>
      <c r="AP821" s="138" t="e">
        <f t="shared" si="92"/>
        <v>#N/A</v>
      </c>
      <c r="AQ821" s="138" t="e">
        <f t="shared" si="93"/>
        <v>#N/A</v>
      </c>
      <c r="AR821" s="138" t="e">
        <f t="shared" si="94"/>
        <v>#N/A</v>
      </c>
      <c r="AS821" s="138" t="e">
        <f t="shared" si="95"/>
        <v>#N/A</v>
      </c>
      <c r="AT821" s="139" t="e">
        <f t="shared" si="96"/>
        <v>#N/A</v>
      </c>
    </row>
    <row r="822" spans="1:46" ht="54" customHeight="1">
      <c r="A822" s="428">
        <f t="shared" si="97"/>
        <v>814</v>
      </c>
      <c r="B822" s="403"/>
      <c r="C822" s="404"/>
      <c r="D822" s="405"/>
      <c r="E822" s="405"/>
      <c r="F822" s="405"/>
      <c r="G822" s="405"/>
      <c r="H822" s="406"/>
      <c r="I822" s="407"/>
      <c r="J822" s="408"/>
      <c r="K822" s="409"/>
      <c r="L822" s="410"/>
      <c r="M822" s="404"/>
      <c r="N822" s="411" t="str">
        <f>IF($AI822&lt;&gt;"",Master!$N$37,IF($AC822&lt;&gt;"",Master!$N$38,IF($S822&lt;&gt;"",Master!$N$39,IF($C822&lt;&gt;"",Master!$N$40,Master!$N$41))))</f>
        <v>起票</v>
      </c>
      <c r="O822" s="412" t="str">
        <f>IF($N822=Master!$N$37,MAX($S822,$AC822,$AI822),"")</f>
        <v/>
      </c>
      <c r="P822" s="413"/>
      <c r="Q822" s="414"/>
      <c r="R822" s="409"/>
      <c r="S822" s="404"/>
      <c r="T822" s="418"/>
      <c r="U822" s="415"/>
      <c r="V822" s="409"/>
      <c r="W822" s="419"/>
      <c r="X822" s="419"/>
      <c r="Y822" s="416"/>
      <c r="Z822" s="417"/>
      <c r="AA822" s="418"/>
      <c r="AB822" s="419"/>
      <c r="AC822" s="404"/>
      <c r="AD822" s="404"/>
      <c r="AE822" s="420"/>
      <c r="AF822" s="421"/>
      <c r="AG822" s="418"/>
      <c r="AH822" s="409"/>
      <c r="AI822" s="404"/>
      <c r="AJ822" s="416"/>
      <c r="AK822" s="453"/>
      <c r="AL822" s="422"/>
      <c r="AM822" s="423"/>
      <c r="AO822" s="137" t="e">
        <f t="shared" si="91"/>
        <v>#N/A</v>
      </c>
      <c r="AP822" s="138" t="e">
        <f t="shared" si="92"/>
        <v>#N/A</v>
      </c>
      <c r="AQ822" s="138" t="e">
        <f t="shared" si="93"/>
        <v>#N/A</v>
      </c>
      <c r="AR822" s="138" t="e">
        <f t="shared" si="94"/>
        <v>#N/A</v>
      </c>
      <c r="AS822" s="138" t="e">
        <f t="shared" si="95"/>
        <v>#N/A</v>
      </c>
      <c r="AT822" s="139" t="e">
        <f t="shared" si="96"/>
        <v>#N/A</v>
      </c>
    </row>
    <row r="823" spans="1:46" ht="54" customHeight="1">
      <c r="A823" s="428">
        <f t="shared" si="97"/>
        <v>815</v>
      </c>
      <c r="B823" s="403"/>
      <c r="C823" s="404"/>
      <c r="D823" s="405"/>
      <c r="E823" s="405"/>
      <c r="F823" s="405"/>
      <c r="G823" s="405"/>
      <c r="H823" s="406"/>
      <c r="I823" s="407"/>
      <c r="J823" s="408"/>
      <c r="K823" s="409"/>
      <c r="L823" s="410"/>
      <c r="M823" s="404"/>
      <c r="N823" s="411" t="str">
        <f>IF($AI823&lt;&gt;"",Master!$N$37,IF($AC823&lt;&gt;"",Master!$N$38,IF($S823&lt;&gt;"",Master!$N$39,IF($C823&lt;&gt;"",Master!$N$40,Master!$N$41))))</f>
        <v>起票</v>
      </c>
      <c r="O823" s="412" t="str">
        <f>IF($N823=Master!$N$37,MAX($S823,$AC823,$AI823),"")</f>
        <v/>
      </c>
      <c r="P823" s="413"/>
      <c r="Q823" s="414"/>
      <c r="R823" s="409"/>
      <c r="S823" s="404"/>
      <c r="T823" s="418"/>
      <c r="U823" s="415"/>
      <c r="V823" s="409"/>
      <c r="W823" s="419"/>
      <c r="X823" s="419"/>
      <c r="Y823" s="416"/>
      <c r="Z823" s="417"/>
      <c r="AA823" s="418"/>
      <c r="AB823" s="419"/>
      <c r="AC823" s="404"/>
      <c r="AD823" s="404"/>
      <c r="AE823" s="420"/>
      <c r="AF823" s="421"/>
      <c r="AG823" s="418"/>
      <c r="AH823" s="409"/>
      <c r="AI823" s="404"/>
      <c r="AJ823" s="416"/>
      <c r="AK823" s="453"/>
      <c r="AL823" s="422"/>
      <c r="AM823" s="423"/>
      <c r="AO823" s="137" t="e">
        <f t="shared" si="91"/>
        <v>#N/A</v>
      </c>
      <c r="AP823" s="138" t="e">
        <f t="shared" si="92"/>
        <v>#N/A</v>
      </c>
      <c r="AQ823" s="138" t="e">
        <f t="shared" si="93"/>
        <v>#N/A</v>
      </c>
      <c r="AR823" s="138" t="e">
        <f t="shared" si="94"/>
        <v>#N/A</v>
      </c>
      <c r="AS823" s="138" t="e">
        <f t="shared" si="95"/>
        <v>#N/A</v>
      </c>
      <c r="AT823" s="139" t="e">
        <f t="shared" si="96"/>
        <v>#N/A</v>
      </c>
    </row>
    <row r="824" spans="1:46" ht="54" customHeight="1">
      <c r="A824" s="428">
        <f t="shared" si="97"/>
        <v>816</v>
      </c>
      <c r="B824" s="403"/>
      <c r="C824" s="404"/>
      <c r="D824" s="405"/>
      <c r="E824" s="405"/>
      <c r="F824" s="405"/>
      <c r="G824" s="405"/>
      <c r="H824" s="406"/>
      <c r="I824" s="407"/>
      <c r="J824" s="408"/>
      <c r="K824" s="409"/>
      <c r="L824" s="410"/>
      <c r="M824" s="404"/>
      <c r="N824" s="411" t="str">
        <f>IF($AI824&lt;&gt;"",Master!$N$37,IF($AC824&lt;&gt;"",Master!$N$38,IF($S824&lt;&gt;"",Master!$N$39,IF($C824&lt;&gt;"",Master!$N$40,Master!$N$41))))</f>
        <v>起票</v>
      </c>
      <c r="O824" s="412" t="str">
        <f>IF($N824=Master!$N$37,MAX($S824,$AC824,$AI824),"")</f>
        <v/>
      </c>
      <c r="P824" s="413"/>
      <c r="Q824" s="414"/>
      <c r="R824" s="409"/>
      <c r="S824" s="404"/>
      <c r="T824" s="418"/>
      <c r="U824" s="415"/>
      <c r="V824" s="409"/>
      <c r="W824" s="419"/>
      <c r="X824" s="419"/>
      <c r="Y824" s="416"/>
      <c r="Z824" s="417"/>
      <c r="AA824" s="418"/>
      <c r="AB824" s="419"/>
      <c r="AC824" s="404"/>
      <c r="AD824" s="404"/>
      <c r="AE824" s="420"/>
      <c r="AF824" s="421"/>
      <c r="AG824" s="418"/>
      <c r="AH824" s="409"/>
      <c r="AI824" s="404"/>
      <c r="AJ824" s="416"/>
      <c r="AK824" s="453"/>
      <c r="AL824" s="422"/>
      <c r="AM824" s="423"/>
      <c r="AO824" s="137" t="e">
        <f t="shared" si="91"/>
        <v>#N/A</v>
      </c>
      <c r="AP824" s="138" t="e">
        <f t="shared" si="92"/>
        <v>#N/A</v>
      </c>
      <c r="AQ824" s="138" t="e">
        <f t="shared" si="93"/>
        <v>#N/A</v>
      </c>
      <c r="AR824" s="138" t="e">
        <f t="shared" si="94"/>
        <v>#N/A</v>
      </c>
      <c r="AS824" s="138" t="e">
        <f t="shared" si="95"/>
        <v>#N/A</v>
      </c>
      <c r="AT824" s="139" t="e">
        <f t="shared" si="96"/>
        <v>#N/A</v>
      </c>
    </row>
    <row r="825" spans="1:46" ht="54" customHeight="1">
      <c r="A825" s="428">
        <f t="shared" si="97"/>
        <v>817</v>
      </c>
      <c r="B825" s="294"/>
      <c r="C825" s="201"/>
      <c r="D825" s="290"/>
      <c r="E825" s="301"/>
      <c r="F825" s="301"/>
      <c r="G825" s="290"/>
      <c r="H825" s="291"/>
      <c r="I825" s="292"/>
      <c r="J825" s="61"/>
      <c r="K825" s="57"/>
      <c r="L825" s="303"/>
      <c r="M825" s="201"/>
      <c r="N825" s="84" t="str">
        <f>IF($AI825&lt;&gt;"",Master!$N$37,IF($AC825&lt;&gt;"",Master!$N$38,IF($S825&lt;&gt;"",Master!$N$39,IF($C825&lt;&gt;"",Master!$N$40,Master!$N$41))))</f>
        <v>起票</v>
      </c>
      <c r="O825" s="202" t="str">
        <f>IF($N825=Master!$N$37,MAX($S825,$AC825,$AI825),"")</f>
        <v/>
      </c>
      <c r="P825" s="65"/>
      <c r="Q825" s="203"/>
      <c r="R825" s="57"/>
      <c r="S825" s="203"/>
      <c r="T825" s="310"/>
      <c r="U825" s="289"/>
      <c r="V825" s="57"/>
      <c r="W825" s="288"/>
      <c r="X825" s="288"/>
      <c r="Y825" s="296"/>
      <c r="Z825" s="57"/>
      <c r="AA825" s="203"/>
      <c r="AB825" s="288"/>
      <c r="AC825" s="201"/>
      <c r="AD825" s="298"/>
      <c r="AE825" s="297"/>
      <c r="AF825" s="58"/>
      <c r="AG825" s="204"/>
      <c r="AH825" s="57"/>
      <c r="AI825" s="201"/>
      <c r="AJ825" s="287"/>
      <c r="AK825" s="452"/>
      <c r="AL825" s="59"/>
      <c r="AM825" s="60"/>
      <c r="AO825" s="137" t="e">
        <f t="shared" si="91"/>
        <v>#N/A</v>
      </c>
      <c r="AP825" s="138" t="e">
        <f t="shared" si="92"/>
        <v>#N/A</v>
      </c>
      <c r="AQ825" s="138" t="e">
        <f t="shared" si="93"/>
        <v>#N/A</v>
      </c>
      <c r="AR825" s="138" t="e">
        <f t="shared" si="94"/>
        <v>#N/A</v>
      </c>
      <c r="AS825" s="138" t="e">
        <f t="shared" si="95"/>
        <v>#N/A</v>
      </c>
      <c r="AT825" s="139" t="e">
        <f t="shared" si="96"/>
        <v>#N/A</v>
      </c>
    </row>
    <row r="826" spans="1:46" ht="54" customHeight="1">
      <c r="A826" s="428">
        <f t="shared" si="97"/>
        <v>818</v>
      </c>
      <c r="B826" s="294"/>
      <c r="C826" s="201"/>
      <c r="D826" s="290"/>
      <c r="E826" s="301"/>
      <c r="F826" s="301"/>
      <c r="G826" s="290"/>
      <c r="H826" s="291"/>
      <c r="I826" s="292"/>
      <c r="J826" s="61"/>
      <c r="K826" s="57"/>
      <c r="L826" s="303"/>
      <c r="M826" s="201"/>
      <c r="N826" s="84" t="str">
        <f>IF($AI826&lt;&gt;"",Master!$N$37,IF($AC826&lt;&gt;"",Master!$N$38,IF($S826&lt;&gt;"",Master!$N$39,IF($C826&lt;&gt;"",Master!$N$40,Master!$N$41))))</f>
        <v>起票</v>
      </c>
      <c r="O826" s="202" t="str">
        <f>IF($N826=Master!$N$37,MAX($S826,$AC826,$AI826),"")</f>
        <v/>
      </c>
      <c r="P826" s="65"/>
      <c r="Q826" s="203"/>
      <c r="R826" s="57"/>
      <c r="S826" s="203"/>
      <c r="T826" s="310"/>
      <c r="U826" s="289"/>
      <c r="V826" s="57"/>
      <c r="W826" s="288"/>
      <c r="X826" s="288"/>
      <c r="Y826" s="296"/>
      <c r="Z826" s="57"/>
      <c r="AA826" s="203"/>
      <c r="AB826" s="288"/>
      <c r="AC826" s="201"/>
      <c r="AD826" s="298"/>
      <c r="AE826" s="297"/>
      <c r="AF826" s="58"/>
      <c r="AG826" s="204"/>
      <c r="AH826" s="57"/>
      <c r="AI826" s="201"/>
      <c r="AJ826" s="287"/>
      <c r="AK826" s="452"/>
      <c r="AL826" s="59"/>
      <c r="AM826" s="60"/>
      <c r="AO826" s="137" t="e">
        <f t="shared" si="91"/>
        <v>#N/A</v>
      </c>
      <c r="AP826" s="138" t="e">
        <f t="shared" si="92"/>
        <v>#N/A</v>
      </c>
      <c r="AQ826" s="138" t="e">
        <f t="shared" si="93"/>
        <v>#N/A</v>
      </c>
      <c r="AR826" s="138" t="e">
        <f t="shared" si="94"/>
        <v>#N/A</v>
      </c>
      <c r="AS826" s="138" t="e">
        <f t="shared" si="95"/>
        <v>#N/A</v>
      </c>
      <c r="AT826" s="139" t="e">
        <f t="shared" si="96"/>
        <v>#N/A</v>
      </c>
    </row>
    <row r="827" spans="1:46" ht="54" customHeight="1">
      <c r="A827" s="428">
        <f t="shared" si="97"/>
        <v>819</v>
      </c>
      <c r="B827" s="403"/>
      <c r="C827" s="404"/>
      <c r="D827" s="405"/>
      <c r="E827" s="405"/>
      <c r="F827" s="405"/>
      <c r="G827" s="405"/>
      <c r="H827" s="406"/>
      <c r="I827" s="407"/>
      <c r="J827" s="408"/>
      <c r="K827" s="409"/>
      <c r="L827" s="410"/>
      <c r="M827" s="404"/>
      <c r="N827" s="411" t="str">
        <f>IF($AI827&lt;&gt;"",Master!$N$37,IF($AC827&lt;&gt;"",Master!$N$38,IF($S827&lt;&gt;"",Master!$N$39,IF($C827&lt;&gt;"",Master!$N$40,Master!$N$41))))</f>
        <v>起票</v>
      </c>
      <c r="O827" s="412" t="str">
        <f>IF($N827=Master!$N$37,MAX($S827,$AC827,$AI827),"")</f>
        <v/>
      </c>
      <c r="P827" s="413"/>
      <c r="Q827" s="414"/>
      <c r="R827" s="409"/>
      <c r="S827" s="404"/>
      <c r="T827" s="418"/>
      <c r="U827" s="415"/>
      <c r="V827" s="409"/>
      <c r="W827" s="419"/>
      <c r="X827" s="419"/>
      <c r="Y827" s="416"/>
      <c r="Z827" s="417"/>
      <c r="AA827" s="418"/>
      <c r="AB827" s="419"/>
      <c r="AC827" s="404"/>
      <c r="AD827" s="404"/>
      <c r="AE827" s="420"/>
      <c r="AF827" s="421"/>
      <c r="AG827" s="418"/>
      <c r="AH827" s="409"/>
      <c r="AI827" s="404"/>
      <c r="AJ827" s="416"/>
      <c r="AK827" s="453"/>
      <c r="AL827" s="422"/>
      <c r="AM827" s="423"/>
      <c r="AO827" s="137" t="e">
        <f t="shared" si="91"/>
        <v>#N/A</v>
      </c>
      <c r="AP827" s="138" t="e">
        <f t="shared" si="92"/>
        <v>#N/A</v>
      </c>
      <c r="AQ827" s="138" t="e">
        <f t="shared" si="93"/>
        <v>#N/A</v>
      </c>
      <c r="AR827" s="138" t="e">
        <f t="shared" si="94"/>
        <v>#N/A</v>
      </c>
      <c r="AS827" s="138" t="e">
        <f t="shared" si="95"/>
        <v>#N/A</v>
      </c>
      <c r="AT827" s="139" t="e">
        <f t="shared" si="96"/>
        <v>#N/A</v>
      </c>
    </row>
    <row r="828" spans="1:46" ht="54" customHeight="1">
      <c r="A828" s="428">
        <f t="shared" si="97"/>
        <v>820</v>
      </c>
      <c r="B828" s="403"/>
      <c r="C828" s="404"/>
      <c r="D828" s="405"/>
      <c r="E828" s="405"/>
      <c r="F828" s="405"/>
      <c r="G828" s="405"/>
      <c r="H828" s="406"/>
      <c r="I828" s="407"/>
      <c r="J828" s="408"/>
      <c r="K828" s="409"/>
      <c r="L828" s="410"/>
      <c r="M828" s="404"/>
      <c r="N828" s="411" t="str">
        <f>IF($AI828&lt;&gt;"",Master!$N$37,IF($AC828&lt;&gt;"",Master!$N$38,IF($S828&lt;&gt;"",Master!$N$39,IF($C828&lt;&gt;"",Master!$N$40,Master!$N$41))))</f>
        <v>起票</v>
      </c>
      <c r="O828" s="412" t="str">
        <f>IF($N828=Master!$N$37,MAX($S828,$AC828,$AI828),"")</f>
        <v/>
      </c>
      <c r="P828" s="413"/>
      <c r="Q828" s="414"/>
      <c r="R828" s="409"/>
      <c r="S828" s="404"/>
      <c r="T828" s="418"/>
      <c r="U828" s="415"/>
      <c r="V828" s="409"/>
      <c r="W828" s="419"/>
      <c r="X828" s="419"/>
      <c r="Y828" s="416"/>
      <c r="Z828" s="417"/>
      <c r="AA828" s="418"/>
      <c r="AB828" s="419"/>
      <c r="AC828" s="404"/>
      <c r="AD828" s="404"/>
      <c r="AE828" s="420"/>
      <c r="AF828" s="421"/>
      <c r="AG828" s="418"/>
      <c r="AH828" s="409"/>
      <c r="AI828" s="404"/>
      <c r="AJ828" s="416"/>
      <c r="AK828" s="453"/>
      <c r="AL828" s="422"/>
      <c r="AM828" s="423"/>
      <c r="AO828" s="137" t="e">
        <f t="shared" si="91"/>
        <v>#N/A</v>
      </c>
      <c r="AP828" s="138" t="e">
        <f t="shared" si="92"/>
        <v>#N/A</v>
      </c>
      <c r="AQ828" s="138" t="e">
        <f t="shared" si="93"/>
        <v>#N/A</v>
      </c>
      <c r="AR828" s="138" t="e">
        <f t="shared" si="94"/>
        <v>#N/A</v>
      </c>
      <c r="AS828" s="138" t="e">
        <f t="shared" si="95"/>
        <v>#N/A</v>
      </c>
      <c r="AT828" s="139" t="e">
        <f t="shared" si="96"/>
        <v>#N/A</v>
      </c>
    </row>
    <row r="829" spans="1:46" ht="54" customHeight="1">
      <c r="A829" s="428">
        <f t="shared" si="97"/>
        <v>821</v>
      </c>
      <c r="B829" s="403"/>
      <c r="C829" s="404"/>
      <c r="D829" s="405"/>
      <c r="E829" s="405"/>
      <c r="F829" s="405"/>
      <c r="G829" s="405"/>
      <c r="H829" s="406"/>
      <c r="I829" s="407"/>
      <c r="J829" s="408"/>
      <c r="K829" s="409"/>
      <c r="L829" s="410"/>
      <c r="M829" s="404"/>
      <c r="N829" s="411" t="str">
        <f>IF($AI829&lt;&gt;"",Master!$N$37,IF($AC829&lt;&gt;"",Master!$N$38,IF($S829&lt;&gt;"",Master!$N$39,IF($C829&lt;&gt;"",Master!$N$40,Master!$N$41))))</f>
        <v>起票</v>
      </c>
      <c r="O829" s="412" t="str">
        <f>IF($N829=Master!$N$37,MAX($S829,$AC829,$AI829),"")</f>
        <v/>
      </c>
      <c r="P829" s="413"/>
      <c r="Q829" s="414"/>
      <c r="R829" s="409"/>
      <c r="S829" s="404"/>
      <c r="T829" s="418"/>
      <c r="U829" s="415"/>
      <c r="V829" s="409"/>
      <c r="W829" s="419"/>
      <c r="X829" s="419"/>
      <c r="Y829" s="416"/>
      <c r="Z829" s="417"/>
      <c r="AA829" s="418"/>
      <c r="AB829" s="419"/>
      <c r="AC829" s="404"/>
      <c r="AD829" s="404"/>
      <c r="AE829" s="420"/>
      <c r="AF829" s="421"/>
      <c r="AG829" s="418"/>
      <c r="AH829" s="409"/>
      <c r="AI829" s="404"/>
      <c r="AJ829" s="416"/>
      <c r="AK829" s="453"/>
      <c r="AL829" s="422"/>
      <c r="AM829" s="423"/>
      <c r="AO829" s="137" t="e">
        <f t="shared" si="91"/>
        <v>#N/A</v>
      </c>
      <c r="AP829" s="138" t="e">
        <f t="shared" si="92"/>
        <v>#N/A</v>
      </c>
      <c r="AQ829" s="138" t="e">
        <f t="shared" si="93"/>
        <v>#N/A</v>
      </c>
      <c r="AR829" s="138" t="e">
        <f t="shared" si="94"/>
        <v>#N/A</v>
      </c>
      <c r="AS829" s="138" t="e">
        <f t="shared" si="95"/>
        <v>#N/A</v>
      </c>
      <c r="AT829" s="139" t="e">
        <f t="shared" si="96"/>
        <v>#N/A</v>
      </c>
    </row>
    <row r="830" spans="1:46" ht="54" customHeight="1">
      <c r="A830" s="428">
        <f t="shared" si="97"/>
        <v>822</v>
      </c>
      <c r="B830" s="294"/>
      <c r="C830" s="201"/>
      <c r="D830" s="290"/>
      <c r="E830" s="301"/>
      <c r="F830" s="301"/>
      <c r="G830" s="290"/>
      <c r="H830" s="291"/>
      <c r="I830" s="292"/>
      <c r="J830" s="61"/>
      <c r="K830" s="57"/>
      <c r="L830" s="303"/>
      <c r="M830" s="201"/>
      <c r="N830" s="84" t="str">
        <f>IF($AI830&lt;&gt;"",Master!$N$37,IF($AC830&lt;&gt;"",Master!$N$38,IF($S830&lt;&gt;"",Master!$N$39,IF($C830&lt;&gt;"",Master!$N$40,Master!$N$41))))</f>
        <v>起票</v>
      </c>
      <c r="O830" s="202" t="str">
        <f>IF($N830=Master!$N$37,MAX($S830,$AC830,$AI830),"")</f>
        <v/>
      </c>
      <c r="P830" s="65"/>
      <c r="Q830" s="203"/>
      <c r="R830" s="57"/>
      <c r="S830" s="203"/>
      <c r="T830" s="310"/>
      <c r="U830" s="289"/>
      <c r="V830" s="57"/>
      <c r="W830" s="288"/>
      <c r="X830" s="288"/>
      <c r="Y830" s="296"/>
      <c r="Z830" s="57"/>
      <c r="AA830" s="203"/>
      <c r="AB830" s="288"/>
      <c r="AC830" s="201"/>
      <c r="AD830" s="298"/>
      <c r="AE830" s="297"/>
      <c r="AF830" s="58"/>
      <c r="AG830" s="204"/>
      <c r="AH830" s="57"/>
      <c r="AI830" s="201"/>
      <c r="AJ830" s="287"/>
      <c r="AK830" s="452"/>
      <c r="AL830" s="59"/>
      <c r="AM830" s="60"/>
      <c r="AO830" s="137" t="e">
        <f t="shared" si="91"/>
        <v>#N/A</v>
      </c>
      <c r="AP830" s="138" t="e">
        <f t="shared" si="92"/>
        <v>#N/A</v>
      </c>
      <c r="AQ830" s="138" t="e">
        <f t="shared" si="93"/>
        <v>#N/A</v>
      </c>
      <c r="AR830" s="138" t="e">
        <f t="shared" si="94"/>
        <v>#N/A</v>
      </c>
      <c r="AS830" s="138" t="e">
        <f t="shared" si="95"/>
        <v>#N/A</v>
      </c>
      <c r="AT830" s="139" t="e">
        <f t="shared" si="96"/>
        <v>#N/A</v>
      </c>
    </row>
    <row r="831" spans="1:46" ht="54" customHeight="1">
      <c r="A831" s="428">
        <f t="shared" si="97"/>
        <v>823</v>
      </c>
      <c r="B831" s="294"/>
      <c r="C831" s="201"/>
      <c r="D831" s="290"/>
      <c r="E831" s="301"/>
      <c r="F831" s="301"/>
      <c r="G831" s="290"/>
      <c r="H831" s="291"/>
      <c r="I831" s="292"/>
      <c r="J831" s="61"/>
      <c r="K831" s="57"/>
      <c r="L831" s="303"/>
      <c r="M831" s="201"/>
      <c r="N831" s="84" t="str">
        <f>IF($AI831&lt;&gt;"",Master!$N$37,IF($AC831&lt;&gt;"",Master!$N$38,IF($S831&lt;&gt;"",Master!$N$39,IF($C831&lt;&gt;"",Master!$N$40,Master!$N$41))))</f>
        <v>起票</v>
      </c>
      <c r="O831" s="202" t="str">
        <f>IF($N831=Master!$N$37,MAX($S831,$AC831,$AI831),"")</f>
        <v/>
      </c>
      <c r="P831" s="65"/>
      <c r="Q831" s="203"/>
      <c r="R831" s="57"/>
      <c r="S831" s="203"/>
      <c r="T831" s="310"/>
      <c r="U831" s="289"/>
      <c r="V831" s="57"/>
      <c r="W831" s="288"/>
      <c r="X831" s="288"/>
      <c r="Y831" s="296"/>
      <c r="Z831" s="57"/>
      <c r="AA831" s="203"/>
      <c r="AB831" s="288"/>
      <c r="AC831" s="201"/>
      <c r="AD831" s="298"/>
      <c r="AE831" s="297"/>
      <c r="AF831" s="58"/>
      <c r="AG831" s="204"/>
      <c r="AH831" s="57"/>
      <c r="AI831" s="201"/>
      <c r="AJ831" s="287"/>
      <c r="AK831" s="452"/>
      <c r="AL831" s="59"/>
      <c r="AM831" s="60"/>
      <c r="AO831" s="137" t="e">
        <f t="shared" si="91"/>
        <v>#N/A</v>
      </c>
      <c r="AP831" s="138" t="e">
        <f t="shared" si="92"/>
        <v>#N/A</v>
      </c>
      <c r="AQ831" s="138" t="e">
        <f t="shared" si="93"/>
        <v>#N/A</v>
      </c>
      <c r="AR831" s="138" t="e">
        <f t="shared" si="94"/>
        <v>#N/A</v>
      </c>
      <c r="AS831" s="138" t="e">
        <f t="shared" si="95"/>
        <v>#N/A</v>
      </c>
      <c r="AT831" s="139" t="e">
        <f t="shared" si="96"/>
        <v>#N/A</v>
      </c>
    </row>
    <row r="832" spans="1:46" ht="54" customHeight="1">
      <c r="A832" s="428">
        <f t="shared" si="97"/>
        <v>824</v>
      </c>
      <c r="B832" s="403"/>
      <c r="C832" s="404"/>
      <c r="D832" s="405"/>
      <c r="E832" s="405"/>
      <c r="F832" s="405"/>
      <c r="G832" s="405"/>
      <c r="H832" s="406"/>
      <c r="I832" s="407"/>
      <c r="J832" s="408"/>
      <c r="K832" s="409"/>
      <c r="L832" s="410"/>
      <c r="M832" s="404"/>
      <c r="N832" s="411" t="str">
        <f>IF($AI832&lt;&gt;"",Master!$N$37,IF($AC832&lt;&gt;"",Master!$N$38,IF($S832&lt;&gt;"",Master!$N$39,IF($C832&lt;&gt;"",Master!$N$40,Master!$N$41))))</f>
        <v>起票</v>
      </c>
      <c r="O832" s="412" t="str">
        <f>IF($N832=Master!$N$37,MAX($S832,$AC832,$AI832),"")</f>
        <v/>
      </c>
      <c r="P832" s="413"/>
      <c r="Q832" s="414"/>
      <c r="R832" s="409"/>
      <c r="S832" s="404"/>
      <c r="T832" s="418"/>
      <c r="U832" s="415"/>
      <c r="V832" s="409"/>
      <c r="W832" s="419"/>
      <c r="X832" s="419"/>
      <c r="Y832" s="416"/>
      <c r="Z832" s="417"/>
      <c r="AA832" s="418"/>
      <c r="AB832" s="419"/>
      <c r="AC832" s="404"/>
      <c r="AD832" s="404"/>
      <c r="AE832" s="420"/>
      <c r="AF832" s="421"/>
      <c r="AG832" s="418"/>
      <c r="AH832" s="409"/>
      <c r="AI832" s="404"/>
      <c r="AJ832" s="416"/>
      <c r="AK832" s="453"/>
      <c r="AL832" s="422"/>
      <c r="AM832" s="423"/>
      <c r="AO832" s="137" t="e">
        <f t="shared" si="91"/>
        <v>#N/A</v>
      </c>
      <c r="AP832" s="138" t="e">
        <f t="shared" si="92"/>
        <v>#N/A</v>
      </c>
      <c r="AQ832" s="138" t="e">
        <f t="shared" si="93"/>
        <v>#N/A</v>
      </c>
      <c r="AR832" s="138" t="e">
        <f t="shared" si="94"/>
        <v>#N/A</v>
      </c>
      <c r="AS832" s="138" t="e">
        <f t="shared" si="95"/>
        <v>#N/A</v>
      </c>
      <c r="AT832" s="139" t="e">
        <f t="shared" si="96"/>
        <v>#N/A</v>
      </c>
    </row>
    <row r="833" spans="1:46" ht="54" customHeight="1">
      <c r="A833" s="428">
        <f t="shared" si="97"/>
        <v>825</v>
      </c>
      <c r="B833" s="403"/>
      <c r="C833" s="404"/>
      <c r="D833" s="405"/>
      <c r="E833" s="405"/>
      <c r="F833" s="405"/>
      <c r="G833" s="405"/>
      <c r="H833" s="406"/>
      <c r="I833" s="407"/>
      <c r="J833" s="408"/>
      <c r="K833" s="409"/>
      <c r="L833" s="410"/>
      <c r="M833" s="404"/>
      <c r="N833" s="411" t="str">
        <f>IF($AI833&lt;&gt;"",Master!$N$37,IF($AC833&lt;&gt;"",Master!$N$38,IF($S833&lt;&gt;"",Master!$N$39,IF($C833&lt;&gt;"",Master!$N$40,Master!$N$41))))</f>
        <v>起票</v>
      </c>
      <c r="O833" s="412" t="str">
        <f>IF($N833=Master!$N$37,MAX($S833,$AC833,$AI833),"")</f>
        <v/>
      </c>
      <c r="P833" s="413"/>
      <c r="Q833" s="414"/>
      <c r="R833" s="409"/>
      <c r="S833" s="404"/>
      <c r="T833" s="418"/>
      <c r="U833" s="415"/>
      <c r="V833" s="409"/>
      <c r="W833" s="419"/>
      <c r="X833" s="419"/>
      <c r="Y833" s="416"/>
      <c r="Z833" s="417"/>
      <c r="AA833" s="418"/>
      <c r="AB833" s="419"/>
      <c r="AC833" s="404"/>
      <c r="AD833" s="404"/>
      <c r="AE833" s="420"/>
      <c r="AF833" s="421"/>
      <c r="AG833" s="418"/>
      <c r="AH833" s="409"/>
      <c r="AI833" s="404"/>
      <c r="AJ833" s="416"/>
      <c r="AK833" s="453"/>
      <c r="AL833" s="422"/>
      <c r="AM833" s="423"/>
      <c r="AO833" s="137" t="e">
        <f t="shared" si="91"/>
        <v>#N/A</v>
      </c>
      <c r="AP833" s="138" t="e">
        <f t="shared" si="92"/>
        <v>#N/A</v>
      </c>
      <c r="AQ833" s="138" t="e">
        <f t="shared" si="93"/>
        <v>#N/A</v>
      </c>
      <c r="AR833" s="138" t="e">
        <f t="shared" si="94"/>
        <v>#N/A</v>
      </c>
      <c r="AS833" s="138" t="e">
        <f t="shared" si="95"/>
        <v>#N/A</v>
      </c>
      <c r="AT833" s="139" t="e">
        <f t="shared" si="96"/>
        <v>#N/A</v>
      </c>
    </row>
    <row r="834" spans="1:46" ht="54" customHeight="1">
      <c r="A834" s="428">
        <f t="shared" si="97"/>
        <v>826</v>
      </c>
      <c r="B834" s="403"/>
      <c r="C834" s="404"/>
      <c r="D834" s="405"/>
      <c r="E834" s="405"/>
      <c r="F834" s="405"/>
      <c r="G834" s="405"/>
      <c r="H834" s="406"/>
      <c r="I834" s="407"/>
      <c r="J834" s="408"/>
      <c r="K834" s="409"/>
      <c r="L834" s="410"/>
      <c r="M834" s="404"/>
      <c r="N834" s="411" t="str">
        <f>IF($AI834&lt;&gt;"",Master!$N$37,IF($AC834&lt;&gt;"",Master!$N$38,IF($S834&lt;&gt;"",Master!$N$39,IF($C834&lt;&gt;"",Master!$N$40,Master!$N$41))))</f>
        <v>起票</v>
      </c>
      <c r="O834" s="412" t="str">
        <f>IF($N834=Master!$N$37,MAX($S834,$AC834,$AI834),"")</f>
        <v/>
      </c>
      <c r="P834" s="413"/>
      <c r="Q834" s="414"/>
      <c r="R834" s="409"/>
      <c r="S834" s="404"/>
      <c r="T834" s="418"/>
      <c r="U834" s="415"/>
      <c r="V834" s="409"/>
      <c r="W834" s="419"/>
      <c r="X834" s="419"/>
      <c r="Y834" s="416"/>
      <c r="Z834" s="417"/>
      <c r="AA834" s="418"/>
      <c r="AB834" s="419"/>
      <c r="AC834" s="404"/>
      <c r="AD834" s="404"/>
      <c r="AE834" s="420"/>
      <c r="AF834" s="421"/>
      <c r="AG834" s="418"/>
      <c r="AH834" s="409"/>
      <c r="AI834" s="404"/>
      <c r="AJ834" s="416"/>
      <c r="AK834" s="453"/>
      <c r="AL834" s="422"/>
      <c r="AM834" s="423"/>
      <c r="AO834" s="137" t="e">
        <f t="shared" si="91"/>
        <v>#N/A</v>
      </c>
      <c r="AP834" s="138" t="e">
        <f t="shared" si="92"/>
        <v>#N/A</v>
      </c>
      <c r="AQ834" s="138" t="e">
        <f t="shared" si="93"/>
        <v>#N/A</v>
      </c>
      <c r="AR834" s="138" t="e">
        <f t="shared" si="94"/>
        <v>#N/A</v>
      </c>
      <c r="AS834" s="138" t="e">
        <f t="shared" si="95"/>
        <v>#N/A</v>
      </c>
      <c r="AT834" s="139" t="e">
        <f t="shared" si="96"/>
        <v>#N/A</v>
      </c>
    </row>
    <row r="835" spans="1:46" ht="54" customHeight="1">
      <c r="A835" s="428">
        <f t="shared" si="97"/>
        <v>827</v>
      </c>
      <c r="B835" s="294"/>
      <c r="C835" s="201"/>
      <c r="D835" s="290"/>
      <c r="E835" s="301"/>
      <c r="F835" s="301"/>
      <c r="G835" s="290"/>
      <c r="H835" s="291"/>
      <c r="I835" s="292"/>
      <c r="J835" s="61"/>
      <c r="K835" s="57"/>
      <c r="L835" s="303"/>
      <c r="M835" s="201"/>
      <c r="N835" s="84" t="str">
        <f>IF($AI835&lt;&gt;"",Master!$N$37,IF($AC835&lt;&gt;"",Master!$N$38,IF($S835&lt;&gt;"",Master!$N$39,IF($C835&lt;&gt;"",Master!$N$40,Master!$N$41))))</f>
        <v>起票</v>
      </c>
      <c r="O835" s="202" t="str">
        <f>IF($N835=Master!$N$37,MAX($S835,$AC835,$AI835),"")</f>
        <v/>
      </c>
      <c r="P835" s="65"/>
      <c r="Q835" s="203"/>
      <c r="R835" s="57"/>
      <c r="S835" s="203"/>
      <c r="T835" s="310"/>
      <c r="U835" s="289"/>
      <c r="V835" s="57"/>
      <c r="W835" s="288"/>
      <c r="X835" s="288"/>
      <c r="Y835" s="296"/>
      <c r="Z835" s="57"/>
      <c r="AA835" s="203"/>
      <c r="AB835" s="288"/>
      <c r="AC835" s="201"/>
      <c r="AD835" s="298"/>
      <c r="AE835" s="297"/>
      <c r="AF835" s="58"/>
      <c r="AG835" s="204"/>
      <c r="AH835" s="57"/>
      <c r="AI835" s="201"/>
      <c r="AJ835" s="287"/>
      <c r="AK835" s="452"/>
      <c r="AL835" s="59"/>
      <c r="AM835" s="60"/>
      <c r="AO835" s="137" t="e">
        <f t="shared" si="77"/>
        <v>#N/A</v>
      </c>
      <c r="AP835" s="138" t="e">
        <f t="shared" si="78"/>
        <v>#N/A</v>
      </c>
      <c r="AQ835" s="138" t="e">
        <f t="shared" si="79"/>
        <v>#N/A</v>
      </c>
      <c r="AR835" s="138" t="e">
        <f t="shared" si="80"/>
        <v>#N/A</v>
      </c>
      <c r="AS835" s="138" t="e">
        <f t="shared" si="81"/>
        <v>#N/A</v>
      </c>
      <c r="AT835" s="139" t="e">
        <f t="shared" si="82"/>
        <v>#N/A</v>
      </c>
    </row>
    <row r="836" spans="1:46" ht="54" customHeight="1">
      <c r="A836" s="428">
        <f t="shared" si="97"/>
        <v>828</v>
      </c>
      <c r="B836" s="294"/>
      <c r="C836" s="201"/>
      <c r="D836" s="290"/>
      <c r="E836" s="301"/>
      <c r="F836" s="301"/>
      <c r="G836" s="290"/>
      <c r="H836" s="291"/>
      <c r="I836" s="292"/>
      <c r="J836" s="61"/>
      <c r="K836" s="57"/>
      <c r="L836" s="303"/>
      <c r="M836" s="201"/>
      <c r="N836" s="84" t="str">
        <f>IF($AI836&lt;&gt;"",Master!$N$37,IF($AC836&lt;&gt;"",Master!$N$38,IF($S836&lt;&gt;"",Master!$N$39,IF($C836&lt;&gt;"",Master!$N$40,Master!$N$41))))</f>
        <v>起票</v>
      </c>
      <c r="O836" s="202" t="str">
        <f>IF($N836=Master!$N$37,MAX($S836,$AC836,$AI836),"")</f>
        <v/>
      </c>
      <c r="P836" s="65"/>
      <c r="Q836" s="203"/>
      <c r="R836" s="57"/>
      <c r="S836" s="203"/>
      <c r="T836" s="310"/>
      <c r="U836" s="289"/>
      <c r="V836" s="57"/>
      <c r="W836" s="288"/>
      <c r="X836" s="288"/>
      <c r="Y836" s="296"/>
      <c r="Z836" s="57"/>
      <c r="AA836" s="203"/>
      <c r="AB836" s="288"/>
      <c r="AC836" s="201"/>
      <c r="AD836" s="298"/>
      <c r="AE836" s="297"/>
      <c r="AF836" s="58"/>
      <c r="AG836" s="204"/>
      <c r="AH836" s="57"/>
      <c r="AI836" s="201"/>
      <c r="AJ836" s="287"/>
      <c r="AK836" s="452"/>
      <c r="AL836" s="59"/>
      <c r="AM836" s="60"/>
      <c r="AO836" s="137" t="e">
        <f t="shared" si="77"/>
        <v>#N/A</v>
      </c>
      <c r="AP836" s="138" t="e">
        <f t="shared" si="78"/>
        <v>#N/A</v>
      </c>
      <c r="AQ836" s="138" t="e">
        <f t="shared" si="79"/>
        <v>#N/A</v>
      </c>
      <c r="AR836" s="138" t="e">
        <f t="shared" si="80"/>
        <v>#N/A</v>
      </c>
      <c r="AS836" s="138" t="e">
        <f t="shared" si="81"/>
        <v>#N/A</v>
      </c>
      <c r="AT836" s="139" t="e">
        <f t="shared" si="82"/>
        <v>#N/A</v>
      </c>
    </row>
    <row r="837" spans="1:46" ht="54" customHeight="1">
      <c r="A837" s="428">
        <f t="shared" si="97"/>
        <v>829</v>
      </c>
      <c r="B837" s="403"/>
      <c r="C837" s="404"/>
      <c r="D837" s="405"/>
      <c r="E837" s="405"/>
      <c r="F837" s="405"/>
      <c r="G837" s="405"/>
      <c r="H837" s="406"/>
      <c r="I837" s="407"/>
      <c r="J837" s="408"/>
      <c r="K837" s="409"/>
      <c r="L837" s="410"/>
      <c r="M837" s="404"/>
      <c r="N837" s="411" t="str">
        <f>IF($AI837&lt;&gt;"",Master!$N$37,IF($AC837&lt;&gt;"",Master!$N$38,IF($S837&lt;&gt;"",Master!$N$39,IF($C837&lt;&gt;"",Master!$N$40,Master!$N$41))))</f>
        <v>起票</v>
      </c>
      <c r="O837" s="412" t="str">
        <f>IF($N837=Master!$N$37,MAX($S837,$AC837,$AI837),"")</f>
        <v/>
      </c>
      <c r="P837" s="413"/>
      <c r="Q837" s="414"/>
      <c r="R837" s="409"/>
      <c r="S837" s="404"/>
      <c r="T837" s="418"/>
      <c r="U837" s="415"/>
      <c r="V837" s="409"/>
      <c r="W837" s="419"/>
      <c r="X837" s="419"/>
      <c r="Y837" s="416"/>
      <c r="Z837" s="417"/>
      <c r="AA837" s="418"/>
      <c r="AB837" s="419"/>
      <c r="AC837" s="404"/>
      <c r="AD837" s="404"/>
      <c r="AE837" s="420"/>
      <c r="AF837" s="421"/>
      <c r="AG837" s="418"/>
      <c r="AH837" s="409"/>
      <c r="AI837" s="404"/>
      <c r="AJ837" s="416"/>
      <c r="AK837" s="453"/>
      <c r="AL837" s="422"/>
      <c r="AM837" s="423"/>
      <c r="AO837" s="137" t="e">
        <f t="shared" si="77"/>
        <v>#N/A</v>
      </c>
      <c r="AP837" s="138" t="e">
        <f t="shared" si="78"/>
        <v>#N/A</v>
      </c>
      <c r="AQ837" s="138" t="e">
        <f t="shared" si="79"/>
        <v>#N/A</v>
      </c>
      <c r="AR837" s="138" t="e">
        <f t="shared" si="80"/>
        <v>#N/A</v>
      </c>
      <c r="AS837" s="138" t="e">
        <f t="shared" si="81"/>
        <v>#N/A</v>
      </c>
      <c r="AT837" s="139" t="e">
        <f t="shared" si="82"/>
        <v>#N/A</v>
      </c>
    </row>
    <row r="838" spans="1:46" ht="54" customHeight="1">
      <c r="A838" s="428">
        <f t="shared" si="97"/>
        <v>830</v>
      </c>
      <c r="B838" s="403"/>
      <c r="C838" s="404"/>
      <c r="D838" s="405"/>
      <c r="E838" s="405"/>
      <c r="F838" s="405"/>
      <c r="G838" s="405"/>
      <c r="H838" s="406"/>
      <c r="I838" s="407"/>
      <c r="J838" s="408"/>
      <c r="K838" s="409"/>
      <c r="L838" s="410"/>
      <c r="M838" s="404"/>
      <c r="N838" s="411" t="str">
        <f>IF($AI838&lt;&gt;"",Master!$N$37,IF($AC838&lt;&gt;"",Master!$N$38,IF($S838&lt;&gt;"",Master!$N$39,IF($C838&lt;&gt;"",Master!$N$40,Master!$N$41))))</f>
        <v>起票</v>
      </c>
      <c r="O838" s="412" t="str">
        <f>IF($N838=Master!$N$37,MAX($S838,$AC838,$AI838),"")</f>
        <v/>
      </c>
      <c r="P838" s="413"/>
      <c r="Q838" s="414"/>
      <c r="R838" s="409"/>
      <c r="S838" s="404"/>
      <c r="T838" s="418"/>
      <c r="U838" s="415"/>
      <c r="V838" s="409"/>
      <c r="W838" s="419"/>
      <c r="X838" s="419"/>
      <c r="Y838" s="416"/>
      <c r="Z838" s="417"/>
      <c r="AA838" s="418"/>
      <c r="AB838" s="419"/>
      <c r="AC838" s="404"/>
      <c r="AD838" s="404"/>
      <c r="AE838" s="420"/>
      <c r="AF838" s="421"/>
      <c r="AG838" s="418"/>
      <c r="AH838" s="409"/>
      <c r="AI838" s="404"/>
      <c r="AJ838" s="416"/>
      <c r="AK838" s="453"/>
      <c r="AL838" s="422"/>
      <c r="AM838" s="423"/>
      <c r="AO838" s="137" t="e">
        <f t="shared" si="77"/>
        <v>#N/A</v>
      </c>
      <c r="AP838" s="138" t="e">
        <f t="shared" si="78"/>
        <v>#N/A</v>
      </c>
      <c r="AQ838" s="138" t="e">
        <f t="shared" si="79"/>
        <v>#N/A</v>
      </c>
      <c r="AR838" s="138" t="e">
        <f t="shared" si="80"/>
        <v>#N/A</v>
      </c>
      <c r="AS838" s="138" t="e">
        <f t="shared" si="81"/>
        <v>#N/A</v>
      </c>
      <c r="AT838" s="139" t="e">
        <f t="shared" si="82"/>
        <v>#N/A</v>
      </c>
    </row>
    <row r="839" spans="1:46" ht="54" customHeight="1">
      <c r="A839" s="428">
        <f t="shared" si="97"/>
        <v>831</v>
      </c>
      <c r="B839" s="403"/>
      <c r="C839" s="404"/>
      <c r="D839" s="405"/>
      <c r="E839" s="405"/>
      <c r="F839" s="405"/>
      <c r="G839" s="405"/>
      <c r="H839" s="406"/>
      <c r="I839" s="407"/>
      <c r="J839" s="408"/>
      <c r="K839" s="409"/>
      <c r="L839" s="410"/>
      <c r="M839" s="404"/>
      <c r="N839" s="411" t="str">
        <f>IF($AI839&lt;&gt;"",Master!$N$37,IF($AC839&lt;&gt;"",Master!$N$38,IF($S839&lt;&gt;"",Master!$N$39,IF($C839&lt;&gt;"",Master!$N$40,Master!$N$41))))</f>
        <v>起票</v>
      </c>
      <c r="O839" s="412" t="str">
        <f>IF($N839=Master!$N$37,MAX($S839,$AC839,$AI839),"")</f>
        <v/>
      </c>
      <c r="P839" s="413"/>
      <c r="Q839" s="414"/>
      <c r="R839" s="409"/>
      <c r="S839" s="404"/>
      <c r="T839" s="418"/>
      <c r="U839" s="415"/>
      <c r="V839" s="409"/>
      <c r="W839" s="419"/>
      <c r="X839" s="419"/>
      <c r="Y839" s="416"/>
      <c r="Z839" s="417"/>
      <c r="AA839" s="418"/>
      <c r="AB839" s="419"/>
      <c r="AC839" s="404"/>
      <c r="AD839" s="404"/>
      <c r="AE839" s="420"/>
      <c r="AF839" s="421"/>
      <c r="AG839" s="418"/>
      <c r="AH839" s="409"/>
      <c r="AI839" s="404"/>
      <c r="AJ839" s="416"/>
      <c r="AK839" s="453"/>
      <c r="AL839" s="422"/>
      <c r="AM839" s="423"/>
      <c r="AO839" s="137" t="e">
        <f t="shared" si="77"/>
        <v>#N/A</v>
      </c>
      <c r="AP839" s="138" t="e">
        <f t="shared" si="78"/>
        <v>#N/A</v>
      </c>
      <c r="AQ839" s="138" t="e">
        <f t="shared" si="79"/>
        <v>#N/A</v>
      </c>
      <c r="AR839" s="138" t="e">
        <f t="shared" si="80"/>
        <v>#N/A</v>
      </c>
      <c r="AS839" s="138" t="e">
        <f t="shared" si="81"/>
        <v>#N/A</v>
      </c>
      <c r="AT839" s="139" t="e">
        <f t="shared" si="82"/>
        <v>#N/A</v>
      </c>
    </row>
    <row r="840" spans="1:46" ht="54" customHeight="1">
      <c r="A840" s="428">
        <f t="shared" si="97"/>
        <v>832</v>
      </c>
      <c r="B840" s="294"/>
      <c r="C840" s="201"/>
      <c r="D840" s="290"/>
      <c r="E840" s="301"/>
      <c r="F840" s="301"/>
      <c r="G840" s="290"/>
      <c r="H840" s="291"/>
      <c r="I840" s="292"/>
      <c r="J840" s="61"/>
      <c r="K840" s="57"/>
      <c r="L840" s="303"/>
      <c r="M840" s="201"/>
      <c r="N840" s="84" t="str">
        <f>IF($AI840&lt;&gt;"",Master!$N$37,IF($AC840&lt;&gt;"",Master!$N$38,IF($S840&lt;&gt;"",Master!$N$39,IF($C840&lt;&gt;"",Master!$N$40,Master!$N$41))))</f>
        <v>起票</v>
      </c>
      <c r="O840" s="202" t="str">
        <f>IF($N840=Master!$N$37,MAX($S840,$AC840,$AI840),"")</f>
        <v/>
      </c>
      <c r="P840" s="65"/>
      <c r="Q840" s="203"/>
      <c r="R840" s="57"/>
      <c r="S840" s="203"/>
      <c r="T840" s="310"/>
      <c r="U840" s="289"/>
      <c r="V840" s="57"/>
      <c r="W840" s="288"/>
      <c r="X840" s="288"/>
      <c r="Y840" s="296"/>
      <c r="Z840" s="57"/>
      <c r="AA840" s="203"/>
      <c r="AB840" s="288"/>
      <c r="AC840" s="201"/>
      <c r="AD840" s="298"/>
      <c r="AE840" s="297"/>
      <c r="AF840" s="58"/>
      <c r="AG840" s="204"/>
      <c r="AH840" s="57"/>
      <c r="AI840" s="201"/>
      <c r="AJ840" s="287"/>
      <c r="AK840" s="452"/>
      <c r="AL840" s="59"/>
      <c r="AM840" s="60"/>
      <c r="AO840" s="137" t="e">
        <f t="shared" si="77"/>
        <v>#N/A</v>
      </c>
      <c r="AP840" s="138" t="e">
        <f t="shared" si="78"/>
        <v>#N/A</v>
      </c>
      <c r="AQ840" s="138" t="e">
        <f t="shared" si="79"/>
        <v>#N/A</v>
      </c>
      <c r="AR840" s="138" t="e">
        <f t="shared" si="80"/>
        <v>#N/A</v>
      </c>
      <c r="AS840" s="138" t="e">
        <f t="shared" si="81"/>
        <v>#N/A</v>
      </c>
      <c r="AT840" s="139" t="e">
        <f t="shared" si="82"/>
        <v>#N/A</v>
      </c>
    </row>
    <row r="841" spans="1:46" ht="54" customHeight="1">
      <c r="A841" s="428">
        <f t="shared" si="97"/>
        <v>833</v>
      </c>
      <c r="B841" s="294"/>
      <c r="C841" s="201"/>
      <c r="D841" s="290"/>
      <c r="E841" s="301"/>
      <c r="F841" s="301"/>
      <c r="G841" s="290"/>
      <c r="H841" s="291"/>
      <c r="I841" s="292"/>
      <c r="J841" s="61"/>
      <c r="K841" s="57"/>
      <c r="L841" s="303"/>
      <c r="M841" s="201"/>
      <c r="N841" s="84" t="str">
        <f>IF($AI841&lt;&gt;"",Master!$N$37,IF($AC841&lt;&gt;"",Master!$N$38,IF($S841&lt;&gt;"",Master!$N$39,IF($C841&lt;&gt;"",Master!$N$40,Master!$N$41))))</f>
        <v>起票</v>
      </c>
      <c r="O841" s="202" t="str">
        <f>IF($N841=Master!$N$37,MAX($S841,$AC841,$AI841),"")</f>
        <v/>
      </c>
      <c r="P841" s="65"/>
      <c r="Q841" s="203"/>
      <c r="R841" s="57"/>
      <c r="S841" s="203"/>
      <c r="T841" s="310"/>
      <c r="U841" s="289"/>
      <c r="V841" s="57"/>
      <c r="W841" s="288"/>
      <c r="X841" s="288"/>
      <c r="Y841" s="296"/>
      <c r="Z841" s="57"/>
      <c r="AA841" s="203"/>
      <c r="AB841" s="288"/>
      <c r="AC841" s="201"/>
      <c r="AD841" s="298"/>
      <c r="AE841" s="297"/>
      <c r="AF841" s="58"/>
      <c r="AG841" s="204"/>
      <c r="AH841" s="57"/>
      <c r="AI841" s="201"/>
      <c r="AJ841" s="287"/>
      <c r="AK841" s="452"/>
      <c r="AL841" s="59"/>
      <c r="AM841" s="60"/>
      <c r="AO841" s="137" t="e">
        <f t="shared" si="77"/>
        <v>#N/A</v>
      </c>
      <c r="AP841" s="138" t="e">
        <f t="shared" si="78"/>
        <v>#N/A</v>
      </c>
      <c r="AQ841" s="138" t="e">
        <f t="shared" si="79"/>
        <v>#N/A</v>
      </c>
      <c r="AR841" s="138" t="e">
        <f t="shared" si="80"/>
        <v>#N/A</v>
      </c>
      <c r="AS841" s="138" t="e">
        <f t="shared" si="81"/>
        <v>#N/A</v>
      </c>
      <c r="AT841" s="139" t="e">
        <f t="shared" si="82"/>
        <v>#N/A</v>
      </c>
    </row>
    <row r="842" spans="1:46" ht="54" customHeight="1">
      <c r="A842" s="428">
        <f t="shared" si="97"/>
        <v>834</v>
      </c>
      <c r="B842" s="403"/>
      <c r="C842" s="404"/>
      <c r="D842" s="405"/>
      <c r="E842" s="405"/>
      <c r="F842" s="405"/>
      <c r="G842" s="405"/>
      <c r="H842" s="406"/>
      <c r="I842" s="407"/>
      <c r="J842" s="408"/>
      <c r="K842" s="409"/>
      <c r="L842" s="410"/>
      <c r="M842" s="404"/>
      <c r="N842" s="411" t="str">
        <f>IF($AI842&lt;&gt;"",Master!$N$37,IF($AC842&lt;&gt;"",Master!$N$38,IF($S842&lt;&gt;"",Master!$N$39,IF($C842&lt;&gt;"",Master!$N$40,Master!$N$41))))</f>
        <v>起票</v>
      </c>
      <c r="O842" s="412" t="str">
        <f>IF($N842=Master!$N$37,MAX($S842,$AC842,$AI842),"")</f>
        <v/>
      </c>
      <c r="P842" s="413"/>
      <c r="Q842" s="414"/>
      <c r="R842" s="409"/>
      <c r="S842" s="404"/>
      <c r="T842" s="418"/>
      <c r="U842" s="415"/>
      <c r="V842" s="409"/>
      <c r="W842" s="419"/>
      <c r="X842" s="419"/>
      <c r="Y842" s="416"/>
      <c r="Z842" s="417"/>
      <c r="AA842" s="418"/>
      <c r="AB842" s="419"/>
      <c r="AC842" s="404"/>
      <c r="AD842" s="404"/>
      <c r="AE842" s="420"/>
      <c r="AF842" s="421"/>
      <c r="AG842" s="418"/>
      <c r="AH842" s="409"/>
      <c r="AI842" s="404"/>
      <c r="AJ842" s="416"/>
      <c r="AK842" s="453"/>
      <c r="AL842" s="422"/>
      <c r="AM842" s="423"/>
      <c r="AO842" s="137" t="e">
        <f t="shared" si="77"/>
        <v>#N/A</v>
      </c>
      <c r="AP842" s="138" t="e">
        <f t="shared" si="78"/>
        <v>#N/A</v>
      </c>
      <c r="AQ842" s="138" t="e">
        <f t="shared" si="79"/>
        <v>#N/A</v>
      </c>
      <c r="AR842" s="138" t="e">
        <f t="shared" si="80"/>
        <v>#N/A</v>
      </c>
      <c r="AS842" s="138" t="e">
        <f t="shared" si="81"/>
        <v>#N/A</v>
      </c>
      <c r="AT842" s="139" t="e">
        <f t="shared" si="82"/>
        <v>#N/A</v>
      </c>
    </row>
    <row r="843" spans="1:46" ht="54" customHeight="1">
      <c r="A843" s="428">
        <f t="shared" si="97"/>
        <v>835</v>
      </c>
      <c r="B843" s="403"/>
      <c r="C843" s="404"/>
      <c r="D843" s="405"/>
      <c r="E843" s="405"/>
      <c r="F843" s="405"/>
      <c r="G843" s="405"/>
      <c r="H843" s="406"/>
      <c r="I843" s="407"/>
      <c r="J843" s="408"/>
      <c r="K843" s="409"/>
      <c r="L843" s="410"/>
      <c r="M843" s="404"/>
      <c r="N843" s="411" t="str">
        <f>IF($AI843&lt;&gt;"",Master!$N$37,IF($AC843&lt;&gt;"",Master!$N$38,IF($S843&lt;&gt;"",Master!$N$39,IF($C843&lt;&gt;"",Master!$N$40,Master!$N$41))))</f>
        <v>起票</v>
      </c>
      <c r="O843" s="412" t="str">
        <f>IF($N843=Master!$N$37,MAX($S843,$AC843,$AI843),"")</f>
        <v/>
      </c>
      <c r="P843" s="413"/>
      <c r="Q843" s="414"/>
      <c r="R843" s="409"/>
      <c r="S843" s="404"/>
      <c r="T843" s="418"/>
      <c r="U843" s="415"/>
      <c r="V843" s="409"/>
      <c r="W843" s="419"/>
      <c r="X843" s="419"/>
      <c r="Y843" s="416"/>
      <c r="Z843" s="417"/>
      <c r="AA843" s="418"/>
      <c r="AB843" s="419"/>
      <c r="AC843" s="404"/>
      <c r="AD843" s="404"/>
      <c r="AE843" s="420"/>
      <c r="AF843" s="421"/>
      <c r="AG843" s="418"/>
      <c r="AH843" s="409"/>
      <c r="AI843" s="404"/>
      <c r="AJ843" s="416"/>
      <c r="AK843" s="453"/>
      <c r="AL843" s="422"/>
      <c r="AM843" s="423"/>
      <c r="AO843" s="137" t="e">
        <f t="shared" si="77"/>
        <v>#N/A</v>
      </c>
      <c r="AP843" s="138" t="e">
        <f t="shared" si="78"/>
        <v>#N/A</v>
      </c>
      <c r="AQ843" s="138" t="e">
        <f t="shared" si="79"/>
        <v>#N/A</v>
      </c>
      <c r="AR843" s="138" t="e">
        <f t="shared" si="80"/>
        <v>#N/A</v>
      </c>
      <c r="AS843" s="138" t="e">
        <f t="shared" si="81"/>
        <v>#N/A</v>
      </c>
      <c r="AT843" s="139" t="e">
        <f t="shared" si="82"/>
        <v>#N/A</v>
      </c>
    </row>
    <row r="844" spans="1:46" ht="54" customHeight="1">
      <c r="A844" s="428">
        <f t="shared" ref="A844:A907" si="98">A843+1</f>
        <v>836</v>
      </c>
      <c r="B844" s="403"/>
      <c r="C844" s="404"/>
      <c r="D844" s="405"/>
      <c r="E844" s="405"/>
      <c r="F844" s="405"/>
      <c r="G844" s="405"/>
      <c r="H844" s="406"/>
      <c r="I844" s="407"/>
      <c r="J844" s="408"/>
      <c r="K844" s="409"/>
      <c r="L844" s="410"/>
      <c r="M844" s="404"/>
      <c r="N844" s="411" t="str">
        <f>IF($AI844&lt;&gt;"",Master!$N$37,IF($AC844&lt;&gt;"",Master!$N$38,IF($S844&lt;&gt;"",Master!$N$39,IF($C844&lt;&gt;"",Master!$N$40,Master!$N$41))))</f>
        <v>起票</v>
      </c>
      <c r="O844" s="412" t="str">
        <f>IF($N844=Master!$N$37,MAX($S844,$AC844,$AI844),"")</f>
        <v/>
      </c>
      <c r="P844" s="413"/>
      <c r="Q844" s="414"/>
      <c r="R844" s="409"/>
      <c r="S844" s="404"/>
      <c r="T844" s="418"/>
      <c r="U844" s="415"/>
      <c r="V844" s="409"/>
      <c r="W844" s="419"/>
      <c r="X844" s="419"/>
      <c r="Y844" s="416"/>
      <c r="Z844" s="417"/>
      <c r="AA844" s="418"/>
      <c r="AB844" s="419"/>
      <c r="AC844" s="404"/>
      <c r="AD844" s="404"/>
      <c r="AE844" s="420"/>
      <c r="AF844" s="421"/>
      <c r="AG844" s="418"/>
      <c r="AH844" s="409"/>
      <c r="AI844" s="404"/>
      <c r="AJ844" s="416"/>
      <c r="AK844" s="453"/>
      <c r="AL844" s="422"/>
      <c r="AM844" s="423"/>
      <c r="AO844" s="137" t="e">
        <f t="shared" si="77"/>
        <v>#N/A</v>
      </c>
      <c r="AP844" s="138" t="e">
        <f t="shared" si="78"/>
        <v>#N/A</v>
      </c>
      <c r="AQ844" s="138" t="e">
        <f t="shared" si="79"/>
        <v>#N/A</v>
      </c>
      <c r="AR844" s="138" t="e">
        <f t="shared" si="80"/>
        <v>#N/A</v>
      </c>
      <c r="AS844" s="138" t="e">
        <f t="shared" si="81"/>
        <v>#N/A</v>
      </c>
      <c r="AT844" s="139" t="e">
        <f t="shared" si="82"/>
        <v>#N/A</v>
      </c>
    </row>
    <row r="845" spans="1:46" ht="54" customHeight="1">
      <c r="A845" s="428">
        <f t="shared" si="98"/>
        <v>837</v>
      </c>
      <c r="B845" s="294"/>
      <c r="C845" s="201"/>
      <c r="D845" s="290"/>
      <c r="E845" s="301"/>
      <c r="F845" s="301"/>
      <c r="G845" s="290"/>
      <c r="H845" s="291"/>
      <c r="I845" s="292"/>
      <c r="J845" s="61"/>
      <c r="K845" s="57"/>
      <c r="L845" s="303"/>
      <c r="M845" s="201"/>
      <c r="N845" s="84" t="str">
        <f>IF($AI845&lt;&gt;"",Master!$N$37,IF($AC845&lt;&gt;"",Master!$N$38,IF($S845&lt;&gt;"",Master!$N$39,IF($C845&lt;&gt;"",Master!$N$40,Master!$N$41))))</f>
        <v>起票</v>
      </c>
      <c r="O845" s="202" t="str">
        <f>IF($N845=Master!$N$37,MAX($S845,$AC845,$AI845),"")</f>
        <v/>
      </c>
      <c r="P845" s="65"/>
      <c r="Q845" s="203"/>
      <c r="R845" s="57"/>
      <c r="S845" s="203"/>
      <c r="T845" s="310"/>
      <c r="U845" s="289"/>
      <c r="V845" s="57"/>
      <c r="W845" s="288"/>
      <c r="X845" s="288"/>
      <c r="Y845" s="296"/>
      <c r="Z845" s="57"/>
      <c r="AA845" s="203"/>
      <c r="AB845" s="288"/>
      <c r="AC845" s="201"/>
      <c r="AD845" s="298"/>
      <c r="AE845" s="297"/>
      <c r="AF845" s="58"/>
      <c r="AG845" s="204"/>
      <c r="AH845" s="57"/>
      <c r="AI845" s="201"/>
      <c r="AJ845" s="287"/>
      <c r="AK845" s="452"/>
      <c r="AL845" s="59"/>
      <c r="AM845" s="60"/>
      <c r="AO845" s="137" t="e">
        <f t="shared" ref="AO845:AO894" si="99">IF(AND(C845&lt;&gt;"",C845&lt;=$AI$3),IF(E845="","",E845),NA())</f>
        <v>#N/A</v>
      </c>
      <c r="AP845" s="138" t="e">
        <f t="shared" ref="AP845:AP894" si="100">IF(AND(C845&lt;&gt;"",C845&lt;=$AI$3),IF(F845="","",F845),NA())</f>
        <v>#N/A</v>
      </c>
      <c r="AQ845" s="138" t="e">
        <f t="shared" ref="AQ845:AQ894" si="101">IF(AND(C845&lt;&gt;"",C845&lt;=$AI$3),IF(H845="","",H845),NA())</f>
        <v>#N/A</v>
      </c>
      <c r="AR845" s="138" t="e">
        <f t="shared" ref="AR845:AR894" si="102">IF(AND(C845&lt;&gt;"",C845&lt;=$AI$3),IF(U845="","",U845),NA())</f>
        <v>#N/A</v>
      </c>
      <c r="AS845" s="138" t="e">
        <f t="shared" ref="AS845:AS894" si="103">IF(AND(C845&lt;&gt;"",C845&lt;=$AI$3),IF(V845="","",V845),NA())</f>
        <v>#N/A</v>
      </c>
      <c r="AT845" s="139" t="e">
        <f t="shared" ref="AT845:AT894" si="104">IF(AND(C845&lt;&gt;"",C845&lt;=$AI$3),IF(AB845="","",AB845),NA())</f>
        <v>#N/A</v>
      </c>
    </row>
    <row r="846" spans="1:46" ht="54" customHeight="1">
      <c r="A846" s="428">
        <f t="shared" si="98"/>
        <v>838</v>
      </c>
      <c r="B846" s="294"/>
      <c r="C846" s="201"/>
      <c r="D846" s="290"/>
      <c r="E846" s="301"/>
      <c r="F846" s="301"/>
      <c r="G846" s="290"/>
      <c r="H846" s="291"/>
      <c r="I846" s="292"/>
      <c r="J846" s="61"/>
      <c r="K846" s="57"/>
      <c r="L846" s="303"/>
      <c r="M846" s="201"/>
      <c r="N846" s="84" t="str">
        <f>IF($AI846&lt;&gt;"",Master!$N$37,IF($AC846&lt;&gt;"",Master!$N$38,IF($S846&lt;&gt;"",Master!$N$39,IF($C846&lt;&gt;"",Master!$N$40,Master!$N$41))))</f>
        <v>起票</v>
      </c>
      <c r="O846" s="202" t="str">
        <f>IF($N846=Master!$N$37,MAX($S846,$AC846,$AI846),"")</f>
        <v/>
      </c>
      <c r="P846" s="65"/>
      <c r="Q846" s="203"/>
      <c r="R846" s="57"/>
      <c r="S846" s="203"/>
      <c r="T846" s="310"/>
      <c r="U846" s="289"/>
      <c r="V846" s="57"/>
      <c r="W846" s="288"/>
      <c r="X846" s="288"/>
      <c r="Y846" s="296"/>
      <c r="Z846" s="57"/>
      <c r="AA846" s="203"/>
      <c r="AB846" s="288"/>
      <c r="AC846" s="201"/>
      <c r="AD846" s="298"/>
      <c r="AE846" s="297"/>
      <c r="AF846" s="58"/>
      <c r="AG846" s="204"/>
      <c r="AH846" s="57"/>
      <c r="AI846" s="201"/>
      <c r="AJ846" s="287"/>
      <c r="AK846" s="452"/>
      <c r="AL846" s="59"/>
      <c r="AM846" s="60"/>
      <c r="AO846" s="137" t="e">
        <f t="shared" si="99"/>
        <v>#N/A</v>
      </c>
      <c r="AP846" s="138" t="e">
        <f t="shared" si="100"/>
        <v>#N/A</v>
      </c>
      <c r="AQ846" s="138" t="e">
        <f t="shared" si="101"/>
        <v>#N/A</v>
      </c>
      <c r="AR846" s="138" t="e">
        <f t="shared" si="102"/>
        <v>#N/A</v>
      </c>
      <c r="AS846" s="138" t="e">
        <f t="shared" si="103"/>
        <v>#N/A</v>
      </c>
      <c r="AT846" s="139" t="e">
        <f t="shared" si="104"/>
        <v>#N/A</v>
      </c>
    </row>
    <row r="847" spans="1:46" ht="54" customHeight="1">
      <c r="A847" s="428">
        <f t="shared" si="98"/>
        <v>839</v>
      </c>
      <c r="B847" s="403"/>
      <c r="C847" s="404"/>
      <c r="D847" s="405"/>
      <c r="E847" s="405"/>
      <c r="F847" s="405"/>
      <c r="G847" s="405"/>
      <c r="H847" s="406"/>
      <c r="I847" s="407"/>
      <c r="J847" s="408"/>
      <c r="K847" s="409"/>
      <c r="L847" s="410"/>
      <c r="M847" s="404"/>
      <c r="N847" s="411" t="str">
        <f>IF($AI847&lt;&gt;"",Master!$N$37,IF($AC847&lt;&gt;"",Master!$N$38,IF($S847&lt;&gt;"",Master!$N$39,IF($C847&lt;&gt;"",Master!$N$40,Master!$N$41))))</f>
        <v>起票</v>
      </c>
      <c r="O847" s="412" t="str">
        <f>IF($N847=Master!$N$37,MAX($S847,$AC847,$AI847),"")</f>
        <v/>
      </c>
      <c r="P847" s="413"/>
      <c r="Q847" s="414"/>
      <c r="R847" s="409"/>
      <c r="S847" s="404"/>
      <c r="T847" s="418"/>
      <c r="U847" s="415"/>
      <c r="V847" s="409"/>
      <c r="W847" s="419"/>
      <c r="X847" s="419"/>
      <c r="Y847" s="416"/>
      <c r="Z847" s="417"/>
      <c r="AA847" s="418"/>
      <c r="AB847" s="419"/>
      <c r="AC847" s="404"/>
      <c r="AD847" s="404"/>
      <c r="AE847" s="420"/>
      <c r="AF847" s="421"/>
      <c r="AG847" s="418"/>
      <c r="AH847" s="409"/>
      <c r="AI847" s="404"/>
      <c r="AJ847" s="416"/>
      <c r="AK847" s="453"/>
      <c r="AL847" s="422"/>
      <c r="AM847" s="423"/>
      <c r="AO847" s="137" t="e">
        <f t="shared" si="99"/>
        <v>#N/A</v>
      </c>
      <c r="AP847" s="138" t="e">
        <f t="shared" si="100"/>
        <v>#N/A</v>
      </c>
      <c r="AQ847" s="138" t="e">
        <f t="shared" si="101"/>
        <v>#N/A</v>
      </c>
      <c r="AR847" s="138" t="e">
        <f t="shared" si="102"/>
        <v>#N/A</v>
      </c>
      <c r="AS847" s="138" t="e">
        <f t="shared" si="103"/>
        <v>#N/A</v>
      </c>
      <c r="AT847" s="139" t="e">
        <f t="shared" si="104"/>
        <v>#N/A</v>
      </c>
    </row>
    <row r="848" spans="1:46" ht="54" customHeight="1">
      <c r="A848" s="428">
        <f t="shared" si="98"/>
        <v>840</v>
      </c>
      <c r="B848" s="403"/>
      <c r="C848" s="404"/>
      <c r="D848" s="405"/>
      <c r="E848" s="405"/>
      <c r="F848" s="405"/>
      <c r="G848" s="405"/>
      <c r="H848" s="406"/>
      <c r="I848" s="407"/>
      <c r="J848" s="408"/>
      <c r="K848" s="409"/>
      <c r="L848" s="410"/>
      <c r="M848" s="404"/>
      <c r="N848" s="411" t="str">
        <f>IF($AI848&lt;&gt;"",Master!$N$37,IF($AC848&lt;&gt;"",Master!$N$38,IF($S848&lt;&gt;"",Master!$N$39,IF($C848&lt;&gt;"",Master!$N$40,Master!$N$41))))</f>
        <v>起票</v>
      </c>
      <c r="O848" s="412" t="str">
        <f>IF($N848=Master!$N$37,MAX($S848,$AC848,$AI848),"")</f>
        <v/>
      </c>
      <c r="P848" s="413"/>
      <c r="Q848" s="414"/>
      <c r="R848" s="409"/>
      <c r="S848" s="404"/>
      <c r="T848" s="418"/>
      <c r="U848" s="415"/>
      <c r="V848" s="409"/>
      <c r="W848" s="419"/>
      <c r="X848" s="419"/>
      <c r="Y848" s="416"/>
      <c r="Z848" s="417"/>
      <c r="AA848" s="418"/>
      <c r="AB848" s="419"/>
      <c r="AC848" s="404"/>
      <c r="AD848" s="404"/>
      <c r="AE848" s="420"/>
      <c r="AF848" s="421"/>
      <c r="AG848" s="418"/>
      <c r="AH848" s="409"/>
      <c r="AI848" s="404"/>
      <c r="AJ848" s="416"/>
      <c r="AK848" s="453"/>
      <c r="AL848" s="422"/>
      <c r="AM848" s="423"/>
      <c r="AO848" s="137" t="e">
        <f t="shared" si="99"/>
        <v>#N/A</v>
      </c>
      <c r="AP848" s="138" t="e">
        <f t="shared" si="100"/>
        <v>#N/A</v>
      </c>
      <c r="AQ848" s="138" t="e">
        <f t="shared" si="101"/>
        <v>#N/A</v>
      </c>
      <c r="AR848" s="138" t="e">
        <f t="shared" si="102"/>
        <v>#N/A</v>
      </c>
      <c r="AS848" s="138" t="e">
        <f t="shared" si="103"/>
        <v>#N/A</v>
      </c>
      <c r="AT848" s="139" t="e">
        <f t="shared" si="104"/>
        <v>#N/A</v>
      </c>
    </row>
    <row r="849" spans="1:46" ht="54" customHeight="1">
      <c r="A849" s="428">
        <f t="shared" si="98"/>
        <v>841</v>
      </c>
      <c r="B849" s="403"/>
      <c r="C849" s="404"/>
      <c r="D849" s="405"/>
      <c r="E849" s="405"/>
      <c r="F849" s="405"/>
      <c r="G849" s="405"/>
      <c r="H849" s="406"/>
      <c r="I849" s="407"/>
      <c r="J849" s="408"/>
      <c r="K849" s="409"/>
      <c r="L849" s="410"/>
      <c r="M849" s="404"/>
      <c r="N849" s="411" t="str">
        <f>IF($AI849&lt;&gt;"",Master!$N$37,IF($AC849&lt;&gt;"",Master!$N$38,IF($S849&lt;&gt;"",Master!$N$39,IF($C849&lt;&gt;"",Master!$N$40,Master!$N$41))))</f>
        <v>起票</v>
      </c>
      <c r="O849" s="412" t="str">
        <f>IF($N849=Master!$N$37,MAX($S849,$AC849,$AI849),"")</f>
        <v/>
      </c>
      <c r="P849" s="413"/>
      <c r="Q849" s="414"/>
      <c r="R849" s="409"/>
      <c r="S849" s="404"/>
      <c r="T849" s="418"/>
      <c r="U849" s="415"/>
      <c r="V849" s="409"/>
      <c r="W849" s="419"/>
      <c r="X849" s="419"/>
      <c r="Y849" s="416"/>
      <c r="Z849" s="417"/>
      <c r="AA849" s="418"/>
      <c r="AB849" s="419"/>
      <c r="AC849" s="404"/>
      <c r="AD849" s="404"/>
      <c r="AE849" s="420"/>
      <c r="AF849" s="421"/>
      <c r="AG849" s="418"/>
      <c r="AH849" s="409"/>
      <c r="AI849" s="404"/>
      <c r="AJ849" s="416"/>
      <c r="AK849" s="453"/>
      <c r="AL849" s="422"/>
      <c r="AM849" s="423"/>
      <c r="AO849" s="137" t="e">
        <f t="shared" si="99"/>
        <v>#N/A</v>
      </c>
      <c r="AP849" s="138" t="e">
        <f t="shared" si="100"/>
        <v>#N/A</v>
      </c>
      <c r="AQ849" s="138" t="e">
        <f t="shared" si="101"/>
        <v>#N/A</v>
      </c>
      <c r="AR849" s="138" t="e">
        <f t="shared" si="102"/>
        <v>#N/A</v>
      </c>
      <c r="AS849" s="138" t="e">
        <f t="shared" si="103"/>
        <v>#N/A</v>
      </c>
      <c r="AT849" s="139" t="e">
        <f t="shared" si="104"/>
        <v>#N/A</v>
      </c>
    </row>
    <row r="850" spans="1:46" ht="54" customHeight="1">
      <c r="A850" s="428">
        <f t="shared" si="98"/>
        <v>842</v>
      </c>
      <c r="B850" s="294"/>
      <c r="C850" s="201"/>
      <c r="D850" s="290"/>
      <c r="E850" s="301"/>
      <c r="F850" s="301"/>
      <c r="G850" s="290"/>
      <c r="H850" s="291"/>
      <c r="I850" s="292"/>
      <c r="J850" s="61"/>
      <c r="K850" s="57"/>
      <c r="L850" s="303"/>
      <c r="M850" s="201"/>
      <c r="N850" s="84" t="str">
        <f>IF($AI850&lt;&gt;"",Master!$N$37,IF($AC850&lt;&gt;"",Master!$N$38,IF($S850&lt;&gt;"",Master!$N$39,IF($C850&lt;&gt;"",Master!$N$40,Master!$N$41))))</f>
        <v>起票</v>
      </c>
      <c r="O850" s="202" t="str">
        <f>IF($N850=Master!$N$37,MAX($S850,$AC850,$AI850),"")</f>
        <v/>
      </c>
      <c r="P850" s="65"/>
      <c r="Q850" s="203"/>
      <c r="R850" s="57"/>
      <c r="S850" s="203"/>
      <c r="T850" s="310"/>
      <c r="U850" s="289"/>
      <c r="V850" s="57"/>
      <c r="W850" s="288"/>
      <c r="X850" s="288"/>
      <c r="Y850" s="296"/>
      <c r="Z850" s="57"/>
      <c r="AA850" s="203"/>
      <c r="AB850" s="288"/>
      <c r="AC850" s="201"/>
      <c r="AD850" s="298"/>
      <c r="AE850" s="297"/>
      <c r="AF850" s="58"/>
      <c r="AG850" s="204"/>
      <c r="AH850" s="57"/>
      <c r="AI850" s="201"/>
      <c r="AJ850" s="287"/>
      <c r="AK850" s="452"/>
      <c r="AL850" s="59"/>
      <c r="AM850" s="60"/>
      <c r="AO850" s="137" t="e">
        <f t="shared" si="99"/>
        <v>#N/A</v>
      </c>
      <c r="AP850" s="138" t="e">
        <f t="shared" si="100"/>
        <v>#N/A</v>
      </c>
      <c r="AQ850" s="138" t="e">
        <f t="shared" si="101"/>
        <v>#N/A</v>
      </c>
      <c r="AR850" s="138" t="e">
        <f t="shared" si="102"/>
        <v>#N/A</v>
      </c>
      <c r="AS850" s="138" t="e">
        <f t="shared" si="103"/>
        <v>#N/A</v>
      </c>
      <c r="AT850" s="139" t="e">
        <f t="shared" si="104"/>
        <v>#N/A</v>
      </c>
    </row>
    <row r="851" spans="1:46" ht="54" customHeight="1">
      <c r="A851" s="428">
        <f t="shared" si="98"/>
        <v>843</v>
      </c>
      <c r="B851" s="294"/>
      <c r="C851" s="201"/>
      <c r="D851" s="290"/>
      <c r="E851" s="301"/>
      <c r="F851" s="301"/>
      <c r="G851" s="290"/>
      <c r="H851" s="291"/>
      <c r="I851" s="292"/>
      <c r="J851" s="61"/>
      <c r="K851" s="57"/>
      <c r="L851" s="303"/>
      <c r="M851" s="201"/>
      <c r="N851" s="84" t="str">
        <f>IF($AI851&lt;&gt;"",Master!$N$37,IF($AC851&lt;&gt;"",Master!$N$38,IF($S851&lt;&gt;"",Master!$N$39,IF($C851&lt;&gt;"",Master!$N$40,Master!$N$41))))</f>
        <v>起票</v>
      </c>
      <c r="O851" s="202" t="str">
        <f>IF($N851=Master!$N$37,MAX($S851,$AC851,$AI851),"")</f>
        <v/>
      </c>
      <c r="P851" s="65"/>
      <c r="Q851" s="203"/>
      <c r="R851" s="57"/>
      <c r="S851" s="203"/>
      <c r="T851" s="310"/>
      <c r="U851" s="289"/>
      <c r="V851" s="57"/>
      <c r="W851" s="288"/>
      <c r="X851" s="288"/>
      <c r="Y851" s="296"/>
      <c r="Z851" s="57"/>
      <c r="AA851" s="203"/>
      <c r="AB851" s="288"/>
      <c r="AC851" s="201"/>
      <c r="AD851" s="298"/>
      <c r="AE851" s="297"/>
      <c r="AF851" s="58"/>
      <c r="AG851" s="204"/>
      <c r="AH851" s="57"/>
      <c r="AI851" s="201"/>
      <c r="AJ851" s="287"/>
      <c r="AK851" s="452"/>
      <c r="AL851" s="59"/>
      <c r="AM851" s="60"/>
      <c r="AO851" s="137" t="e">
        <f t="shared" si="99"/>
        <v>#N/A</v>
      </c>
      <c r="AP851" s="138" t="e">
        <f t="shared" si="100"/>
        <v>#N/A</v>
      </c>
      <c r="AQ851" s="138" t="e">
        <f t="shared" si="101"/>
        <v>#N/A</v>
      </c>
      <c r="AR851" s="138" t="e">
        <f t="shared" si="102"/>
        <v>#N/A</v>
      </c>
      <c r="AS851" s="138" t="e">
        <f t="shared" si="103"/>
        <v>#N/A</v>
      </c>
      <c r="AT851" s="139" t="e">
        <f t="shared" si="104"/>
        <v>#N/A</v>
      </c>
    </row>
    <row r="852" spans="1:46" ht="54" customHeight="1">
      <c r="A852" s="428">
        <f t="shared" si="98"/>
        <v>844</v>
      </c>
      <c r="B852" s="403"/>
      <c r="C852" s="404"/>
      <c r="D852" s="405"/>
      <c r="E852" s="405"/>
      <c r="F852" s="405"/>
      <c r="G852" s="405"/>
      <c r="H852" s="406"/>
      <c r="I852" s="407"/>
      <c r="J852" s="408"/>
      <c r="K852" s="409"/>
      <c r="L852" s="410"/>
      <c r="M852" s="404"/>
      <c r="N852" s="411" t="str">
        <f>IF($AI852&lt;&gt;"",Master!$N$37,IF($AC852&lt;&gt;"",Master!$N$38,IF($S852&lt;&gt;"",Master!$N$39,IF($C852&lt;&gt;"",Master!$N$40,Master!$N$41))))</f>
        <v>起票</v>
      </c>
      <c r="O852" s="412" t="str">
        <f>IF($N852=Master!$N$37,MAX($S852,$AC852,$AI852),"")</f>
        <v/>
      </c>
      <c r="P852" s="413"/>
      <c r="Q852" s="414"/>
      <c r="R852" s="409"/>
      <c r="S852" s="404"/>
      <c r="T852" s="418"/>
      <c r="U852" s="415"/>
      <c r="V852" s="409"/>
      <c r="W852" s="419"/>
      <c r="X852" s="419"/>
      <c r="Y852" s="416"/>
      <c r="Z852" s="417"/>
      <c r="AA852" s="418"/>
      <c r="AB852" s="419"/>
      <c r="AC852" s="404"/>
      <c r="AD852" s="404"/>
      <c r="AE852" s="420"/>
      <c r="AF852" s="421"/>
      <c r="AG852" s="418"/>
      <c r="AH852" s="409"/>
      <c r="AI852" s="404"/>
      <c r="AJ852" s="416"/>
      <c r="AK852" s="453"/>
      <c r="AL852" s="422"/>
      <c r="AM852" s="423"/>
      <c r="AO852" s="137" t="e">
        <f t="shared" si="99"/>
        <v>#N/A</v>
      </c>
      <c r="AP852" s="138" t="e">
        <f t="shared" si="100"/>
        <v>#N/A</v>
      </c>
      <c r="AQ852" s="138" t="e">
        <f t="shared" si="101"/>
        <v>#N/A</v>
      </c>
      <c r="AR852" s="138" t="e">
        <f t="shared" si="102"/>
        <v>#N/A</v>
      </c>
      <c r="AS852" s="138" t="e">
        <f t="shared" si="103"/>
        <v>#N/A</v>
      </c>
      <c r="AT852" s="139" t="e">
        <f t="shared" si="104"/>
        <v>#N/A</v>
      </c>
    </row>
    <row r="853" spans="1:46" ht="54" customHeight="1">
      <c r="A853" s="428">
        <f t="shared" si="98"/>
        <v>845</v>
      </c>
      <c r="B853" s="403"/>
      <c r="C853" s="404"/>
      <c r="D853" s="405"/>
      <c r="E853" s="405"/>
      <c r="F853" s="405"/>
      <c r="G853" s="405"/>
      <c r="H853" s="406"/>
      <c r="I853" s="407"/>
      <c r="J853" s="408"/>
      <c r="K853" s="409"/>
      <c r="L853" s="410"/>
      <c r="M853" s="404"/>
      <c r="N853" s="411" t="str">
        <f>IF($AI853&lt;&gt;"",Master!$N$37,IF($AC853&lt;&gt;"",Master!$N$38,IF($S853&lt;&gt;"",Master!$N$39,IF($C853&lt;&gt;"",Master!$N$40,Master!$N$41))))</f>
        <v>起票</v>
      </c>
      <c r="O853" s="412" t="str">
        <f>IF($N853=Master!$N$37,MAX($S853,$AC853,$AI853),"")</f>
        <v/>
      </c>
      <c r="P853" s="413"/>
      <c r="Q853" s="414"/>
      <c r="R853" s="409"/>
      <c r="S853" s="404"/>
      <c r="T853" s="418"/>
      <c r="U853" s="415"/>
      <c r="V853" s="409"/>
      <c r="W853" s="419"/>
      <c r="X853" s="419"/>
      <c r="Y853" s="416"/>
      <c r="Z853" s="417"/>
      <c r="AA853" s="418"/>
      <c r="AB853" s="419"/>
      <c r="AC853" s="404"/>
      <c r="AD853" s="404"/>
      <c r="AE853" s="420"/>
      <c r="AF853" s="421"/>
      <c r="AG853" s="418"/>
      <c r="AH853" s="409"/>
      <c r="AI853" s="404"/>
      <c r="AJ853" s="416"/>
      <c r="AK853" s="453"/>
      <c r="AL853" s="422"/>
      <c r="AM853" s="423"/>
      <c r="AO853" s="137" t="e">
        <f t="shared" si="99"/>
        <v>#N/A</v>
      </c>
      <c r="AP853" s="138" t="e">
        <f t="shared" si="100"/>
        <v>#N/A</v>
      </c>
      <c r="AQ853" s="138" t="e">
        <f t="shared" si="101"/>
        <v>#N/A</v>
      </c>
      <c r="AR853" s="138" t="e">
        <f t="shared" si="102"/>
        <v>#N/A</v>
      </c>
      <c r="AS853" s="138" t="e">
        <f t="shared" si="103"/>
        <v>#N/A</v>
      </c>
      <c r="AT853" s="139" t="e">
        <f t="shared" si="104"/>
        <v>#N/A</v>
      </c>
    </row>
    <row r="854" spans="1:46" ht="54" customHeight="1">
      <c r="A854" s="428">
        <f t="shared" si="98"/>
        <v>846</v>
      </c>
      <c r="B854" s="403"/>
      <c r="C854" s="404"/>
      <c r="D854" s="405"/>
      <c r="E854" s="405"/>
      <c r="F854" s="405"/>
      <c r="G854" s="405"/>
      <c r="H854" s="406"/>
      <c r="I854" s="407"/>
      <c r="J854" s="408"/>
      <c r="K854" s="409"/>
      <c r="L854" s="410"/>
      <c r="M854" s="404"/>
      <c r="N854" s="411" t="str">
        <f>IF($AI854&lt;&gt;"",Master!$N$37,IF($AC854&lt;&gt;"",Master!$N$38,IF($S854&lt;&gt;"",Master!$N$39,IF($C854&lt;&gt;"",Master!$N$40,Master!$N$41))))</f>
        <v>起票</v>
      </c>
      <c r="O854" s="412" t="str">
        <f>IF($N854=Master!$N$37,MAX($S854,$AC854,$AI854),"")</f>
        <v/>
      </c>
      <c r="P854" s="413"/>
      <c r="Q854" s="414"/>
      <c r="R854" s="409"/>
      <c r="S854" s="404"/>
      <c r="T854" s="418"/>
      <c r="U854" s="415"/>
      <c r="V854" s="409"/>
      <c r="W854" s="419"/>
      <c r="X854" s="419"/>
      <c r="Y854" s="416"/>
      <c r="Z854" s="417"/>
      <c r="AA854" s="418"/>
      <c r="AB854" s="419"/>
      <c r="AC854" s="404"/>
      <c r="AD854" s="404"/>
      <c r="AE854" s="420"/>
      <c r="AF854" s="421"/>
      <c r="AG854" s="418"/>
      <c r="AH854" s="409"/>
      <c r="AI854" s="404"/>
      <c r="AJ854" s="416"/>
      <c r="AK854" s="453"/>
      <c r="AL854" s="422"/>
      <c r="AM854" s="423"/>
      <c r="AO854" s="137" t="e">
        <f t="shared" si="99"/>
        <v>#N/A</v>
      </c>
      <c r="AP854" s="138" t="e">
        <f t="shared" si="100"/>
        <v>#N/A</v>
      </c>
      <c r="AQ854" s="138" t="e">
        <f t="shared" si="101"/>
        <v>#N/A</v>
      </c>
      <c r="AR854" s="138" t="e">
        <f t="shared" si="102"/>
        <v>#N/A</v>
      </c>
      <c r="AS854" s="138" t="e">
        <f t="shared" si="103"/>
        <v>#N/A</v>
      </c>
      <c r="AT854" s="139" t="e">
        <f t="shared" si="104"/>
        <v>#N/A</v>
      </c>
    </row>
    <row r="855" spans="1:46" ht="54" customHeight="1">
      <c r="A855" s="428">
        <f t="shared" si="98"/>
        <v>847</v>
      </c>
      <c r="B855" s="294"/>
      <c r="C855" s="201"/>
      <c r="D855" s="290"/>
      <c r="E855" s="301"/>
      <c r="F855" s="301"/>
      <c r="G855" s="290"/>
      <c r="H855" s="291"/>
      <c r="I855" s="292"/>
      <c r="J855" s="61"/>
      <c r="K855" s="57"/>
      <c r="L855" s="303"/>
      <c r="M855" s="201"/>
      <c r="N855" s="84" t="str">
        <f>IF($AI855&lt;&gt;"",Master!$N$37,IF($AC855&lt;&gt;"",Master!$N$38,IF($S855&lt;&gt;"",Master!$N$39,IF($C855&lt;&gt;"",Master!$N$40,Master!$N$41))))</f>
        <v>起票</v>
      </c>
      <c r="O855" s="202" t="str">
        <f>IF($N855=Master!$N$37,MAX($S855,$AC855,$AI855),"")</f>
        <v/>
      </c>
      <c r="P855" s="65"/>
      <c r="Q855" s="203"/>
      <c r="R855" s="57"/>
      <c r="S855" s="203"/>
      <c r="T855" s="310"/>
      <c r="U855" s="289"/>
      <c r="V855" s="57"/>
      <c r="W855" s="288"/>
      <c r="X855" s="288"/>
      <c r="Y855" s="296"/>
      <c r="Z855" s="57"/>
      <c r="AA855" s="203"/>
      <c r="AB855" s="288"/>
      <c r="AC855" s="201"/>
      <c r="AD855" s="298"/>
      <c r="AE855" s="297"/>
      <c r="AF855" s="58"/>
      <c r="AG855" s="204"/>
      <c r="AH855" s="57"/>
      <c r="AI855" s="201"/>
      <c r="AJ855" s="287"/>
      <c r="AK855" s="452"/>
      <c r="AL855" s="59"/>
      <c r="AM855" s="60"/>
      <c r="AO855" s="137" t="e">
        <f t="shared" si="99"/>
        <v>#N/A</v>
      </c>
      <c r="AP855" s="138" t="e">
        <f t="shared" si="100"/>
        <v>#N/A</v>
      </c>
      <c r="AQ855" s="138" t="e">
        <f t="shared" si="101"/>
        <v>#N/A</v>
      </c>
      <c r="AR855" s="138" t="e">
        <f t="shared" si="102"/>
        <v>#N/A</v>
      </c>
      <c r="AS855" s="138" t="e">
        <f t="shared" si="103"/>
        <v>#N/A</v>
      </c>
      <c r="AT855" s="139" t="e">
        <f t="shared" si="104"/>
        <v>#N/A</v>
      </c>
    </row>
    <row r="856" spans="1:46" ht="54" customHeight="1">
      <c r="A856" s="428">
        <f t="shared" si="98"/>
        <v>848</v>
      </c>
      <c r="B856" s="294"/>
      <c r="C856" s="201"/>
      <c r="D856" s="290"/>
      <c r="E856" s="301"/>
      <c r="F856" s="301"/>
      <c r="G856" s="290"/>
      <c r="H856" s="291"/>
      <c r="I856" s="292"/>
      <c r="J856" s="61"/>
      <c r="K856" s="57"/>
      <c r="L856" s="303"/>
      <c r="M856" s="201"/>
      <c r="N856" s="84" t="str">
        <f>IF($AI856&lt;&gt;"",Master!$N$37,IF($AC856&lt;&gt;"",Master!$N$38,IF($S856&lt;&gt;"",Master!$N$39,IF($C856&lt;&gt;"",Master!$N$40,Master!$N$41))))</f>
        <v>起票</v>
      </c>
      <c r="O856" s="202" t="str">
        <f>IF($N856=Master!$N$37,MAX($S856,$AC856,$AI856),"")</f>
        <v/>
      </c>
      <c r="P856" s="65"/>
      <c r="Q856" s="203"/>
      <c r="R856" s="57"/>
      <c r="S856" s="203"/>
      <c r="T856" s="310"/>
      <c r="U856" s="289"/>
      <c r="V856" s="57"/>
      <c r="W856" s="288"/>
      <c r="X856" s="288"/>
      <c r="Y856" s="296"/>
      <c r="Z856" s="57"/>
      <c r="AA856" s="203"/>
      <c r="AB856" s="288"/>
      <c r="AC856" s="201"/>
      <c r="AD856" s="298"/>
      <c r="AE856" s="297"/>
      <c r="AF856" s="58"/>
      <c r="AG856" s="204"/>
      <c r="AH856" s="57"/>
      <c r="AI856" s="201"/>
      <c r="AJ856" s="287"/>
      <c r="AK856" s="452"/>
      <c r="AL856" s="59"/>
      <c r="AM856" s="60"/>
      <c r="AO856" s="137" t="e">
        <f t="shared" si="99"/>
        <v>#N/A</v>
      </c>
      <c r="AP856" s="138" t="e">
        <f t="shared" si="100"/>
        <v>#N/A</v>
      </c>
      <c r="AQ856" s="138" t="e">
        <f t="shared" si="101"/>
        <v>#N/A</v>
      </c>
      <c r="AR856" s="138" t="e">
        <f t="shared" si="102"/>
        <v>#N/A</v>
      </c>
      <c r="AS856" s="138" t="e">
        <f t="shared" si="103"/>
        <v>#N/A</v>
      </c>
      <c r="AT856" s="139" t="e">
        <f t="shared" si="104"/>
        <v>#N/A</v>
      </c>
    </row>
    <row r="857" spans="1:46" ht="54" customHeight="1">
      <c r="A857" s="428">
        <f t="shared" si="98"/>
        <v>849</v>
      </c>
      <c r="B857" s="403"/>
      <c r="C857" s="404"/>
      <c r="D857" s="405"/>
      <c r="E857" s="405"/>
      <c r="F857" s="405"/>
      <c r="G857" s="405"/>
      <c r="H857" s="406"/>
      <c r="I857" s="407"/>
      <c r="J857" s="408"/>
      <c r="K857" s="409"/>
      <c r="L857" s="410"/>
      <c r="M857" s="404"/>
      <c r="N857" s="411" t="str">
        <f>IF($AI857&lt;&gt;"",Master!$N$37,IF($AC857&lt;&gt;"",Master!$N$38,IF($S857&lt;&gt;"",Master!$N$39,IF($C857&lt;&gt;"",Master!$N$40,Master!$N$41))))</f>
        <v>起票</v>
      </c>
      <c r="O857" s="412" t="str">
        <f>IF($N857=Master!$N$37,MAX($S857,$AC857,$AI857),"")</f>
        <v/>
      </c>
      <c r="P857" s="413"/>
      <c r="Q857" s="414"/>
      <c r="R857" s="409"/>
      <c r="S857" s="404"/>
      <c r="T857" s="418"/>
      <c r="U857" s="415"/>
      <c r="V857" s="409"/>
      <c r="W857" s="419"/>
      <c r="X857" s="419"/>
      <c r="Y857" s="416"/>
      <c r="Z857" s="417"/>
      <c r="AA857" s="418"/>
      <c r="AB857" s="419"/>
      <c r="AC857" s="404"/>
      <c r="AD857" s="404"/>
      <c r="AE857" s="420"/>
      <c r="AF857" s="421"/>
      <c r="AG857" s="418"/>
      <c r="AH857" s="409"/>
      <c r="AI857" s="404"/>
      <c r="AJ857" s="416"/>
      <c r="AK857" s="453"/>
      <c r="AL857" s="422"/>
      <c r="AM857" s="423"/>
      <c r="AO857" s="137" t="e">
        <f t="shared" si="99"/>
        <v>#N/A</v>
      </c>
      <c r="AP857" s="138" t="e">
        <f t="shared" si="100"/>
        <v>#N/A</v>
      </c>
      <c r="AQ857" s="138" t="e">
        <f t="shared" si="101"/>
        <v>#N/A</v>
      </c>
      <c r="AR857" s="138" t="e">
        <f t="shared" si="102"/>
        <v>#N/A</v>
      </c>
      <c r="AS857" s="138" t="e">
        <f t="shared" si="103"/>
        <v>#N/A</v>
      </c>
      <c r="AT857" s="139" t="e">
        <f t="shared" si="104"/>
        <v>#N/A</v>
      </c>
    </row>
    <row r="858" spans="1:46" ht="54" customHeight="1">
      <c r="A858" s="428">
        <f t="shared" si="98"/>
        <v>850</v>
      </c>
      <c r="B858" s="403"/>
      <c r="C858" s="404"/>
      <c r="D858" s="405"/>
      <c r="E858" s="405"/>
      <c r="F858" s="405"/>
      <c r="G858" s="405"/>
      <c r="H858" s="406"/>
      <c r="I858" s="407"/>
      <c r="J858" s="408"/>
      <c r="K858" s="409"/>
      <c r="L858" s="410"/>
      <c r="M858" s="404"/>
      <c r="N858" s="411" t="str">
        <f>IF($AI858&lt;&gt;"",Master!$N$37,IF($AC858&lt;&gt;"",Master!$N$38,IF($S858&lt;&gt;"",Master!$N$39,IF($C858&lt;&gt;"",Master!$N$40,Master!$N$41))))</f>
        <v>起票</v>
      </c>
      <c r="O858" s="412" t="str">
        <f>IF($N858=Master!$N$37,MAX($S858,$AC858,$AI858),"")</f>
        <v/>
      </c>
      <c r="P858" s="413"/>
      <c r="Q858" s="414"/>
      <c r="R858" s="409"/>
      <c r="S858" s="404"/>
      <c r="T858" s="418"/>
      <c r="U858" s="415"/>
      <c r="V858" s="409"/>
      <c r="W858" s="419"/>
      <c r="X858" s="419"/>
      <c r="Y858" s="416"/>
      <c r="Z858" s="417"/>
      <c r="AA858" s="418"/>
      <c r="AB858" s="419"/>
      <c r="AC858" s="404"/>
      <c r="AD858" s="404"/>
      <c r="AE858" s="420"/>
      <c r="AF858" s="421"/>
      <c r="AG858" s="418"/>
      <c r="AH858" s="409"/>
      <c r="AI858" s="404"/>
      <c r="AJ858" s="416"/>
      <c r="AK858" s="453"/>
      <c r="AL858" s="422"/>
      <c r="AM858" s="423"/>
      <c r="AO858" s="137" t="e">
        <f t="shared" si="99"/>
        <v>#N/A</v>
      </c>
      <c r="AP858" s="138" t="e">
        <f t="shared" si="100"/>
        <v>#N/A</v>
      </c>
      <c r="AQ858" s="138" t="e">
        <f t="shared" si="101"/>
        <v>#N/A</v>
      </c>
      <c r="AR858" s="138" t="e">
        <f t="shared" si="102"/>
        <v>#N/A</v>
      </c>
      <c r="AS858" s="138" t="e">
        <f t="shared" si="103"/>
        <v>#N/A</v>
      </c>
      <c r="AT858" s="139" t="e">
        <f t="shared" si="104"/>
        <v>#N/A</v>
      </c>
    </row>
    <row r="859" spans="1:46" ht="54" customHeight="1">
      <c r="A859" s="428">
        <f t="shared" si="98"/>
        <v>851</v>
      </c>
      <c r="B859" s="403"/>
      <c r="C859" s="404"/>
      <c r="D859" s="405"/>
      <c r="E859" s="405"/>
      <c r="F859" s="405"/>
      <c r="G859" s="405"/>
      <c r="H859" s="406"/>
      <c r="I859" s="407"/>
      <c r="J859" s="408"/>
      <c r="K859" s="409"/>
      <c r="L859" s="410"/>
      <c r="M859" s="404"/>
      <c r="N859" s="411" t="str">
        <f>IF($AI859&lt;&gt;"",Master!$N$37,IF($AC859&lt;&gt;"",Master!$N$38,IF($S859&lt;&gt;"",Master!$N$39,IF($C859&lt;&gt;"",Master!$N$40,Master!$N$41))))</f>
        <v>起票</v>
      </c>
      <c r="O859" s="412" t="str">
        <f>IF($N859=Master!$N$37,MAX($S859,$AC859,$AI859),"")</f>
        <v/>
      </c>
      <c r="P859" s="413"/>
      <c r="Q859" s="414"/>
      <c r="R859" s="409"/>
      <c r="S859" s="404"/>
      <c r="T859" s="418"/>
      <c r="U859" s="415"/>
      <c r="V859" s="409"/>
      <c r="W859" s="419"/>
      <c r="X859" s="419"/>
      <c r="Y859" s="416"/>
      <c r="Z859" s="417"/>
      <c r="AA859" s="418"/>
      <c r="AB859" s="419"/>
      <c r="AC859" s="404"/>
      <c r="AD859" s="404"/>
      <c r="AE859" s="420"/>
      <c r="AF859" s="421"/>
      <c r="AG859" s="418"/>
      <c r="AH859" s="409"/>
      <c r="AI859" s="404"/>
      <c r="AJ859" s="416"/>
      <c r="AK859" s="453"/>
      <c r="AL859" s="422"/>
      <c r="AM859" s="423"/>
      <c r="AO859" s="137" t="e">
        <f t="shared" si="99"/>
        <v>#N/A</v>
      </c>
      <c r="AP859" s="138" t="e">
        <f t="shared" si="100"/>
        <v>#N/A</v>
      </c>
      <c r="AQ859" s="138" t="e">
        <f t="shared" si="101"/>
        <v>#N/A</v>
      </c>
      <c r="AR859" s="138" t="e">
        <f t="shared" si="102"/>
        <v>#N/A</v>
      </c>
      <c r="AS859" s="138" t="e">
        <f t="shared" si="103"/>
        <v>#N/A</v>
      </c>
      <c r="AT859" s="139" t="e">
        <f t="shared" si="104"/>
        <v>#N/A</v>
      </c>
    </row>
    <row r="860" spans="1:46" ht="54" customHeight="1">
      <c r="A860" s="428">
        <f t="shared" si="98"/>
        <v>852</v>
      </c>
      <c r="B860" s="294"/>
      <c r="C860" s="201"/>
      <c r="D860" s="290"/>
      <c r="E860" s="301"/>
      <c r="F860" s="301"/>
      <c r="G860" s="290"/>
      <c r="H860" s="291"/>
      <c r="I860" s="292"/>
      <c r="J860" s="61"/>
      <c r="K860" s="57"/>
      <c r="L860" s="303"/>
      <c r="M860" s="201"/>
      <c r="N860" s="84" t="str">
        <f>IF($AI860&lt;&gt;"",Master!$N$37,IF($AC860&lt;&gt;"",Master!$N$38,IF($S860&lt;&gt;"",Master!$N$39,IF($C860&lt;&gt;"",Master!$N$40,Master!$N$41))))</f>
        <v>起票</v>
      </c>
      <c r="O860" s="202" t="str">
        <f>IF($N860=Master!$N$37,MAX($S860,$AC860,$AI860),"")</f>
        <v/>
      </c>
      <c r="P860" s="65"/>
      <c r="Q860" s="203"/>
      <c r="R860" s="57"/>
      <c r="S860" s="203"/>
      <c r="T860" s="310"/>
      <c r="U860" s="289"/>
      <c r="V860" s="57"/>
      <c r="W860" s="288"/>
      <c r="X860" s="288"/>
      <c r="Y860" s="296"/>
      <c r="Z860" s="57"/>
      <c r="AA860" s="203"/>
      <c r="AB860" s="288"/>
      <c r="AC860" s="201"/>
      <c r="AD860" s="298"/>
      <c r="AE860" s="297"/>
      <c r="AF860" s="58"/>
      <c r="AG860" s="204"/>
      <c r="AH860" s="57"/>
      <c r="AI860" s="201"/>
      <c r="AJ860" s="287"/>
      <c r="AK860" s="452"/>
      <c r="AL860" s="59"/>
      <c r="AM860" s="60"/>
      <c r="AO860" s="137" t="e">
        <f t="shared" si="99"/>
        <v>#N/A</v>
      </c>
      <c r="AP860" s="138" t="e">
        <f t="shared" si="100"/>
        <v>#N/A</v>
      </c>
      <c r="AQ860" s="138" t="e">
        <f t="shared" si="101"/>
        <v>#N/A</v>
      </c>
      <c r="AR860" s="138" t="e">
        <f t="shared" si="102"/>
        <v>#N/A</v>
      </c>
      <c r="AS860" s="138" t="e">
        <f t="shared" si="103"/>
        <v>#N/A</v>
      </c>
      <c r="AT860" s="139" t="e">
        <f t="shared" si="104"/>
        <v>#N/A</v>
      </c>
    </row>
    <row r="861" spans="1:46" ht="54" customHeight="1">
      <c r="A861" s="428">
        <f t="shared" si="98"/>
        <v>853</v>
      </c>
      <c r="B861" s="294"/>
      <c r="C861" s="201"/>
      <c r="D861" s="290"/>
      <c r="E861" s="301"/>
      <c r="F861" s="301"/>
      <c r="G861" s="290"/>
      <c r="H861" s="291"/>
      <c r="I861" s="292"/>
      <c r="J861" s="61"/>
      <c r="K861" s="57"/>
      <c r="L861" s="303"/>
      <c r="M861" s="201"/>
      <c r="N861" s="84" t="str">
        <f>IF($AI861&lt;&gt;"",Master!$N$37,IF($AC861&lt;&gt;"",Master!$N$38,IF($S861&lt;&gt;"",Master!$N$39,IF($C861&lt;&gt;"",Master!$N$40,Master!$N$41))))</f>
        <v>起票</v>
      </c>
      <c r="O861" s="202" t="str">
        <f>IF($N861=Master!$N$37,MAX($S861,$AC861,$AI861),"")</f>
        <v/>
      </c>
      <c r="P861" s="65"/>
      <c r="Q861" s="203"/>
      <c r="R861" s="57"/>
      <c r="S861" s="203"/>
      <c r="T861" s="310"/>
      <c r="U861" s="289"/>
      <c r="V861" s="57"/>
      <c r="W861" s="288"/>
      <c r="X861" s="288"/>
      <c r="Y861" s="296"/>
      <c r="Z861" s="57"/>
      <c r="AA861" s="203"/>
      <c r="AB861" s="288"/>
      <c r="AC861" s="201"/>
      <c r="AD861" s="298"/>
      <c r="AE861" s="297"/>
      <c r="AF861" s="58"/>
      <c r="AG861" s="204"/>
      <c r="AH861" s="57"/>
      <c r="AI861" s="201"/>
      <c r="AJ861" s="287"/>
      <c r="AK861" s="452"/>
      <c r="AL861" s="59"/>
      <c r="AM861" s="60"/>
      <c r="AO861" s="137" t="e">
        <f t="shared" si="99"/>
        <v>#N/A</v>
      </c>
      <c r="AP861" s="138" t="e">
        <f t="shared" si="100"/>
        <v>#N/A</v>
      </c>
      <c r="AQ861" s="138" t="e">
        <f t="shared" si="101"/>
        <v>#N/A</v>
      </c>
      <c r="AR861" s="138" t="e">
        <f t="shared" si="102"/>
        <v>#N/A</v>
      </c>
      <c r="AS861" s="138" t="e">
        <f t="shared" si="103"/>
        <v>#N/A</v>
      </c>
      <c r="AT861" s="139" t="e">
        <f t="shared" si="104"/>
        <v>#N/A</v>
      </c>
    </row>
    <row r="862" spans="1:46" ht="54" customHeight="1">
      <c r="A862" s="428">
        <f t="shared" si="98"/>
        <v>854</v>
      </c>
      <c r="B862" s="403"/>
      <c r="C862" s="404"/>
      <c r="D862" s="405"/>
      <c r="E862" s="405"/>
      <c r="F862" s="405"/>
      <c r="G862" s="405"/>
      <c r="H862" s="406"/>
      <c r="I862" s="407"/>
      <c r="J862" s="408"/>
      <c r="K862" s="409"/>
      <c r="L862" s="410"/>
      <c r="M862" s="404"/>
      <c r="N862" s="411" t="str">
        <f>IF($AI862&lt;&gt;"",Master!$N$37,IF($AC862&lt;&gt;"",Master!$N$38,IF($S862&lt;&gt;"",Master!$N$39,IF($C862&lt;&gt;"",Master!$N$40,Master!$N$41))))</f>
        <v>起票</v>
      </c>
      <c r="O862" s="412" t="str">
        <f>IF($N862=Master!$N$37,MAX($S862,$AC862,$AI862),"")</f>
        <v/>
      </c>
      <c r="P862" s="413"/>
      <c r="Q862" s="414"/>
      <c r="R862" s="409"/>
      <c r="S862" s="404"/>
      <c r="T862" s="418"/>
      <c r="U862" s="415"/>
      <c r="V862" s="409"/>
      <c r="W862" s="419"/>
      <c r="X862" s="419"/>
      <c r="Y862" s="416"/>
      <c r="Z862" s="417"/>
      <c r="AA862" s="418"/>
      <c r="AB862" s="419"/>
      <c r="AC862" s="404"/>
      <c r="AD862" s="404"/>
      <c r="AE862" s="420"/>
      <c r="AF862" s="421"/>
      <c r="AG862" s="418"/>
      <c r="AH862" s="409"/>
      <c r="AI862" s="404"/>
      <c r="AJ862" s="416"/>
      <c r="AK862" s="453"/>
      <c r="AL862" s="422"/>
      <c r="AM862" s="423"/>
      <c r="AO862" s="137" t="e">
        <f t="shared" si="99"/>
        <v>#N/A</v>
      </c>
      <c r="AP862" s="138" t="e">
        <f t="shared" si="100"/>
        <v>#N/A</v>
      </c>
      <c r="AQ862" s="138" t="e">
        <f t="shared" si="101"/>
        <v>#N/A</v>
      </c>
      <c r="AR862" s="138" t="e">
        <f t="shared" si="102"/>
        <v>#N/A</v>
      </c>
      <c r="AS862" s="138" t="e">
        <f t="shared" si="103"/>
        <v>#N/A</v>
      </c>
      <c r="AT862" s="139" t="e">
        <f t="shared" si="104"/>
        <v>#N/A</v>
      </c>
    </row>
    <row r="863" spans="1:46" ht="54" customHeight="1">
      <c r="A863" s="428">
        <f t="shared" si="98"/>
        <v>855</v>
      </c>
      <c r="B863" s="403"/>
      <c r="C863" s="404"/>
      <c r="D863" s="405"/>
      <c r="E863" s="405"/>
      <c r="F863" s="405"/>
      <c r="G863" s="405"/>
      <c r="H863" s="406"/>
      <c r="I863" s="407"/>
      <c r="J863" s="408"/>
      <c r="K863" s="409"/>
      <c r="L863" s="410"/>
      <c r="M863" s="404"/>
      <c r="N863" s="411" t="str">
        <f>IF($AI863&lt;&gt;"",Master!$N$37,IF($AC863&lt;&gt;"",Master!$N$38,IF($S863&lt;&gt;"",Master!$N$39,IF($C863&lt;&gt;"",Master!$N$40,Master!$N$41))))</f>
        <v>起票</v>
      </c>
      <c r="O863" s="412" t="str">
        <f>IF($N863=Master!$N$37,MAX($S863,$AC863,$AI863),"")</f>
        <v/>
      </c>
      <c r="P863" s="413"/>
      <c r="Q863" s="414"/>
      <c r="R863" s="409"/>
      <c r="S863" s="404"/>
      <c r="T863" s="418"/>
      <c r="U863" s="415"/>
      <c r="V863" s="409"/>
      <c r="W863" s="419"/>
      <c r="X863" s="419"/>
      <c r="Y863" s="416"/>
      <c r="Z863" s="417"/>
      <c r="AA863" s="418"/>
      <c r="AB863" s="419"/>
      <c r="AC863" s="404"/>
      <c r="AD863" s="404"/>
      <c r="AE863" s="420"/>
      <c r="AF863" s="421"/>
      <c r="AG863" s="418"/>
      <c r="AH863" s="409"/>
      <c r="AI863" s="404"/>
      <c r="AJ863" s="416"/>
      <c r="AK863" s="453"/>
      <c r="AL863" s="422"/>
      <c r="AM863" s="423"/>
      <c r="AO863" s="137" t="e">
        <f t="shared" si="99"/>
        <v>#N/A</v>
      </c>
      <c r="AP863" s="138" t="e">
        <f t="shared" si="100"/>
        <v>#N/A</v>
      </c>
      <c r="AQ863" s="138" t="e">
        <f t="shared" si="101"/>
        <v>#N/A</v>
      </c>
      <c r="AR863" s="138" t="e">
        <f t="shared" si="102"/>
        <v>#N/A</v>
      </c>
      <c r="AS863" s="138" t="e">
        <f t="shared" si="103"/>
        <v>#N/A</v>
      </c>
      <c r="AT863" s="139" t="e">
        <f t="shared" si="104"/>
        <v>#N/A</v>
      </c>
    </row>
    <row r="864" spans="1:46" ht="54" customHeight="1">
      <c r="A864" s="428">
        <f t="shared" si="98"/>
        <v>856</v>
      </c>
      <c r="B864" s="403"/>
      <c r="C864" s="404"/>
      <c r="D864" s="405"/>
      <c r="E864" s="405"/>
      <c r="F864" s="405"/>
      <c r="G864" s="405"/>
      <c r="H864" s="406"/>
      <c r="I864" s="407"/>
      <c r="J864" s="408"/>
      <c r="K864" s="409"/>
      <c r="L864" s="410"/>
      <c r="M864" s="404"/>
      <c r="N864" s="411" t="str">
        <f>IF($AI864&lt;&gt;"",Master!$N$37,IF($AC864&lt;&gt;"",Master!$N$38,IF($S864&lt;&gt;"",Master!$N$39,IF($C864&lt;&gt;"",Master!$N$40,Master!$N$41))))</f>
        <v>起票</v>
      </c>
      <c r="O864" s="412" t="str">
        <f>IF($N864=Master!$N$37,MAX($S864,$AC864,$AI864),"")</f>
        <v/>
      </c>
      <c r="P864" s="413"/>
      <c r="Q864" s="414"/>
      <c r="R864" s="409"/>
      <c r="S864" s="404"/>
      <c r="T864" s="418"/>
      <c r="U864" s="415"/>
      <c r="V864" s="409"/>
      <c r="W864" s="419"/>
      <c r="X864" s="419"/>
      <c r="Y864" s="416"/>
      <c r="Z864" s="417"/>
      <c r="AA864" s="418"/>
      <c r="AB864" s="419"/>
      <c r="AC864" s="404"/>
      <c r="AD864" s="404"/>
      <c r="AE864" s="420"/>
      <c r="AF864" s="421"/>
      <c r="AG864" s="418"/>
      <c r="AH864" s="409"/>
      <c r="AI864" s="404"/>
      <c r="AJ864" s="416"/>
      <c r="AK864" s="453"/>
      <c r="AL864" s="422"/>
      <c r="AM864" s="423"/>
      <c r="AO864" s="137" t="e">
        <f t="shared" si="99"/>
        <v>#N/A</v>
      </c>
      <c r="AP864" s="138" t="e">
        <f t="shared" si="100"/>
        <v>#N/A</v>
      </c>
      <c r="AQ864" s="138" t="e">
        <f t="shared" si="101"/>
        <v>#N/A</v>
      </c>
      <c r="AR864" s="138" t="e">
        <f t="shared" si="102"/>
        <v>#N/A</v>
      </c>
      <c r="AS864" s="138" t="e">
        <f t="shared" si="103"/>
        <v>#N/A</v>
      </c>
      <c r="AT864" s="139" t="e">
        <f t="shared" si="104"/>
        <v>#N/A</v>
      </c>
    </row>
    <row r="865" spans="1:46" ht="54" customHeight="1">
      <c r="A865" s="428">
        <f t="shared" si="98"/>
        <v>857</v>
      </c>
      <c r="B865" s="294"/>
      <c r="C865" s="201"/>
      <c r="D865" s="290"/>
      <c r="E865" s="301"/>
      <c r="F865" s="301"/>
      <c r="G865" s="290"/>
      <c r="H865" s="291"/>
      <c r="I865" s="292"/>
      <c r="J865" s="61"/>
      <c r="K865" s="57"/>
      <c r="L865" s="303"/>
      <c r="M865" s="201"/>
      <c r="N865" s="84" t="str">
        <f>IF($AI865&lt;&gt;"",Master!$N$37,IF($AC865&lt;&gt;"",Master!$N$38,IF($S865&lt;&gt;"",Master!$N$39,IF($C865&lt;&gt;"",Master!$N$40,Master!$N$41))))</f>
        <v>起票</v>
      </c>
      <c r="O865" s="202" t="str">
        <f>IF($N865=Master!$N$37,MAX($S865,$AC865,$AI865),"")</f>
        <v/>
      </c>
      <c r="P865" s="65"/>
      <c r="Q865" s="203"/>
      <c r="R865" s="57"/>
      <c r="S865" s="203"/>
      <c r="T865" s="310"/>
      <c r="U865" s="289"/>
      <c r="V865" s="57"/>
      <c r="W865" s="288"/>
      <c r="X865" s="288"/>
      <c r="Y865" s="296"/>
      <c r="Z865" s="57"/>
      <c r="AA865" s="203"/>
      <c r="AB865" s="288"/>
      <c r="AC865" s="201"/>
      <c r="AD865" s="298"/>
      <c r="AE865" s="297"/>
      <c r="AF865" s="58"/>
      <c r="AG865" s="204"/>
      <c r="AH865" s="57"/>
      <c r="AI865" s="201"/>
      <c r="AJ865" s="287"/>
      <c r="AK865" s="452"/>
      <c r="AL865" s="59"/>
      <c r="AM865" s="60"/>
      <c r="AO865" s="137" t="e">
        <f t="shared" si="99"/>
        <v>#N/A</v>
      </c>
      <c r="AP865" s="138" t="e">
        <f t="shared" si="100"/>
        <v>#N/A</v>
      </c>
      <c r="AQ865" s="138" t="e">
        <f t="shared" si="101"/>
        <v>#N/A</v>
      </c>
      <c r="AR865" s="138" t="e">
        <f t="shared" si="102"/>
        <v>#N/A</v>
      </c>
      <c r="AS865" s="138" t="e">
        <f t="shared" si="103"/>
        <v>#N/A</v>
      </c>
      <c r="AT865" s="139" t="e">
        <f t="shared" si="104"/>
        <v>#N/A</v>
      </c>
    </row>
    <row r="866" spans="1:46" ht="54" customHeight="1">
      <c r="A866" s="428">
        <f t="shared" si="98"/>
        <v>858</v>
      </c>
      <c r="B866" s="294"/>
      <c r="C866" s="201"/>
      <c r="D866" s="290"/>
      <c r="E866" s="301"/>
      <c r="F866" s="301"/>
      <c r="G866" s="290"/>
      <c r="H866" s="291"/>
      <c r="I866" s="292"/>
      <c r="J866" s="61"/>
      <c r="K866" s="57"/>
      <c r="L866" s="303"/>
      <c r="M866" s="201"/>
      <c r="N866" s="84" t="str">
        <f>IF($AI866&lt;&gt;"",Master!$N$37,IF($AC866&lt;&gt;"",Master!$N$38,IF($S866&lt;&gt;"",Master!$N$39,IF($C866&lt;&gt;"",Master!$N$40,Master!$N$41))))</f>
        <v>起票</v>
      </c>
      <c r="O866" s="202" t="str">
        <f>IF($N866=Master!$N$37,MAX($S866,$AC866,$AI866),"")</f>
        <v/>
      </c>
      <c r="P866" s="65"/>
      <c r="Q866" s="203"/>
      <c r="R866" s="57"/>
      <c r="S866" s="203"/>
      <c r="T866" s="310"/>
      <c r="U866" s="289"/>
      <c r="V866" s="57"/>
      <c r="W866" s="288"/>
      <c r="X866" s="288"/>
      <c r="Y866" s="296"/>
      <c r="Z866" s="57"/>
      <c r="AA866" s="203"/>
      <c r="AB866" s="288"/>
      <c r="AC866" s="201"/>
      <c r="AD866" s="298"/>
      <c r="AE866" s="297"/>
      <c r="AF866" s="58"/>
      <c r="AG866" s="204"/>
      <c r="AH866" s="57"/>
      <c r="AI866" s="201"/>
      <c r="AJ866" s="287"/>
      <c r="AK866" s="452"/>
      <c r="AL866" s="59"/>
      <c r="AM866" s="60"/>
      <c r="AO866" s="137" t="e">
        <f t="shared" si="99"/>
        <v>#N/A</v>
      </c>
      <c r="AP866" s="138" t="e">
        <f t="shared" si="100"/>
        <v>#N/A</v>
      </c>
      <c r="AQ866" s="138" t="e">
        <f t="shared" si="101"/>
        <v>#N/A</v>
      </c>
      <c r="AR866" s="138" t="e">
        <f t="shared" si="102"/>
        <v>#N/A</v>
      </c>
      <c r="AS866" s="138" t="e">
        <f t="shared" si="103"/>
        <v>#N/A</v>
      </c>
      <c r="AT866" s="139" t="e">
        <f t="shared" si="104"/>
        <v>#N/A</v>
      </c>
    </row>
    <row r="867" spans="1:46" ht="54" customHeight="1">
      <c r="A867" s="428">
        <f t="shared" si="98"/>
        <v>859</v>
      </c>
      <c r="B867" s="403"/>
      <c r="C867" s="404"/>
      <c r="D867" s="405"/>
      <c r="E867" s="405"/>
      <c r="F867" s="405"/>
      <c r="G867" s="405"/>
      <c r="H867" s="406"/>
      <c r="I867" s="407"/>
      <c r="J867" s="408"/>
      <c r="K867" s="409"/>
      <c r="L867" s="410"/>
      <c r="M867" s="404"/>
      <c r="N867" s="411" t="str">
        <f>IF($AI867&lt;&gt;"",Master!$N$37,IF($AC867&lt;&gt;"",Master!$N$38,IF($S867&lt;&gt;"",Master!$N$39,IF($C867&lt;&gt;"",Master!$N$40,Master!$N$41))))</f>
        <v>起票</v>
      </c>
      <c r="O867" s="412" t="str">
        <f>IF($N867=Master!$N$37,MAX($S867,$AC867,$AI867),"")</f>
        <v/>
      </c>
      <c r="P867" s="413"/>
      <c r="Q867" s="414"/>
      <c r="R867" s="409"/>
      <c r="S867" s="404"/>
      <c r="T867" s="418"/>
      <c r="U867" s="415"/>
      <c r="V867" s="409"/>
      <c r="W867" s="419"/>
      <c r="X867" s="419"/>
      <c r="Y867" s="416"/>
      <c r="Z867" s="417"/>
      <c r="AA867" s="418"/>
      <c r="AB867" s="419"/>
      <c r="AC867" s="404"/>
      <c r="AD867" s="404"/>
      <c r="AE867" s="420"/>
      <c r="AF867" s="421"/>
      <c r="AG867" s="418"/>
      <c r="AH867" s="409"/>
      <c r="AI867" s="404"/>
      <c r="AJ867" s="416"/>
      <c r="AK867" s="453"/>
      <c r="AL867" s="422"/>
      <c r="AM867" s="423"/>
      <c r="AO867" s="137" t="e">
        <f t="shared" si="99"/>
        <v>#N/A</v>
      </c>
      <c r="AP867" s="138" t="e">
        <f t="shared" si="100"/>
        <v>#N/A</v>
      </c>
      <c r="AQ867" s="138" t="e">
        <f t="shared" si="101"/>
        <v>#N/A</v>
      </c>
      <c r="AR867" s="138" t="e">
        <f t="shared" si="102"/>
        <v>#N/A</v>
      </c>
      <c r="AS867" s="138" t="e">
        <f t="shared" si="103"/>
        <v>#N/A</v>
      </c>
      <c r="AT867" s="139" t="e">
        <f t="shared" si="104"/>
        <v>#N/A</v>
      </c>
    </row>
    <row r="868" spans="1:46" ht="54" customHeight="1">
      <c r="A868" s="428">
        <f t="shared" si="98"/>
        <v>860</v>
      </c>
      <c r="B868" s="403"/>
      <c r="C868" s="404"/>
      <c r="D868" s="405"/>
      <c r="E868" s="405"/>
      <c r="F868" s="405"/>
      <c r="G868" s="405"/>
      <c r="H868" s="406"/>
      <c r="I868" s="407"/>
      <c r="J868" s="408"/>
      <c r="K868" s="409"/>
      <c r="L868" s="410"/>
      <c r="M868" s="404"/>
      <c r="N868" s="411" t="str">
        <f>IF($AI868&lt;&gt;"",Master!$N$37,IF($AC868&lt;&gt;"",Master!$N$38,IF($S868&lt;&gt;"",Master!$N$39,IF($C868&lt;&gt;"",Master!$N$40,Master!$N$41))))</f>
        <v>起票</v>
      </c>
      <c r="O868" s="412" t="str">
        <f>IF($N868=Master!$N$37,MAX($S868,$AC868,$AI868),"")</f>
        <v/>
      </c>
      <c r="P868" s="413"/>
      <c r="Q868" s="414"/>
      <c r="R868" s="409"/>
      <c r="S868" s="404"/>
      <c r="T868" s="418"/>
      <c r="U868" s="415"/>
      <c r="V868" s="409"/>
      <c r="W868" s="419"/>
      <c r="X868" s="419"/>
      <c r="Y868" s="416"/>
      <c r="Z868" s="417"/>
      <c r="AA868" s="418"/>
      <c r="AB868" s="419"/>
      <c r="AC868" s="404"/>
      <c r="AD868" s="404"/>
      <c r="AE868" s="420"/>
      <c r="AF868" s="421"/>
      <c r="AG868" s="418"/>
      <c r="AH868" s="409"/>
      <c r="AI868" s="404"/>
      <c r="AJ868" s="416"/>
      <c r="AK868" s="453"/>
      <c r="AL868" s="422"/>
      <c r="AM868" s="423"/>
      <c r="AO868" s="137" t="e">
        <f t="shared" si="99"/>
        <v>#N/A</v>
      </c>
      <c r="AP868" s="138" t="e">
        <f t="shared" si="100"/>
        <v>#N/A</v>
      </c>
      <c r="AQ868" s="138" t="e">
        <f t="shared" si="101"/>
        <v>#N/A</v>
      </c>
      <c r="AR868" s="138" t="e">
        <f t="shared" si="102"/>
        <v>#N/A</v>
      </c>
      <c r="AS868" s="138" t="e">
        <f t="shared" si="103"/>
        <v>#N/A</v>
      </c>
      <c r="AT868" s="139" t="e">
        <f t="shared" si="104"/>
        <v>#N/A</v>
      </c>
    </row>
    <row r="869" spans="1:46" ht="54" customHeight="1">
      <c r="A869" s="428">
        <f t="shared" si="98"/>
        <v>861</v>
      </c>
      <c r="B869" s="403"/>
      <c r="C869" s="404"/>
      <c r="D869" s="405"/>
      <c r="E869" s="405"/>
      <c r="F869" s="405"/>
      <c r="G869" s="405"/>
      <c r="H869" s="406"/>
      <c r="I869" s="407"/>
      <c r="J869" s="408"/>
      <c r="K869" s="409"/>
      <c r="L869" s="410"/>
      <c r="M869" s="404"/>
      <c r="N869" s="411" t="str">
        <f>IF($AI869&lt;&gt;"",Master!$N$37,IF($AC869&lt;&gt;"",Master!$N$38,IF($S869&lt;&gt;"",Master!$N$39,IF($C869&lt;&gt;"",Master!$N$40,Master!$N$41))))</f>
        <v>起票</v>
      </c>
      <c r="O869" s="412" t="str">
        <f>IF($N869=Master!$N$37,MAX($S869,$AC869,$AI869),"")</f>
        <v/>
      </c>
      <c r="P869" s="413"/>
      <c r="Q869" s="414"/>
      <c r="R869" s="409"/>
      <c r="S869" s="404"/>
      <c r="T869" s="418"/>
      <c r="U869" s="415"/>
      <c r="V869" s="409"/>
      <c r="W869" s="419"/>
      <c r="X869" s="419"/>
      <c r="Y869" s="416"/>
      <c r="Z869" s="417"/>
      <c r="AA869" s="418"/>
      <c r="AB869" s="419"/>
      <c r="AC869" s="404"/>
      <c r="AD869" s="404"/>
      <c r="AE869" s="420"/>
      <c r="AF869" s="421"/>
      <c r="AG869" s="418"/>
      <c r="AH869" s="409"/>
      <c r="AI869" s="404"/>
      <c r="AJ869" s="416"/>
      <c r="AK869" s="453"/>
      <c r="AL869" s="422"/>
      <c r="AM869" s="423"/>
      <c r="AO869" s="137" t="e">
        <f t="shared" si="99"/>
        <v>#N/A</v>
      </c>
      <c r="AP869" s="138" t="e">
        <f t="shared" si="100"/>
        <v>#N/A</v>
      </c>
      <c r="AQ869" s="138" t="e">
        <f t="shared" si="101"/>
        <v>#N/A</v>
      </c>
      <c r="AR869" s="138" t="e">
        <f t="shared" si="102"/>
        <v>#N/A</v>
      </c>
      <c r="AS869" s="138" t="e">
        <f t="shared" si="103"/>
        <v>#N/A</v>
      </c>
      <c r="AT869" s="139" t="e">
        <f t="shared" si="104"/>
        <v>#N/A</v>
      </c>
    </row>
    <row r="870" spans="1:46" ht="54" customHeight="1">
      <c r="A870" s="428">
        <f t="shared" si="98"/>
        <v>862</v>
      </c>
      <c r="B870" s="294"/>
      <c r="C870" s="201"/>
      <c r="D870" s="290"/>
      <c r="E870" s="301"/>
      <c r="F870" s="301"/>
      <c r="G870" s="290"/>
      <c r="H870" s="291"/>
      <c r="I870" s="292"/>
      <c r="J870" s="61"/>
      <c r="K870" s="57"/>
      <c r="L870" s="303"/>
      <c r="M870" s="201"/>
      <c r="N870" s="84" t="str">
        <f>IF($AI870&lt;&gt;"",Master!$N$37,IF($AC870&lt;&gt;"",Master!$N$38,IF($S870&lt;&gt;"",Master!$N$39,IF($C870&lt;&gt;"",Master!$N$40,Master!$N$41))))</f>
        <v>起票</v>
      </c>
      <c r="O870" s="202" t="str">
        <f>IF($N870=Master!$N$37,MAX($S870,$AC870,$AI870),"")</f>
        <v/>
      </c>
      <c r="P870" s="65"/>
      <c r="Q870" s="203"/>
      <c r="R870" s="57"/>
      <c r="S870" s="203"/>
      <c r="T870" s="310"/>
      <c r="U870" s="289"/>
      <c r="V870" s="57"/>
      <c r="W870" s="288"/>
      <c r="X870" s="288"/>
      <c r="Y870" s="296"/>
      <c r="Z870" s="57"/>
      <c r="AA870" s="203"/>
      <c r="AB870" s="288"/>
      <c r="AC870" s="201"/>
      <c r="AD870" s="298"/>
      <c r="AE870" s="297"/>
      <c r="AF870" s="58"/>
      <c r="AG870" s="204"/>
      <c r="AH870" s="57"/>
      <c r="AI870" s="201"/>
      <c r="AJ870" s="287"/>
      <c r="AK870" s="452"/>
      <c r="AL870" s="59"/>
      <c r="AM870" s="60"/>
      <c r="AO870" s="137" t="e">
        <f t="shared" si="99"/>
        <v>#N/A</v>
      </c>
      <c r="AP870" s="138" t="e">
        <f t="shared" si="100"/>
        <v>#N/A</v>
      </c>
      <c r="AQ870" s="138" t="e">
        <f t="shared" si="101"/>
        <v>#N/A</v>
      </c>
      <c r="AR870" s="138" t="e">
        <f t="shared" si="102"/>
        <v>#N/A</v>
      </c>
      <c r="AS870" s="138" t="e">
        <f t="shared" si="103"/>
        <v>#N/A</v>
      </c>
      <c r="AT870" s="139" t="e">
        <f t="shared" si="104"/>
        <v>#N/A</v>
      </c>
    </row>
    <row r="871" spans="1:46" ht="54" customHeight="1">
      <c r="A871" s="428">
        <f t="shared" si="98"/>
        <v>863</v>
      </c>
      <c r="B871" s="294"/>
      <c r="C871" s="201"/>
      <c r="D871" s="290"/>
      <c r="E871" s="301"/>
      <c r="F871" s="301"/>
      <c r="G871" s="290"/>
      <c r="H871" s="291"/>
      <c r="I871" s="292"/>
      <c r="J871" s="61"/>
      <c r="K871" s="57"/>
      <c r="L871" s="303"/>
      <c r="M871" s="201"/>
      <c r="N871" s="84" t="str">
        <f>IF($AI871&lt;&gt;"",Master!$N$37,IF($AC871&lt;&gt;"",Master!$N$38,IF($S871&lt;&gt;"",Master!$N$39,IF($C871&lt;&gt;"",Master!$N$40,Master!$N$41))))</f>
        <v>起票</v>
      </c>
      <c r="O871" s="202" t="str">
        <f>IF($N871=Master!$N$37,MAX($S871,$AC871,$AI871),"")</f>
        <v/>
      </c>
      <c r="P871" s="65"/>
      <c r="Q871" s="203"/>
      <c r="R871" s="57"/>
      <c r="S871" s="203"/>
      <c r="T871" s="310"/>
      <c r="U871" s="289"/>
      <c r="V871" s="57"/>
      <c r="W871" s="288"/>
      <c r="X871" s="288"/>
      <c r="Y871" s="296"/>
      <c r="Z871" s="57"/>
      <c r="AA871" s="203"/>
      <c r="AB871" s="288"/>
      <c r="AC871" s="201"/>
      <c r="AD871" s="298"/>
      <c r="AE871" s="297"/>
      <c r="AF871" s="58"/>
      <c r="AG871" s="204"/>
      <c r="AH871" s="57"/>
      <c r="AI871" s="201"/>
      <c r="AJ871" s="287"/>
      <c r="AK871" s="452"/>
      <c r="AL871" s="59"/>
      <c r="AM871" s="60"/>
      <c r="AO871" s="137" t="e">
        <f t="shared" si="99"/>
        <v>#N/A</v>
      </c>
      <c r="AP871" s="138" t="e">
        <f t="shared" si="100"/>
        <v>#N/A</v>
      </c>
      <c r="AQ871" s="138" t="e">
        <f t="shared" si="101"/>
        <v>#N/A</v>
      </c>
      <c r="AR871" s="138" t="e">
        <f t="shared" si="102"/>
        <v>#N/A</v>
      </c>
      <c r="AS871" s="138" t="e">
        <f t="shared" si="103"/>
        <v>#N/A</v>
      </c>
      <c r="AT871" s="139" t="e">
        <f t="shared" si="104"/>
        <v>#N/A</v>
      </c>
    </row>
    <row r="872" spans="1:46" ht="54" customHeight="1">
      <c r="A872" s="428">
        <f t="shared" si="98"/>
        <v>864</v>
      </c>
      <c r="B872" s="403"/>
      <c r="C872" s="404"/>
      <c r="D872" s="405"/>
      <c r="E872" s="405"/>
      <c r="F872" s="405"/>
      <c r="G872" s="405"/>
      <c r="H872" s="406"/>
      <c r="I872" s="407"/>
      <c r="J872" s="408"/>
      <c r="K872" s="409"/>
      <c r="L872" s="410"/>
      <c r="M872" s="404"/>
      <c r="N872" s="411" t="str">
        <f>IF($AI872&lt;&gt;"",Master!$N$37,IF($AC872&lt;&gt;"",Master!$N$38,IF($S872&lt;&gt;"",Master!$N$39,IF($C872&lt;&gt;"",Master!$N$40,Master!$N$41))))</f>
        <v>起票</v>
      </c>
      <c r="O872" s="412" t="str">
        <f>IF($N872=Master!$N$37,MAX($S872,$AC872,$AI872),"")</f>
        <v/>
      </c>
      <c r="P872" s="413"/>
      <c r="Q872" s="414"/>
      <c r="R872" s="409"/>
      <c r="S872" s="404"/>
      <c r="T872" s="418"/>
      <c r="U872" s="415"/>
      <c r="V872" s="409"/>
      <c r="W872" s="419"/>
      <c r="X872" s="419"/>
      <c r="Y872" s="416"/>
      <c r="Z872" s="417"/>
      <c r="AA872" s="418"/>
      <c r="AB872" s="419"/>
      <c r="AC872" s="404"/>
      <c r="AD872" s="404"/>
      <c r="AE872" s="420"/>
      <c r="AF872" s="421"/>
      <c r="AG872" s="418"/>
      <c r="AH872" s="409"/>
      <c r="AI872" s="404"/>
      <c r="AJ872" s="416"/>
      <c r="AK872" s="453"/>
      <c r="AL872" s="422"/>
      <c r="AM872" s="423"/>
      <c r="AO872" s="137" t="e">
        <f t="shared" si="99"/>
        <v>#N/A</v>
      </c>
      <c r="AP872" s="138" t="e">
        <f t="shared" si="100"/>
        <v>#N/A</v>
      </c>
      <c r="AQ872" s="138" t="e">
        <f t="shared" si="101"/>
        <v>#N/A</v>
      </c>
      <c r="AR872" s="138" t="e">
        <f t="shared" si="102"/>
        <v>#N/A</v>
      </c>
      <c r="AS872" s="138" t="e">
        <f t="shared" si="103"/>
        <v>#N/A</v>
      </c>
      <c r="AT872" s="139" t="e">
        <f t="shared" si="104"/>
        <v>#N/A</v>
      </c>
    </row>
    <row r="873" spans="1:46" ht="54" customHeight="1">
      <c r="A873" s="428">
        <f t="shared" si="98"/>
        <v>865</v>
      </c>
      <c r="B873" s="403"/>
      <c r="C873" s="404"/>
      <c r="D873" s="405"/>
      <c r="E873" s="405"/>
      <c r="F873" s="405"/>
      <c r="G873" s="405"/>
      <c r="H873" s="406"/>
      <c r="I873" s="407"/>
      <c r="J873" s="408"/>
      <c r="K873" s="409"/>
      <c r="L873" s="410"/>
      <c r="M873" s="404"/>
      <c r="N873" s="411" t="str">
        <f>IF($AI873&lt;&gt;"",Master!$N$37,IF($AC873&lt;&gt;"",Master!$N$38,IF($S873&lt;&gt;"",Master!$N$39,IF($C873&lt;&gt;"",Master!$N$40,Master!$N$41))))</f>
        <v>起票</v>
      </c>
      <c r="O873" s="412" t="str">
        <f>IF($N873=Master!$N$37,MAX($S873,$AC873,$AI873),"")</f>
        <v/>
      </c>
      <c r="P873" s="413"/>
      <c r="Q873" s="414"/>
      <c r="R873" s="409"/>
      <c r="S873" s="404"/>
      <c r="T873" s="418"/>
      <c r="U873" s="415"/>
      <c r="V873" s="409"/>
      <c r="W873" s="419"/>
      <c r="X873" s="419"/>
      <c r="Y873" s="416"/>
      <c r="Z873" s="417"/>
      <c r="AA873" s="418"/>
      <c r="AB873" s="419"/>
      <c r="AC873" s="404"/>
      <c r="AD873" s="404"/>
      <c r="AE873" s="420"/>
      <c r="AF873" s="421"/>
      <c r="AG873" s="418"/>
      <c r="AH873" s="409"/>
      <c r="AI873" s="404"/>
      <c r="AJ873" s="416"/>
      <c r="AK873" s="453"/>
      <c r="AL873" s="422"/>
      <c r="AM873" s="423"/>
      <c r="AO873" s="137" t="e">
        <f t="shared" si="99"/>
        <v>#N/A</v>
      </c>
      <c r="AP873" s="138" t="e">
        <f t="shared" si="100"/>
        <v>#N/A</v>
      </c>
      <c r="AQ873" s="138" t="e">
        <f t="shared" si="101"/>
        <v>#N/A</v>
      </c>
      <c r="AR873" s="138" t="e">
        <f t="shared" si="102"/>
        <v>#N/A</v>
      </c>
      <c r="AS873" s="138" t="e">
        <f t="shared" si="103"/>
        <v>#N/A</v>
      </c>
      <c r="AT873" s="139" t="e">
        <f t="shared" si="104"/>
        <v>#N/A</v>
      </c>
    </row>
    <row r="874" spans="1:46" ht="54" customHeight="1">
      <c r="A874" s="428">
        <f t="shared" si="98"/>
        <v>866</v>
      </c>
      <c r="B874" s="403"/>
      <c r="C874" s="404"/>
      <c r="D874" s="405"/>
      <c r="E874" s="405"/>
      <c r="F874" s="405"/>
      <c r="G874" s="405"/>
      <c r="H874" s="406"/>
      <c r="I874" s="407"/>
      <c r="J874" s="408"/>
      <c r="K874" s="409"/>
      <c r="L874" s="410"/>
      <c r="M874" s="404"/>
      <c r="N874" s="411" t="str">
        <f>IF($AI874&lt;&gt;"",Master!$N$37,IF($AC874&lt;&gt;"",Master!$N$38,IF($S874&lt;&gt;"",Master!$N$39,IF($C874&lt;&gt;"",Master!$N$40,Master!$N$41))))</f>
        <v>起票</v>
      </c>
      <c r="O874" s="412" t="str">
        <f>IF($N874=Master!$N$37,MAX($S874,$AC874,$AI874),"")</f>
        <v/>
      </c>
      <c r="P874" s="413"/>
      <c r="Q874" s="414"/>
      <c r="R874" s="409"/>
      <c r="S874" s="404"/>
      <c r="T874" s="418"/>
      <c r="U874" s="415"/>
      <c r="V874" s="409"/>
      <c r="W874" s="419"/>
      <c r="X874" s="419"/>
      <c r="Y874" s="416"/>
      <c r="Z874" s="417"/>
      <c r="AA874" s="418"/>
      <c r="AB874" s="419"/>
      <c r="AC874" s="404"/>
      <c r="AD874" s="404"/>
      <c r="AE874" s="420"/>
      <c r="AF874" s="421"/>
      <c r="AG874" s="418"/>
      <c r="AH874" s="409"/>
      <c r="AI874" s="404"/>
      <c r="AJ874" s="416"/>
      <c r="AK874" s="453"/>
      <c r="AL874" s="422"/>
      <c r="AM874" s="423"/>
      <c r="AO874" s="137" t="e">
        <f t="shared" si="99"/>
        <v>#N/A</v>
      </c>
      <c r="AP874" s="138" t="e">
        <f t="shared" si="100"/>
        <v>#N/A</v>
      </c>
      <c r="AQ874" s="138" t="e">
        <f t="shared" si="101"/>
        <v>#N/A</v>
      </c>
      <c r="AR874" s="138" t="e">
        <f t="shared" si="102"/>
        <v>#N/A</v>
      </c>
      <c r="AS874" s="138" t="e">
        <f t="shared" si="103"/>
        <v>#N/A</v>
      </c>
      <c r="AT874" s="139" t="e">
        <f t="shared" si="104"/>
        <v>#N/A</v>
      </c>
    </row>
    <row r="875" spans="1:46" ht="54" customHeight="1">
      <c r="A875" s="428">
        <f t="shared" si="98"/>
        <v>867</v>
      </c>
      <c r="B875" s="294"/>
      <c r="C875" s="201"/>
      <c r="D875" s="290"/>
      <c r="E875" s="301"/>
      <c r="F875" s="301"/>
      <c r="G875" s="290"/>
      <c r="H875" s="291"/>
      <c r="I875" s="292"/>
      <c r="J875" s="61"/>
      <c r="K875" s="57"/>
      <c r="L875" s="303"/>
      <c r="M875" s="201"/>
      <c r="N875" s="84" t="str">
        <f>IF($AI875&lt;&gt;"",Master!$N$37,IF($AC875&lt;&gt;"",Master!$N$38,IF($S875&lt;&gt;"",Master!$N$39,IF($C875&lt;&gt;"",Master!$N$40,Master!$N$41))))</f>
        <v>起票</v>
      </c>
      <c r="O875" s="202" t="str">
        <f>IF($N875=Master!$N$37,MAX($S875,$AC875,$AI875),"")</f>
        <v/>
      </c>
      <c r="P875" s="65"/>
      <c r="Q875" s="203"/>
      <c r="R875" s="57"/>
      <c r="S875" s="203"/>
      <c r="T875" s="310"/>
      <c r="U875" s="289"/>
      <c r="V875" s="57"/>
      <c r="W875" s="288"/>
      <c r="X875" s="288"/>
      <c r="Y875" s="296"/>
      <c r="Z875" s="57"/>
      <c r="AA875" s="203"/>
      <c r="AB875" s="288"/>
      <c r="AC875" s="201"/>
      <c r="AD875" s="298"/>
      <c r="AE875" s="297"/>
      <c r="AF875" s="58"/>
      <c r="AG875" s="204"/>
      <c r="AH875" s="57"/>
      <c r="AI875" s="201"/>
      <c r="AJ875" s="287"/>
      <c r="AK875" s="452"/>
      <c r="AL875" s="59"/>
      <c r="AM875" s="60"/>
      <c r="AO875" s="137" t="e">
        <f t="shared" si="99"/>
        <v>#N/A</v>
      </c>
      <c r="AP875" s="138" t="e">
        <f t="shared" si="100"/>
        <v>#N/A</v>
      </c>
      <c r="AQ875" s="138" t="e">
        <f t="shared" si="101"/>
        <v>#N/A</v>
      </c>
      <c r="AR875" s="138" t="e">
        <f t="shared" si="102"/>
        <v>#N/A</v>
      </c>
      <c r="AS875" s="138" t="e">
        <f t="shared" si="103"/>
        <v>#N/A</v>
      </c>
      <c r="AT875" s="139" t="e">
        <f t="shared" si="104"/>
        <v>#N/A</v>
      </c>
    </row>
    <row r="876" spans="1:46" ht="54" customHeight="1">
      <c r="A876" s="428">
        <f t="shared" si="98"/>
        <v>868</v>
      </c>
      <c r="B876" s="294"/>
      <c r="C876" s="201"/>
      <c r="D876" s="290"/>
      <c r="E876" s="301"/>
      <c r="F876" s="301"/>
      <c r="G876" s="290"/>
      <c r="H876" s="291"/>
      <c r="I876" s="292"/>
      <c r="J876" s="61"/>
      <c r="K876" s="57"/>
      <c r="L876" s="303"/>
      <c r="M876" s="201"/>
      <c r="N876" s="84" t="str">
        <f>IF($AI876&lt;&gt;"",Master!$N$37,IF($AC876&lt;&gt;"",Master!$N$38,IF($S876&lt;&gt;"",Master!$N$39,IF($C876&lt;&gt;"",Master!$N$40,Master!$N$41))))</f>
        <v>起票</v>
      </c>
      <c r="O876" s="202" t="str">
        <f>IF($N876=Master!$N$37,MAX($S876,$AC876,$AI876),"")</f>
        <v/>
      </c>
      <c r="P876" s="65"/>
      <c r="Q876" s="203"/>
      <c r="R876" s="57"/>
      <c r="S876" s="203"/>
      <c r="T876" s="310"/>
      <c r="U876" s="289"/>
      <c r="V876" s="57"/>
      <c r="W876" s="288"/>
      <c r="X876" s="288"/>
      <c r="Y876" s="296"/>
      <c r="Z876" s="57"/>
      <c r="AA876" s="203"/>
      <c r="AB876" s="288"/>
      <c r="AC876" s="201"/>
      <c r="AD876" s="298"/>
      <c r="AE876" s="297"/>
      <c r="AF876" s="58"/>
      <c r="AG876" s="204"/>
      <c r="AH876" s="57"/>
      <c r="AI876" s="201"/>
      <c r="AJ876" s="287"/>
      <c r="AK876" s="452"/>
      <c r="AL876" s="59"/>
      <c r="AM876" s="60"/>
      <c r="AO876" s="137" t="e">
        <f t="shared" si="99"/>
        <v>#N/A</v>
      </c>
      <c r="AP876" s="138" t="e">
        <f t="shared" si="100"/>
        <v>#N/A</v>
      </c>
      <c r="AQ876" s="138" t="e">
        <f t="shared" si="101"/>
        <v>#N/A</v>
      </c>
      <c r="AR876" s="138" t="e">
        <f t="shared" si="102"/>
        <v>#N/A</v>
      </c>
      <c r="AS876" s="138" t="e">
        <f t="shared" si="103"/>
        <v>#N/A</v>
      </c>
      <c r="AT876" s="139" t="e">
        <f t="shared" si="104"/>
        <v>#N/A</v>
      </c>
    </row>
    <row r="877" spans="1:46" ht="54" customHeight="1">
      <c r="A877" s="428">
        <f t="shared" si="98"/>
        <v>869</v>
      </c>
      <c r="B877" s="403"/>
      <c r="C877" s="404"/>
      <c r="D877" s="405"/>
      <c r="E877" s="405"/>
      <c r="F877" s="405"/>
      <c r="G877" s="405"/>
      <c r="H877" s="406"/>
      <c r="I877" s="407"/>
      <c r="J877" s="408"/>
      <c r="K877" s="409"/>
      <c r="L877" s="410"/>
      <c r="M877" s="404"/>
      <c r="N877" s="411" t="str">
        <f>IF($AI877&lt;&gt;"",Master!$N$37,IF($AC877&lt;&gt;"",Master!$N$38,IF($S877&lt;&gt;"",Master!$N$39,IF($C877&lt;&gt;"",Master!$N$40,Master!$N$41))))</f>
        <v>起票</v>
      </c>
      <c r="O877" s="412" t="str">
        <f>IF($N877=Master!$N$37,MAX($S877,$AC877,$AI877),"")</f>
        <v/>
      </c>
      <c r="P877" s="413"/>
      <c r="Q877" s="414"/>
      <c r="R877" s="409"/>
      <c r="S877" s="404"/>
      <c r="T877" s="418"/>
      <c r="U877" s="415"/>
      <c r="V877" s="409"/>
      <c r="W877" s="419"/>
      <c r="X877" s="419"/>
      <c r="Y877" s="416"/>
      <c r="Z877" s="417"/>
      <c r="AA877" s="418"/>
      <c r="AB877" s="419"/>
      <c r="AC877" s="404"/>
      <c r="AD877" s="404"/>
      <c r="AE877" s="420"/>
      <c r="AF877" s="421"/>
      <c r="AG877" s="418"/>
      <c r="AH877" s="409"/>
      <c r="AI877" s="404"/>
      <c r="AJ877" s="416"/>
      <c r="AK877" s="453"/>
      <c r="AL877" s="422"/>
      <c r="AM877" s="423"/>
      <c r="AO877" s="137" t="e">
        <f t="shared" si="99"/>
        <v>#N/A</v>
      </c>
      <c r="AP877" s="138" t="e">
        <f t="shared" si="100"/>
        <v>#N/A</v>
      </c>
      <c r="AQ877" s="138" t="e">
        <f t="shared" si="101"/>
        <v>#N/A</v>
      </c>
      <c r="AR877" s="138" t="e">
        <f t="shared" si="102"/>
        <v>#N/A</v>
      </c>
      <c r="AS877" s="138" t="e">
        <f t="shared" si="103"/>
        <v>#N/A</v>
      </c>
      <c r="AT877" s="139" t="e">
        <f t="shared" si="104"/>
        <v>#N/A</v>
      </c>
    </row>
    <row r="878" spans="1:46" ht="54" customHeight="1">
      <c r="A878" s="428">
        <f t="shared" si="98"/>
        <v>870</v>
      </c>
      <c r="B878" s="403"/>
      <c r="C878" s="404"/>
      <c r="D878" s="405"/>
      <c r="E878" s="405"/>
      <c r="F878" s="405"/>
      <c r="G878" s="405"/>
      <c r="H878" s="406"/>
      <c r="I878" s="407"/>
      <c r="J878" s="408"/>
      <c r="K878" s="409"/>
      <c r="L878" s="410"/>
      <c r="M878" s="404"/>
      <c r="N878" s="411" t="str">
        <f>IF($AI878&lt;&gt;"",Master!$N$37,IF($AC878&lt;&gt;"",Master!$N$38,IF($S878&lt;&gt;"",Master!$N$39,IF($C878&lt;&gt;"",Master!$N$40,Master!$N$41))))</f>
        <v>起票</v>
      </c>
      <c r="O878" s="412" t="str">
        <f>IF($N878=Master!$N$37,MAX($S878,$AC878,$AI878),"")</f>
        <v/>
      </c>
      <c r="P878" s="413"/>
      <c r="Q878" s="414"/>
      <c r="R878" s="409"/>
      <c r="S878" s="404"/>
      <c r="T878" s="418"/>
      <c r="U878" s="415"/>
      <c r="V878" s="409"/>
      <c r="W878" s="419"/>
      <c r="X878" s="419"/>
      <c r="Y878" s="416"/>
      <c r="Z878" s="417"/>
      <c r="AA878" s="418"/>
      <c r="AB878" s="419"/>
      <c r="AC878" s="404"/>
      <c r="AD878" s="404"/>
      <c r="AE878" s="420"/>
      <c r="AF878" s="421"/>
      <c r="AG878" s="418"/>
      <c r="AH878" s="409"/>
      <c r="AI878" s="404"/>
      <c r="AJ878" s="416"/>
      <c r="AK878" s="453"/>
      <c r="AL878" s="422"/>
      <c r="AM878" s="423"/>
      <c r="AO878" s="137" t="e">
        <f t="shared" si="99"/>
        <v>#N/A</v>
      </c>
      <c r="AP878" s="138" t="e">
        <f t="shared" si="100"/>
        <v>#N/A</v>
      </c>
      <c r="AQ878" s="138" t="e">
        <f t="shared" si="101"/>
        <v>#N/A</v>
      </c>
      <c r="AR878" s="138" t="e">
        <f t="shared" si="102"/>
        <v>#N/A</v>
      </c>
      <c r="AS878" s="138" t="e">
        <f t="shared" si="103"/>
        <v>#N/A</v>
      </c>
      <c r="AT878" s="139" t="e">
        <f t="shared" si="104"/>
        <v>#N/A</v>
      </c>
    </row>
    <row r="879" spans="1:46" ht="54" customHeight="1">
      <c r="A879" s="428">
        <f t="shared" si="98"/>
        <v>871</v>
      </c>
      <c r="B879" s="403"/>
      <c r="C879" s="404"/>
      <c r="D879" s="405"/>
      <c r="E879" s="405"/>
      <c r="F879" s="405"/>
      <c r="G879" s="405"/>
      <c r="H879" s="406"/>
      <c r="I879" s="407"/>
      <c r="J879" s="408"/>
      <c r="K879" s="409"/>
      <c r="L879" s="410"/>
      <c r="M879" s="404"/>
      <c r="N879" s="411" t="str">
        <f>IF($AI879&lt;&gt;"",Master!$N$37,IF($AC879&lt;&gt;"",Master!$N$38,IF($S879&lt;&gt;"",Master!$N$39,IF($C879&lt;&gt;"",Master!$N$40,Master!$N$41))))</f>
        <v>起票</v>
      </c>
      <c r="O879" s="412" t="str">
        <f>IF($N879=Master!$N$37,MAX($S879,$AC879,$AI879),"")</f>
        <v/>
      </c>
      <c r="P879" s="413"/>
      <c r="Q879" s="414"/>
      <c r="R879" s="409"/>
      <c r="S879" s="404"/>
      <c r="T879" s="418"/>
      <c r="U879" s="415"/>
      <c r="V879" s="409"/>
      <c r="W879" s="419"/>
      <c r="X879" s="419"/>
      <c r="Y879" s="416"/>
      <c r="Z879" s="417"/>
      <c r="AA879" s="418"/>
      <c r="AB879" s="419"/>
      <c r="AC879" s="404"/>
      <c r="AD879" s="404"/>
      <c r="AE879" s="420"/>
      <c r="AF879" s="421"/>
      <c r="AG879" s="418"/>
      <c r="AH879" s="409"/>
      <c r="AI879" s="404"/>
      <c r="AJ879" s="416"/>
      <c r="AK879" s="453"/>
      <c r="AL879" s="422"/>
      <c r="AM879" s="423"/>
      <c r="AO879" s="137" t="e">
        <f t="shared" si="99"/>
        <v>#N/A</v>
      </c>
      <c r="AP879" s="138" t="e">
        <f t="shared" si="100"/>
        <v>#N/A</v>
      </c>
      <c r="AQ879" s="138" t="e">
        <f t="shared" si="101"/>
        <v>#N/A</v>
      </c>
      <c r="AR879" s="138" t="e">
        <f t="shared" si="102"/>
        <v>#N/A</v>
      </c>
      <c r="AS879" s="138" t="e">
        <f t="shared" si="103"/>
        <v>#N/A</v>
      </c>
      <c r="AT879" s="139" t="e">
        <f t="shared" si="104"/>
        <v>#N/A</v>
      </c>
    </row>
    <row r="880" spans="1:46" ht="54" customHeight="1">
      <c r="A880" s="428">
        <f t="shared" si="98"/>
        <v>872</v>
      </c>
      <c r="B880" s="294"/>
      <c r="C880" s="201"/>
      <c r="D880" s="290"/>
      <c r="E880" s="301"/>
      <c r="F880" s="301"/>
      <c r="G880" s="290"/>
      <c r="H880" s="291"/>
      <c r="I880" s="292"/>
      <c r="J880" s="61"/>
      <c r="K880" s="57"/>
      <c r="L880" s="303"/>
      <c r="M880" s="201"/>
      <c r="N880" s="84" t="str">
        <f>IF($AI880&lt;&gt;"",Master!$N$37,IF($AC880&lt;&gt;"",Master!$N$38,IF($S880&lt;&gt;"",Master!$N$39,IF($C880&lt;&gt;"",Master!$N$40,Master!$N$41))))</f>
        <v>起票</v>
      </c>
      <c r="O880" s="202" t="str">
        <f>IF($N880=Master!$N$37,MAX($S880,$AC880,$AI880),"")</f>
        <v/>
      </c>
      <c r="P880" s="65"/>
      <c r="Q880" s="203"/>
      <c r="R880" s="57"/>
      <c r="S880" s="203"/>
      <c r="T880" s="310"/>
      <c r="U880" s="289"/>
      <c r="V880" s="57"/>
      <c r="W880" s="288"/>
      <c r="X880" s="288"/>
      <c r="Y880" s="296"/>
      <c r="Z880" s="57"/>
      <c r="AA880" s="203"/>
      <c r="AB880" s="288"/>
      <c r="AC880" s="201"/>
      <c r="AD880" s="298"/>
      <c r="AE880" s="297"/>
      <c r="AF880" s="58"/>
      <c r="AG880" s="204"/>
      <c r="AH880" s="57"/>
      <c r="AI880" s="201"/>
      <c r="AJ880" s="287"/>
      <c r="AK880" s="452"/>
      <c r="AL880" s="59"/>
      <c r="AM880" s="60"/>
      <c r="AO880" s="137" t="e">
        <f t="shared" si="99"/>
        <v>#N/A</v>
      </c>
      <c r="AP880" s="138" t="e">
        <f t="shared" si="100"/>
        <v>#N/A</v>
      </c>
      <c r="AQ880" s="138" t="e">
        <f t="shared" si="101"/>
        <v>#N/A</v>
      </c>
      <c r="AR880" s="138" t="e">
        <f t="shared" si="102"/>
        <v>#N/A</v>
      </c>
      <c r="AS880" s="138" t="e">
        <f t="shared" si="103"/>
        <v>#N/A</v>
      </c>
      <c r="AT880" s="139" t="e">
        <f t="shared" si="104"/>
        <v>#N/A</v>
      </c>
    </row>
    <row r="881" spans="1:46" ht="54" customHeight="1">
      <c r="A881" s="428">
        <f t="shared" si="98"/>
        <v>873</v>
      </c>
      <c r="B881" s="294"/>
      <c r="C881" s="201"/>
      <c r="D881" s="290"/>
      <c r="E881" s="301"/>
      <c r="F881" s="301"/>
      <c r="G881" s="290"/>
      <c r="H881" s="291"/>
      <c r="I881" s="292"/>
      <c r="J881" s="61"/>
      <c r="K881" s="57"/>
      <c r="L881" s="303"/>
      <c r="M881" s="201"/>
      <c r="N881" s="84" t="str">
        <f>IF($AI881&lt;&gt;"",Master!$N$37,IF($AC881&lt;&gt;"",Master!$N$38,IF($S881&lt;&gt;"",Master!$N$39,IF($C881&lt;&gt;"",Master!$N$40,Master!$N$41))))</f>
        <v>起票</v>
      </c>
      <c r="O881" s="202" t="str">
        <f>IF($N881=Master!$N$37,MAX($S881,$AC881,$AI881),"")</f>
        <v/>
      </c>
      <c r="P881" s="65"/>
      <c r="Q881" s="203"/>
      <c r="R881" s="57"/>
      <c r="S881" s="203"/>
      <c r="T881" s="310"/>
      <c r="U881" s="289"/>
      <c r="V881" s="57"/>
      <c r="W881" s="288"/>
      <c r="X881" s="288"/>
      <c r="Y881" s="296"/>
      <c r="Z881" s="57"/>
      <c r="AA881" s="203"/>
      <c r="AB881" s="288"/>
      <c r="AC881" s="201"/>
      <c r="AD881" s="298"/>
      <c r="AE881" s="297"/>
      <c r="AF881" s="58"/>
      <c r="AG881" s="204"/>
      <c r="AH881" s="57"/>
      <c r="AI881" s="201"/>
      <c r="AJ881" s="287"/>
      <c r="AK881" s="452"/>
      <c r="AL881" s="59"/>
      <c r="AM881" s="60"/>
      <c r="AO881" s="137" t="e">
        <f t="shared" si="99"/>
        <v>#N/A</v>
      </c>
      <c r="AP881" s="138" t="e">
        <f t="shared" si="100"/>
        <v>#N/A</v>
      </c>
      <c r="AQ881" s="138" t="e">
        <f t="shared" si="101"/>
        <v>#N/A</v>
      </c>
      <c r="AR881" s="138" t="e">
        <f t="shared" si="102"/>
        <v>#N/A</v>
      </c>
      <c r="AS881" s="138" t="e">
        <f t="shared" si="103"/>
        <v>#N/A</v>
      </c>
      <c r="AT881" s="139" t="e">
        <f t="shared" si="104"/>
        <v>#N/A</v>
      </c>
    </row>
    <row r="882" spans="1:46" ht="54" customHeight="1">
      <c r="A882" s="428">
        <f t="shared" si="98"/>
        <v>874</v>
      </c>
      <c r="B882" s="403"/>
      <c r="C882" s="404"/>
      <c r="D882" s="405"/>
      <c r="E882" s="405"/>
      <c r="F882" s="405"/>
      <c r="G882" s="405"/>
      <c r="H882" s="406"/>
      <c r="I882" s="407"/>
      <c r="J882" s="408"/>
      <c r="K882" s="409"/>
      <c r="L882" s="410"/>
      <c r="M882" s="404"/>
      <c r="N882" s="411" t="str">
        <f>IF($AI882&lt;&gt;"",Master!$N$37,IF($AC882&lt;&gt;"",Master!$N$38,IF($S882&lt;&gt;"",Master!$N$39,IF($C882&lt;&gt;"",Master!$N$40,Master!$N$41))))</f>
        <v>起票</v>
      </c>
      <c r="O882" s="412" t="str">
        <f>IF($N882=Master!$N$37,MAX($S882,$AC882,$AI882),"")</f>
        <v/>
      </c>
      <c r="P882" s="413"/>
      <c r="Q882" s="414"/>
      <c r="R882" s="409"/>
      <c r="S882" s="404"/>
      <c r="T882" s="418"/>
      <c r="U882" s="415"/>
      <c r="V882" s="409"/>
      <c r="W882" s="419"/>
      <c r="X882" s="419"/>
      <c r="Y882" s="416"/>
      <c r="Z882" s="417"/>
      <c r="AA882" s="418"/>
      <c r="AB882" s="419"/>
      <c r="AC882" s="404"/>
      <c r="AD882" s="404"/>
      <c r="AE882" s="420"/>
      <c r="AF882" s="421"/>
      <c r="AG882" s="418"/>
      <c r="AH882" s="409"/>
      <c r="AI882" s="404"/>
      <c r="AJ882" s="416"/>
      <c r="AK882" s="453"/>
      <c r="AL882" s="422"/>
      <c r="AM882" s="423"/>
      <c r="AO882" s="137" t="e">
        <f t="shared" si="99"/>
        <v>#N/A</v>
      </c>
      <c r="AP882" s="138" t="e">
        <f t="shared" si="100"/>
        <v>#N/A</v>
      </c>
      <c r="AQ882" s="138" t="e">
        <f t="shared" si="101"/>
        <v>#N/A</v>
      </c>
      <c r="AR882" s="138" t="e">
        <f t="shared" si="102"/>
        <v>#N/A</v>
      </c>
      <c r="AS882" s="138" t="e">
        <f t="shared" si="103"/>
        <v>#N/A</v>
      </c>
      <c r="AT882" s="139" t="e">
        <f t="shared" si="104"/>
        <v>#N/A</v>
      </c>
    </row>
    <row r="883" spans="1:46" ht="54" customHeight="1">
      <c r="A883" s="428">
        <f t="shared" si="98"/>
        <v>875</v>
      </c>
      <c r="B883" s="403"/>
      <c r="C883" s="404"/>
      <c r="D883" s="405"/>
      <c r="E883" s="405"/>
      <c r="F883" s="405"/>
      <c r="G883" s="405"/>
      <c r="H883" s="406"/>
      <c r="I883" s="407"/>
      <c r="J883" s="408"/>
      <c r="K883" s="409"/>
      <c r="L883" s="410"/>
      <c r="M883" s="404"/>
      <c r="N883" s="411" t="str">
        <f>IF($AI883&lt;&gt;"",Master!$N$37,IF($AC883&lt;&gt;"",Master!$N$38,IF($S883&lt;&gt;"",Master!$N$39,IF($C883&lt;&gt;"",Master!$N$40,Master!$N$41))))</f>
        <v>起票</v>
      </c>
      <c r="O883" s="412" t="str">
        <f>IF($N883=Master!$N$37,MAX($S883,$AC883,$AI883),"")</f>
        <v/>
      </c>
      <c r="P883" s="413"/>
      <c r="Q883" s="414"/>
      <c r="R883" s="409"/>
      <c r="S883" s="404"/>
      <c r="T883" s="418"/>
      <c r="U883" s="415"/>
      <c r="V883" s="409"/>
      <c r="W883" s="419"/>
      <c r="X883" s="419"/>
      <c r="Y883" s="416"/>
      <c r="Z883" s="417"/>
      <c r="AA883" s="418"/>
      <c r="AB883" s="419"/>
      <c r="AC883" s="404"/>
      <c r="AD883" s="404"/>
      <c r="AE883" s="420"/>
      <c r="AF883" s="421"/>
      <c r="AG883" s="418"/>
      <c r="AH883" s="409"/>
      <c r="AI883" s="404"/>
      <c r="AJ883" s="416"/>
      <c r="AK883" s="453"/>
      <c r="AL883" s="422"/>
      <c r="AM883" s="423"/>
      <c r="AO883" s="137" t="e">
        <f t="shared" si="99"/>
        <v>#N/A</v>
      </c>
      <c r="AP883" s="138" t="e">
        <f t="shared" si="100"/>
        <v>#N/A</v>
      </c>
      <c r="AQ883" s="138" t="e">
        <f t="shared" si="101"/>
        <v>#N/A</v>
      </c>
      <c r="AR883" s="138" t="e">
        <f t="shared" si="102"/>
        <v>#N/A</v>
      </c>
      <c r="AS883" s="138" t="e">
        <f t="shared" si="103"/>
        <v>#N/A</v>
      </c>
      <c r="AT883" s="139" t="e">
        <f t="shared" si="104"/>
        <v>#N/A</v>
      </c>
    </row>
    <row r="884" spans="1:46" ht="54" customHeight="1">
      <c r="A884" s="428">
        <f t="shared" si="98"/>
        <v>876</v>
      </c>
      <c r="B884" s="403"/>
      <c r="C884" s="404"/>
      <c r="D884" s="405"/>
      <c r="E884" s="405"/>
      <c r="F884" s="405"/>
      <c r="G884" s="405"/>
      <c r="H884" s="406"/>
      <c r="I884" s="407"/>
      <c r="J884" s="408"/>
      <c r="K884" s="409"/>
      <c r="L884" s="410"/>
      <c r="M884" s="404"/>
      <c r="N884" s="411" t="str">
        <f>IF($AI884&lt;&gt;"",Master!$N$37,IF($AC884&lt;&gt;"",Master!$N$38,IF($S884&lt;&gt;"",Master!$N$39,IF($C884&lt;&gt;"",Master!$N$40,Master!$N$41))))</f>
        <v>起票</v>
      </c>
      <c r="O884" s="412" t="str">
        <f>IF($N884=Master!$N$37,MAX($S884,$AC884,$AI884),"")</f>
        <v/>
      </c>
      <c r="P884" s="413"/>
      <c r="Q884" s="414"/>
      <c r="R884" s="409"/>
      <c r="S884" s="404"/>
      <c r="T884" s="418"/>
      <c r="U884" s="415"/>
      <c r="V884" s="409"/>
      <c r="W884" s="419"/>
      <c r="X884" s="419"/>
      <c r="Y884" s="416"/>
      <c r="Z884" s="417"/>
      <c r="AA884" s="418"/>
      <c r="AB884" s="419"/>
      <c r="AC884" s="404"/>
      <c r="AD884" s="404"/>
      <c r="AE884" s="420"/>
      <c r="AF884" s="421"/>
      <c r="AG884" s="418"/>
      <c r="AH884" s="409"/>
      <c r="AI884" s="404"/>
      <c r="AJ884" s="416"/>
      <c r="AK884" s="453"/>
      <c r="AL884" s="422"/>
      <c r="AM884" s="423"/>
      <c r="AO884" s="137" t="e">
        <f t="shared" si="99"/>
        <v>#N/A</v>
      </c>
      <c r="AP884" s="138" t="e">
        <f t="shared" si="100"/>
        <v>#N/A</v>
      </c>
      <c r="AQ884" s="138" t="e">
        <f t="shared" si="101"/>
        <v>#N/A</v>
      </c>
      <c r="AR884" s="138" t="e">
        <f t="shared" si="102"/>
        <v>#N/A</v>
      </c>
      <c r="AS884" s="138" t="e">
        <f t="shared" si="103"/>
        <v>#N/A</v>
      </c>
      <c r="AT884" s="139" t="e">
        <f t="shared" si="104"/>
        <v>#N/A</v>
      </c>
    </row>
    <row r="885" spans="1:46" ht="54" customHeight="1">
      <c r="A885" s="428">
        <f t="shared" si="98"/>
        <v>877</v>
      </c>
      <c r="B885" s="294"/>
      <c r="C885" s="201"/>
      <c r="D885" s="290"/>
      <c r="E885" s="301"/>
      <c r="F885" s="301"/>
      <c r="G885" s="290"/>
      <c r="H885" s="291"/>
      <c r="I885" s="292"/>
      <c r="J885" s="61"/>
      <c r="K885" s="57"/>
      <c r="L885" s="303"/>
      <c r="M885" s="201"/>
      <c r="N885" s="84" t="str">
        <f>IF($AI885&lt;&gt;"",Master!$N$37,IF($AC885&lt;&gt;"",Master!$N$38,IF($S885&lt;&gt;"",Master!$N$39,IF($C885&lt;&gt;"",Master!$N$40,Master!$N$41))))</f>
        <v>起票</v>
      </c>
      <c r="O885" s="202" t="str">
        <f>IF($N885=Master!$N$37,MAX($S885,$AC885,$AI885),"")</f>
        <v/>
      </c>
      <c r="P885" s="65"/>
      <c r="Q885" s="203"/>
      <c r="R885" s="57"/>
      <c r="S885" s="203"/>
      <c r="T885" s="310"/>
      <c r="U885" s="289"/>
      <c r="V885" s="57"/>
      <c r="W885" s="288"/>
      <c r="X885" s="288"/>
      <c r="Y885" s="296"/>
      <c r="Z885" s="57"/>
      <c r="AA885" s="203"/>
      <c r="AB885" s="288"/>
      <c r="AC885" s="201"/>
      <c r="AD885" s="298"/>
      <c r="AE885" s="297"/>
      <c r="AF885" s="58"/>
      <c r="AG885" s="204"/>
      <c r="AH885" s="57"/>
      <c r="AI885" s="201"/>
      <c r="AJ885" s="287"/>
      <c r="AK885" s="452"/>
      <c r="AL885" s="59"/>
      <c r="AM885" s="60"/>
      <c r="AO885" s="137" t="e">
        <f t="shared" si="99"/>
        <v>#N/A</v>
      </c>
      <c r="AP885" s="138" t="e">
        <f t="shared" si="100"/>
        <v>#N/A</v>
      </c>
      <c r="AQ885" s="138" t="e">
        <f t="shared" si="101"/>
        <v>#N/A</v>
      </c>
      <c r="AR885" s="138" t="e">
        <f t="shared" si="102"/>
        <v>#N/A</v>
      </c>
      <c r="AS885" s="138" t="e">
        <f t="shared" si="103"/>
        <v>#N/A</v>
      </c>
      <c r="AT885" s="139" t="e">
        <f t="shared" si="104"/>
        <v>#N/A</v>
      </c>
    </row>
    <row r="886" spans="1:46" ht="54" customHeight="1">
      <c r="A886" s="428">
        <f t="shared" si="98"/>
        <v>878</v>
      </c>
      <c r="B886" s="294"/>
      <c r="C886" s="201"/>
      <c r="D886" s="290"/>
      <c r="E886" s="301"/>
      <c r="F886" s="301"/>
      <c r="G886" s="290"/>
      <c r="H886" s="291"/>
      <c r="I886" s="292"/>
      <c r="J886" s="61"/>
      <c r="K886" s="57"/>
      <c r="L886" s="303"/>
      <c r="M886" s="201"/>
      <c r="N886" s="84" t="str">
        <f>IF($AI886&lt;&gt;"",Master!$N$37,IF($AC886&lt;&gt;"",Master!$N$38,IF($S886&lt;&gt;"",Master!$N$39,IF($C886&lt;&gt;"",Master!$N$40,Master!$N$41))))</f>
        <v>起票</v>
      </c>
      <c r="O886" s="202" t="str">
        <f>IF($N886=Master!$N$37,MAX($S886,$AC886,$AI886),"")</f>
        <v/>
      </c>
      <c r="P886" s="65"/>
      <c r="Q886" s="203"/>
      <c r="R886" s="57"/>
      <c r="S886" s="203"/>
      <c r="T886" s="310"/>
      <c r="U886" s="289"/>
      <c r="V886" s="57"/>
      <c r="W886" s="288"/>
      <c r="X886" s="288"/>
      <c r="Y886" s="296"/>
      <c r="Z886" s="57"/>
      <c r="AA886" s="203"/>
      <c r="AB886" s="288"/>
      <c r="AC886" s="201"/>
      <c r="AD886" s="298"/>
      <c r="AE886" s="297"/>
      <c r="AF886" s="58"/>
      <c r="AG886" s="204"/>
      <c r="AH886" s="57"/>
      <c r="AI886" s="201"/>
      <c r="AJ886" s="287"/>
      <c r="AK886" s="452"/>
      <c r="AL886" s="59"/>
      <c r="AM886" s="60"/>
      <c r="AO886" s="137" t="e">
        <f t="shared" si="99"/>
        <v>#N/A</v>
      </c>
      <c r="AP886" s="138" t="e">
        <f t="shared" si="100"/>
        <v>#N/A</v>
      </c>
      <c r="AQ886" s="138" t="e">
        <f t="shared" si="101"/>
        <v>#N/A</v>
      </c>
      <c r="AR886" s="138" t="e">
        <f t="shared" si="102"/>
        <v>#N/A</v>
      </c>
      <c r="AS886" s="138" t="e">
        <f t="shared" si="103"/>
        <v>#N/A</v>
      </c>
      <c r="AT886" s="139" t="e">
        <f t="shared" si="104"/>
        <v>#N/A</v>
      </c>
    </row>
    <row r="887" spans="1:46" ht="54" customHeight="1">
      <c r="A887" s="428">
        <f t="shared" si="98"/>
        <v>879</v>
      </c>
      <c r="B887" s="403"/>
      <c r="C887" s="404"/>
      <c r="D887" s="405"/>
      <c r="E887" s="405"/>
      <c r="F887" s="405"/>
      <c r="G887" s="405"/>
      <c r="H887" s="406"/>
      <c r="I887" s="407"/>
      <c r="J887" s="408"/>
      <c r="K887" s="409"/>
      <c r="L887" s="410"/>
      <c r="M887" s="404"/>
      <c r="N887" s="411" t="str">
        <f>IF($AI887&lt;&gt;"",Master!$N$37,IF($AC887&lt;&gt;"",Master!$N$38,IF($S887&lt;&gt;"",Master!$N$39,IF($C887&lt;&gt;"",Master!$N$40,Master!$N$41))))</f>
        <v>起票</v>
      </c>
      <c r="O887" s="412" t="str">
        <f>IF($N887=Master!$N$37,MAX($S887,$AC887,$AI887),"")</f>
        <v/>
      </c>
      <c r="P887" s="413"/>
      <c r="Q887" s="414"/>
      <c r="R887" s="409"/>
      <c r="S887" s="404"/>
      <c r="T887" s="418"/>
      <c r="U887" s="415"/>
      <c r="V887" s="409"/>
      <c r="W887" s="419"/>
      <c r="X887" s="419"/>
      <c r="Y887" s="416"/>
      <c r="Z887" s="417"/>
      <c r="AA887" s="418"/>
      <c r="AB887" s="419"/>
      <c r="AC887" s="404"/>
      <c r="AD887" s="404"/>
      <c r="AE887" s="420"/>
      <c r="AF887" s="421"/>
      <c r="AG887" s="418"/>
      <c r="AH887" s="409"/>
      <c r="AI887" s="404"/>
      <c r="AJ887" s="416"/>
      <c r="AK887" s="453"/>
      <c r="AL887" s="422"/>
      <c r="AM887" s="423"/>
      <c r="AO887" s="137" t="e">
        <f t="shared" si="99"/>
        <v>#N/A</v>
      </c>
      <c r="AP887" s="138" t="e">
        <f t="shared" si="100"/>
        <v>#N/A</v>
      </c>
      <c r="AQ887" s="138" t="e">
        <f t="shared" si="101"/>
        <v>#N/A</v>
      </c>
      <c r="AR887" s="138" t="e">
        <f t="shared" si="102"/>
        <v>#N/A</v>
      </c>
      <c r="AS887" s="138" t="e">
        <f t="shared" si="103"/>
        <v>#N/A</v>
      </c>
      <c r="AT887" s="139" t="e">
        <f t="shared" si="104"/>
        <v>#N/A</v>
      </c>
    </row>
    <row r="888" spans="1:46" ht="54" customHeight="1">
      <c r="A888" s="428">
        <f t="shared" si="98"/>
        <v>880</v>
      </c>
      <c r="B888" s="403"/>
      <c r="C888" s="404"/>
      <c r="D888" s="405"/>
      <c r="E888" s="405"/>
      <c r="F888" s="405"/>
      <c r="G888" s="405"/>
      <c r="H888" s="406"/>
      <c r="I888" s="407"/>
      <c r="J888" s="408"/>
      <c r="K888" s="409"/>
      <c r="L888" s="410"/>
      <c r="M888" s="404"/>
      <c r="N888" s="411" t="str">
        <f>IF($AI888&lt;&gt;"",Master!$N$37,IF($AC888&lt;&gt;"",Master!$N$38,IF($S888&lt;&gt;"",Master!$N$39,IF($C888&lt;&gt;"",Master!$N$40,Master!$N$41))))</f>
        <v>起票</v>
      </c>
      <c r="O888" s="412" t="str">
        <f>IF($N888=Master!$N$37,MAX($S888,$AC888,$AI888),"")</f>
        <v/>
      </c>
      <c r="P888" s="413"/>
      <c r="Q888" s="414"/>
      <c r="R888" s="409"/>
      <c r="S888" s="404"/>
      <c r="T888" s="418"/>
      <c r="U888" s="415"/>
      <c r="V888" s="409"/>
      <c r="W888" s="419"/>
      <c r="X888" s="419"/>
      <c r="Y888" s="416"/>
      <c r="Z888" s="417"/>
      <c r="AA888" s="418"/>
      <c r="AB888" s="419"/>
      <c r="AC888" s="404"/>
      <c r="AD888" s="404"/>
      <c r="AE888" s="420"/>
      <c r="AF888" s="421"/>
      <c r="AG888" s="418"/>
      <c r="AH888" s="409"/>
      <c r="AI888" s="404"/>
      <c r="AJ888" s="416"/>
      <c r="AK888" s="453"/>
      <c r="AL888" s="422"/>
      <c r="AM888" s="423"/>
      <c r="AO888" s="137" t="e">
        <f t="shared" si="99"/>
        <v>#N/A</v>
      </c>
      <c r="AP888" s="138" t="e">
        <f t="shared" si="100"/>
        <v>#N/A</v>
      </c>
      <c r="AQ888" s="138" t="e">
        <f t="shared" si="101"/>
        <v>#N/A</v>
      </c>
      <c r="AR888" s="138" t="e">
        <f t="shared" si="102"/>
        <v>#N/A</v>
      </c>
      <c r="AS888" s="138" t="e">
        <f t="shared" si="103"/>
        <v>#N/A</v>
      </c>
      <c r="AT888" s="139" t="e">
        <f t="shared" si="104"/>
        <v>#N/A</v>
      </c>
    </row>
    <row r="889" spans="1:46" ht="54" customHeight="1">
      <c r="A889" s="428">
        <f t="shared" si="98"/>
        <v>881</v>
      </c>
      <c r="B889" s="403"/>
      <c r="C889" s="404"/>
      <c r="D889" s="405"/>
      <c r="E889" s="405"/>
      <c r="F889" s="405"/>
      <c r="G889" s="405"/>
      <c r="H889" s="406"/>
      <c r="I889" s="407"/>
      <c r="J889" s="408"/>
      <c r="K889" s="409"/>
      <c r="L889" s="410"/>
      <c r="M889" s="404"/>
      <c r="N889" s="411" t="str">
        <f>IF($AI889&lt;&gt;"",Master!$N$37,IF($AC889&lt;&gt;"",Master!$N$38,IF($S889&lt;&gt;"",Master!$N$39,IF($C889&lt;&gt;"",Master!$N$40,Master!$N$41))))</f>
        <v>起票</v>
      </c>
      <c r="O889" s="412" t="str">
        <f>IF($N889=Master!$N$37,MAX($S889,$AC889,$AI889),"")</f>
        <v/>
      </c>
      <c r="P889" s="413"/>
      <c r="Q889" s="414"/>
      <c r="R889" s="409"/>
      <c r="S889" s="404"/>
      <c r="T889" s="418"/>
      <c r="U889" s="415"/>
      <c r="V889" s="409"/>
      <c r="W889" s="419"/>
      <c r="X889" s="419"/>
      <c r="Y889" s="416"/>
      <c r="Z889" s="417"/>
      <c r="AA889" s="418"/>
      <c r="AB889" s="419"/>
      <c r="AC889" s="404"/>
      <c r="AD889" s="404"/>
      <c r="AE889" s="420"/>
      <c r="AF889" s="421"/>
      <c r="AG889" s="418"/>
      <c r="AH889" s="409"/>
      <c r="AI889" s="404"/>
      <c r="AJ889" s="416"/>
      <c r="AK889" s="453"/>
      <c r="AL889" s="422"/>
      <c r="AM889" s="423"/>
      <c r="AO889" s="137" t="e">
        <f t="shared" si="99"/>
        <v>#N/A</v>
      </c>
      <c r="AP889" s="138" t="e">
        <f t="shared" si="100"/>
        <v>#N/A</v>
      </c>
      <c r="AQ889" s="138" t="e">
        <f t="shared" si="101"/>
        <v>#N/A</v>
      </c>
      <c r="AR889" s="138" t="e">
        <f t="shared" si="102"/>
        <v>#N/A</v>
      </c>
      <c r="AS889" s="138" t="e">
        <f t="shared" si="103"/>
        <v>#N/A</v>
      </c>
      <c r="AT889" s="139" t="e">
        <f t="shared" si="104"/>
        <v>#N/A</v>
      </c>
    </row>
    <row r="890" spans="1:46" ht="54" customHeight="1">
      <c r="A890" s="428">
        <f t="shared" si="98"/>
        <v>882</v>
      </c>
      <c r="B890" s="294"/>
      <c r="C890" s="201"/>
      <c r="D890" s="290"/>
      <c r="E890" s="301"/>
      <c r="F890" s="301"/>
      <c r="G890" s="290"/>
      <c r="H890" s="291"/>
      <c r="I890" s="292"/>
      <c r="J890" s="61"/>
      <c r="K890" s="57"/>
      <c r="L890" s="303"/>
      <c r="M890" s="201"/>
      <c r="N890" s="84" t="str">
        <f>IF($AI890&lt;&gt;"",Master!$N$37,IF($AC890&lt;&gt;"",Master!$N$38,IF($S890&lt;&gt;"",Master!$N$39,IF($C890&lt;&gt;"",Master!$N$40,Master!$N$41))))</f>
        <v>起票</v>
      </c>
      <c r="O890" s="202" t="str">
        <f>IF($N890=Master!$N$37,MAX($S890,$AC890,$AI890),"")</f>
        <v/>
      </c>
      <c r="P890" s="65"/>
      <c r="Q890" s="203"/>
      <c r="R890" s="57"/>
      <c r="S890" s="203"/>
      <c r="T890" s="310"/>
      <c r="U890" s="289"/>
      <c r="V890" s="57"/>
      <c r="W890" s="288"/>
      <c r="X890" s="288"/>
      <c r="Y890" s="296"/>
      <c r="Z890" s="57"/>
      <c r="AA890" s="203"/>
      <c r="AB890" s="288"/>
      <c r="AC890" s="201"/>
      <c r="AD890" s="298"/>
      <c r="AE890" s="297"/>
      <c r="AF890" s="58"/>
      <c r="AG890" s="204"/>
      <c r="AH890" s="57"/>
      <c r="AI890" s="201"/>
      <c r="AJ890" s="287"/>
      <c r="AK890" s="452"/>
      <c r="AL890" s="59"/>
      <c r="AM890" s="60"/>
      <c r="AO890" s="137" t="e">
        <f t="shared" si="99"/>
        <v>#N/A</v>
      </c>
      <c r="AP890" s="138" t="e">
        <f t="shared" si="100"/>
        <v>#N/A</v>
      </c>
      <c r="AQ890" s="138" t="e">
        <f t="shared" si="101"/>
        <v>#N/A</v>
      </c>
      <c r="AR890" s="138" t="e">
        <f t="shared" si="102"/>
        <v>#N/A</v>
      </c>
      <c r="AS890" s="138" t="e">
        <f t="shared" si="103"/>
        <v>#N/A</v>
      </c>
      <c r="AT890" s="139" t="e">
        <f t="shared" si="104"/>
        <v>#N/A</v>
      </c>
    </row>
    <row r="891" spans="1:46" ht="54" customHeight="1">
      <c r="A891" s="428">
        <f t="shared" si="98"/>
        <v>883</v>
      </c>
      <c r="B891" s="294"/>
      <c r="C891" s="201"/>
      <c r="D891" s="290"/>
      <c r="E891" s="301"/>
      <c r="F891" s="301"/>
      <c r="G891" s="290"/>
      <c r="H891" s="291"/>
      <c r="I891" s="292"/>
      <c r="J891" s="61"/>
      <c r="K891" s="57"/>
      <c r="L891" s="303"/>
      <c r="M891" s="201"/>
      <c r="N891" s="84" t="str">
        <f>IF($AI891&lt;&gt;"",Master!$N$37,IF($AC891&lt;&gt;"",Master!$N$38,IF($S891&lt;&gt;"",Master!$N$39,IF($C891&lt;&gt;"",Master!$N$40,Master!$N$41))))</f>
        <v>起票</v>
      </c>
      <c r="O891" s="202" t="str">
        <f>IF($N891=Master!$N$37,MAX($S891,$AC891,$AI891),"")</f>
        <v/>
      </c>
      <c r="P891" s="65"/>
      <c r="Q891" s="203"/>
      <c r="R891" s="57"/>
      <c r="S891" s="203"/>
      <c r="T891" s="310"/>
      <c r="U891" s="289"/>
      <c r="V891" s="57"/>
      <c r="W891" s="288"/>
      <c r="X891" s="288"/>
      <c r="Y891" s="296"/>
      <c r="Z891" s="57"/>
      <c r="AA891" s="203"/>
      <c r="AB891" s="288"/>
      <c r="AC891" s="201"/>
      <c r="AD891" s="298"/>
      <c r="AE891" s="297"/>
      <c r="AF891" s="58"/>
      <c r="AG891" s="204"/>
      <c r="AH891" s="57"/>
      <c r="AI891" s="201"/>
      <c r="AJ891" s="287"/>
      <c r="AK891" s="452"/>
      <c r="AL891" s="59"/>
      <c r="AM891" s="60"/>
      <c r="AO891" s="137" t="e">
        <f t="shared" si="99"/>
        <v>#N/A</v>
      </c>
      <c r="AP891" s="138" t="e">
        <f t="shared" si="100"/>
        <v>#N/A</v>
      </c>
      <c r="AQ891" s="138" t="e">
        <f t="shared" si="101"/>
        <v>#N/A</v>
      </c>
      <c r="AR891" s="138" t="e">
        <f t="shared" si="102"/>
        <v>#N/A</v>
      </c>
      <c r="AS891" s="138" t="e">
        <f t="shared" si="103"/>
        <v>#N/A</v>
      </c>
      <c r="AT891" s="139" t="e">
        <f t="shared" si="104"/>
        <v>#N/A</v>
      </c>
    </row>
    <row r="892" spans="1:46" ht="54" customHeight="1">
      <c r="A892" s="428">
        <f t="shared" si="98"/>
        <v>884</v>
      </c>
      <c r="B892" s="403"/>
      <c r="C892" s="404"/>
      <c r="D892" s="405"/>
      <c r="E892" s="405"/>
      <c r="F892" s="405"/>
      <c r="G892" s="405"/>
      <c r="H892" s="406"/>
      <c r="I892" s="407"/>
      <c r="J892" s="408"/>
      <c r="K892" s="409"/>
      <c r="L892" s="410"/>
      <c r="M892" s="404"/>
      <c r="N892" s="411" t="str">
        <f>IF($AI892&lt;&gt;"",Master!$N$37,IF($AC892&lt;&gt;"",Master!$N$38,IF($S892&lt;&gt;"",Master!$N$39,IF($C892&lt;&gt;"",Master!$N$40,Master!$N$41))))</f>
        <v>起票</v>
      </c>
      <c r="O892" s="412" t="str">
        <f>IF($N892=Master!$N$37,MAX($S892,$AC892,$AI892),"")</f>
        <v/>
      </c>
      <c r="P892" s="413"/>
      <c r="Q892" s="414"/>
      <c r="R892" s="409"/>
      <c r="S892" s="404"/>
      <c r="T892" s="418"/>
      <c r="U892" s="415"/>
      <c r="V892" s="409"/>
      <c r="W892" s="419"/>
      <c r="X892" s="419"/>
      <c r="Y892" s="416"/>
      <c r="Z892" s="417"/>
      <c r="AA892" s="418"/>
      <c r="AB892" s="419"/>
      <c r="AC892" s="404"/>
      <c r="AD892" s="404"/>
      <c r="AE892" s="420"/>
      <c r="AF892" s="421"/>
      <c r="AG892" s="418"/>
      <c r="AH892" s="409"/>
      <c r="AI892" s="404"/>
      <c r="AJ892" s="416"/>
      <c r="AK892" s="453"/>
      <c r="AL892" s="422"/>
      <c r="AM892" s="423"/>
      <c r="AO892" s="137" t="e">
        <f t="shared" si="99"/>
        <v>#N/A</v>
      </c>
      <c r="AP892" s="138" t="e">
        <f t="shared" si="100"/>
        <v>#N/A</v>
      </c>
      <c r="AQ892" s="138" t="e">
        <f t="shared" si="101"/>
        <v>#N/A</v>
      </c>
      <c r="AR892" s="138" t="e">
        <f t="shared" si="102"/>
        <v>#N/A</v>
      </c>
      <c r="AS892" s="138" t="e">
        <f t="shared" si="103"/>
        <v>#N/A</v>
      </c>
      <c r="AT892" s="139" t="e">
        <f t="shared" si="104"/>
        <v>#N/A</v>
      </c>
    </row>
    <row r="893" spans="1:46" ht="54" customHeight="1">
      <c r="A893" s="428">
        <f t="shared" si="98"/>
        <v>885</v>
      </c>
      <c r="B893" s="403"/>
      <c r="C893" s="404"/>
      <c r="D893" s="405"/>
      <c r="E893" s="405"/>
      <c r="F893" s="405"/>
      <c r="G893" s="405"/>
      <c r="H893" s="406"/>
      <c r="I893" s="407"/>
      <c r="J893" s="408"/>
      <c r="K893" s="409"/>
      <c r="L893" s="410"/>
      <c r="M893" s="404"/>
      <c r="N893" s="411" t="str">
        <f>IF($AI893&lt;&gt;"",Master!$N$37,IF($AC893&lt;&gt;"",Master!$N$38,IF($S893&lt;&gt;"",Master!$N$39,IF($C893&lt;&gt;"",Master!$N$40,Master!$N$41))))</f>
        <v>起票</v>
      </c>
      <c r="O893" s="412" t="str">
        <f>IF($N893=Master!$N$37,MAX($S893,$AC893,$AI893),"")</f>
        <v/>
      </c>
      <c r="P893" s="413"/>
      <c r="Q893" s="414"/>
      <c r="R893" s="409"/>
      <c r="S893" s="404"/>
      <c r="T893" s="418"/>
      <c r="U893" s="415"/>
      <c r="V893" s="409"/>
      <c r="W893" s="419"/>
      <c r="X893" s="419"/>
      <c r="Y893" s="416"/>
      <c r="Z893" s="417"/>
      <c r="AA893" s="418"/>
      <c r="AB893" s="419"/>
      <c r="AC893" s="404"/>
      <c r="AD893" s="404"/>
      <c r="AE893" s="420"/>
      <c r="AF893" s="421"/>
      <c r="AG893" s="418"/>
      <c r="AH893" s="409"/>
      <c r="AI893" s="404"/>
      <c r="AJ893" s="416"/>
      <c r="AK893" s="453"/>
      <c r="AL893" s="422"/>
      <c r="AM893" s="423"/>
      <c r="AO893" s="137" t="e">
        <f t="shared" si="99"/>
        <v>#N/A</v>
      </c>
      <c r="AP893" s="138" t="e">
        <f t="shared" si="100"/>
        <v>#N/A</v>
      </c>
      <c r="AQ893" s="138" t="e">
        <f t="shared" si="101"/>
        <v>#N/A</v>
      </c>
      <c r="AR893" s="138" t="e">
        <f t="shared" si="102"/>
        <v>#N/A</v>
      </c>
      <c r="AS893" s="138" t="e">
        <f t="shared" si="103"/>
        <v>#N/A</v>
      </c>
      <c r="AT893" s="139" t="e">
        <f t="shared" si="104"/>
        <v>#N/A</v>
      </c>
    </row>
    <row r="894" spans="1:46" ht="54" customHeight="1">
      <c r="A894" s="428">
        <f t="shared" si="98"/>
        <v>886</v>
      </c>
      <c r="B894" s="403"/>
      <c r="C894" s="404"/>
      <c r="D894" s="405"/>
      <c r="E894" s="405"/>
      <c r="F894" s="405"/>
      <c r="G894" s="405"/>
      <c r="H894" s="406"/>
      <c r="I894" s="407"/>
      <c r="J894" s="408"/>
      <c r="K894" s="409"/>
      <c r="L894" s="410"/>
      <c r="M894" s="404"/>
      <c r="N894" s="411" t="str">
        <f>IF($AI894&lt;&gt;"",Master!$N$37,IF($AC894&lt;&gt;"",Master!$N$38,IF($S894&lt;&gt;"",Master!$N$39,IF($C894&lt;&gt;"",Master!$N$40,Master!$N$41))))</f>
        <v>起票</v>
      </c>
      <c r="O894" s="412" t="str">
        <f>IF($N894=Master!$N$37,MAX($S894,$AC894,$AI894),"")</f>
        <v/>
      </c>
      <c r="P894" s="413"/>
      <c r="Q894" s="414"/>
      <c r="R894" s="409"/>
      <c r="S894" s="404"/>
      <c r="T894" s="418"/>
      <c r="U894" s="415"/>
      <c r="V894" s="409"/>
      <c r="W894" s="419"/>
      <c r="X894" s="419"/>
      <c r="Y894" s="416"/>
      <c r="Z894" s="417"/>
      <c r="AA894" s="418"/>
      <c r="AB894" s="419"/>
      <c r="AC894" s="404"/>
      <c r="AD894" s="404"/>
      <c r="AE894" s="420"/>
      <c r="AF894" s="421"/>
      <c r="AG894" s="418"/>
      <c r="AH894" s="409"/>
      <c r="AI894" s="404"/>
      <c r="AJ894" s="416"/>
      <c r="AK894" s="453"/>
      <c r="AL894" s="422"/>
      <c r="AM894" s="423"/>
      <c r="AO894" s="137" t="e">
        <f t="shared" si="99"/>
        <v>#N/A</v>
      </c>
      <c r="AP894" s="138" t="e">
        <f t="shared" si="100"/>
        <v>#N/A</v>
      </c>
      <c r="AQ894" s="138" t="e">
        <f t="shared" si="101"/>
        <v>#N/A</v>
      </c>
      <c r="AR894" s="138" t="e">
        <f t="shared" si="102"/>
        <v>#N/A</v>
      </c>
      <c r="AS894" s="138" t="e">
        <f t="shared" si="103"/>
        <v>#N/A</v>
      </c>
      <c r="AT894" s="139" t="e">
        <f t="shared" si="104"/>
        <v>#N/A</v>
      </c>
    </row>
    <row r="895" spans="1:46" ht="54" customHeight="1">
      <c r="A895" s="428">
        <f t="shared" si="98"/>
        <v>887</v>
      </c>
      <c r="B895" s="294"/>
      <c r="C895" s="201"/>
      <c r="D895" s="290"/>
      <c r="E895" s="301"/>
      <c r="F895" s="301"/>
      <c r="G895" s="290"/>
      <c r="H895" s="291"/>
      <c r="I895" s="292"/>
      <c r="J895" s="61"/>
      <c r="K895" s="57"/>
      <c r="L895" s="303"/>
      <c r="M895" s="201"/>
      <c r="N895" s="84" t="str">
        <f>IF($AI895&lt;&gt;"",Master!$N$37,IF($AC895&lt;&gt;"",Master!$N$38,IF($S895&lt;&gt;"",Master!$N$39,IF($C895&lt;&gt;"",Master!$N$40,Master!$N$41))))</f>
        <v>起票</v>
      </c>
      <c r="O895" s="202" t="str">
        <f>IF($N895=Master!$N$37,MAX($S895,$AC895,$AI895),"")</f>
        <v/>
      </c>
      <c r="P895" s="65"/>
      <c r="Q895" s="203"/>
      <c r="R895" s="57"/>
      <c r="S895" s="203"/>
      <c r="T895" s="310"/>
      <c r="U895" s="289"/>
      <c r="V895" s="57"/>
      <c r="W895" s="288"/>
      <c r="X895" s="288"/>
      <c r="Y895" s="296"/>
      <c r="Z895" s="57"/>
      <c r="AA895" s="203"/>
      <c r="AB895" s="288"/>
      <c r="AC895" s="201"/>
      <c r="AD895" s="298"/>
      <c r="AE895" s="297"/>
      <c r="AF895" s="58"/>
      <c r="AG895" s="204"/>
      <c r="AH895" s="57"/>
      <c r="AI895" s="201"/>
      <c r="AJ895" s="287"/>
      <c r="AK895" s="452"/>
      <c r="AL895" s="59"/>
      <c r="AM895" s="60"/>
      <c r="AO895" s="137" t="e">
        <f t="shared" ref="AO895:AO904" si="105">IF(AND(C895&lt;&gt;"",C895&lt;=$AI$3),IF(E895="","",E895),NA())</f>
        <v>#N/A</v>
      </c>
      <c r="AP895" s="138" t="e">
        <f t="shared" ref="AP895:AP904" si="106">IF(AND(C895&lt;&gt;"",C895&lt;=$AI$3),IF(F895="","",F895),NA())</f>
        <v>#N/A</v>
      </c>
      <c r="AQ895" s="138" t="e">
        <f t="shared" ref="AQ895:AQ904" si="107">IF(AND(C895&lt;&gt;"",C895&lt;=$AI$3),IF(H895="","",H895),NA())</f>
        <v>#N/A</v>
      </c>
      <c r="AR895" s="138" t="e">
        <f t="shared" ref="AR895:AR904" si="108">IF(AND(C895&lt;&gt;"",C895&lt;=$AI$3),IF(U895="","",U895),NA())</f>
        <v>#N/A</v>
      </c>
      <c r="AS895" s="138" t="e">
        <f t="shared" ref="AS895:AS904" si="109">IF(AND(C895&lt;&gt;"",C895&lt;=$AI$3),IF(V895="","",V895),NA())</f>
        <v>#N/A</v>
      </c>
      <c r="AT895" s="139" t="e">
        <f t="shared" ref="AT895:AT904" si="110">IF(AND(C895&lt;&gt;"",C895&lt;=$AI$3),IF(AB895="","",AB895),NA())</f>
        <v>#N/A</v>
      </c>
    </row>
    <row r="896" spans="1:46" ht="54" customHeight="1">
      <c r="A896" s="428">
        <f t="shared" si="98"/>
        <v>888</v>
      </c>
      <c r="B896" s="294"/>
      <c r="C896" s="201"/>
      <c r="D896" s="290"/>
      <c r="E896" s="301"/>
      <c r="F896" s="301"/>
      <c r="G896" s="290"/>
      <c r="H896" s="291"/>
      <c r="I896" s="292"/>
      <c r="J896" s="61"/>
      <c r="K896" s="57"/>
      <c r="L896" s="303"/>
      <c r="M896" s="201"/>
      <c r="N896" s="84" t="str">
        <f>IF($AI896&lt;&gt;"",Master!$N$37,IF($AC896&lt;&gt;"",Master!$N$38,IF($S896&lt;&gt;"",Master!$N$39,IF($C896&lt;&gt;"",Master!$N$40,Master!$N$41))))</f>
        <v>起票</v>
      </c>
      <c r="O896" s="202" t="str">
        <f>IF($N896=Master!$N$37,MAX($S896,$AC896,$AI896),"")</f>
        <v/>
      </c>
      <c r="P896" s="65"/>
      <c r="Q896" s="203"/>
      <c r="R896" s="57"/>
      <c r="S896" s="203"/>
      <c r="T896" s="310"/>
      <c r="U896" s="289"/>
      <c r="V896" s="57"/>
      <c r="W896" s="288"/>
      <c r="X896" s="288"/>
      <c r="Y896" s="296"/>
      <c r="Z896" s="57"/>
      <c r="AA896" s="203"/>
      <c r="AB896" s="288"/>
      <c r="AC896" s="201"/>
      <c r="AD896" s="298"/>
      <c r="AE896" s="297"/>
      <c r="AF896" s="58"/>
      <c r="AG896" s="204"/>
      <c r="AH896" s="57"/>
      <c r="AI896" s="201"/>
      <c r="AJ896" s="287"/>
      <c r="AK896" s="452"/>
      <c r="AL896" s="59"/>
      <c r="AM896" s="60"/>
      <c r="AO896" s="137" t="e">
        <f t="shared" si="105"/>
        <v>#N/A</v>
      </c>
      <c r="AP896" s="138" t="e">
        <f t="shared" si="106"/>
        <v>#N/A</v>
      </c>
      <c r="AQ896" s="138" t="e">
        <f t="shared" si="107"/>
        <v>#N/A</v>
      </c>
      <c r="AR896" s="138" t="e">
        <f t="shared" si="108"/>
        <v>#N/A</v>
      </c>
      <c r="AS896" s="138" t="e">
        <f t="shared" si="109"/>
        <v>#N/A</v>
      </c>
      <c r="AT896" s="139" t="e">
        <f t="shared" si="110"/>
        <v>#N/A</v>
      </c>
    </row>
    <row r="897" spans="1:46" ht="54" customHeight="1">
      <c r="A897" s="428">
        <f t="shared" si="98"/>
        <v>889</v>
      </c>
      <c r="B897" s="403"/>
      <c r="C897" s="404"/>
      <c r="D897" s="405"/>
      <c r="E897" s="405"/>
      <c r="F897" s="405"/>
      <c r="G897" s="405"/>
      <c r="H897" s="406"/>
      <c r="I897" s="407"/>
      <c r="J897" s="408"/>
      <c r="K897" s="409"/>
      <c r="L897" s="410"/>
      <c r="M897" s="404"/>
      <c r="N897" s="411" t="str">
        <f>IF($AI897&lt;&gt;"",Master!$N$37,IF($AC897&lt;&gt;"",Master!$N$38,IF($S897&lt;&gt;"",Master!$N$39,IF($C897&lt;&gt;"",Master!$N$40,Master!$N$41))))</f>
        <v>起票</v>
      </c>
      <c r="O897" s="412" t="str">
        <f>IF($N897=Master!$N$37,MAX($S897,$AC897,$AI897),"")</f>
        <v/>
      </c>
      <c r="P897" s="413"/>
      <c r="Q897" s="414"/>
      <c r="R897" s="409"/>
      <c r="S897" s="404"/>
      <c r="T897" s="418"/>
      <c r="U897" s="415"/>
      <c r="V897" s="409"/>
      <c r="W897" s="419"/>
      <c r="X897" s="419"/>
      <c r="Y897" s="416"/>
      <c r="Z897" s="417"/>
      <c r="AA897" s="418"/>
      <c r="AB897" s="419"/>
      <c r="AC897" s="404"/>
      <c r="AD897" s="404"/>
      <c r="AE897" s="420"/>
      <c r="AF897" s="421"/>
      <c r="AG897" s="418"/>
      <c r="AH897" s="409"/>
      <c r="AI897" s="404"/>
      <c r="AJ897" s="416"/>
      <c r="AK897" s="453"/>
      <c r="AL897" s="422"/>
      <c r="AM897" s="423"/>
      <c r="AO897" s="137" t="e">
        <f t="shared" si="105"/>
        <v>#N/A</v>
      </c>
      <c r="AP897" s="138" t="e">
        <f t="shared" si="106"/>
        <v>#N/A</v>
      </c>
      <c r="AQ897" s="138" t="e">
        <f t="shared" si="107"/>
        <v>#N/A</v>
      </c>
      <c r="AR897" s="138" t="e">
        <f t="shared" si="108"/>
        <v>#N/A</v>
      </c>
      <c r="AS897" s="138" t="e">
        <f t="shared" si="109"/>
        <v>#N/A</v>
      </c>
      <c r="AT897" s="139" t="e">
        <f t="shared" si="110"/>
        <v>#N/A</v>
      </c>
    </row>
    <row r="898" spans="1:46" ht="54" customHeight="1">
      <c r="A898" s="428">
        <f t="shared" si="98"/>
        <v>890</v>
      </c>
      <c r="B898" s="403"/>
      <c r="C898" s="404"/>
      <c r="D898" s="405"/>
      <c r="E898" s="405"/>
      <c r="F898" s="405"/>
      <c r="G898" s="405"/>
      <c r="H898" s="406"/>
      <c r="I898" s="407"/>
      <c r="J898" s="408"/>
      <c r="K898" s="409"/>
      <c r="L898" s="410"/>
      <c r="M898" s="404"/>
      <c r="N898" s="411" t="str">
        <f>IF($AI898&lt;&gt;"",Master!$N$37,IF($AC898&lt;&gt;"",Master!$N$38,IF($S898&lt;&gt;"",Master!$N$39,IF($C898&lt;&gt;"",Master!$N$40,Master!$N$41))))</f>
        <v>起票</v>
      </c>
      <c r="O898" s="412" t="str">
        <f>IF($N898=Master!$N$37,MAX($S898,$AC898,$AI898),"")</f>
        <v/>
      </c>
      <c r="P898" s="413"/>
      <c r="Q898" s="414"/>
      <c r="R898" s="409"/>
      <c r="S898" s="404"/>
      <c r="T898" s="418"/>
      <c r="U898" s="415"/>
      <c r="V898" s="409"/>
      <c r="W898" s="419"/>
      <c r="X898" s="419"/>
      <c r="Y898" s="416"/>
      <c r="Z898" s="417"/>
      <c r="AA898" s="418"/>
      <c r="AB898" s="419"/>
      <c r="AC898" s="404"/>
      <c r="AD898" s="404"/>
      <c r="AE898" s="420"/>
      <c r="AF898" s="421"/>
      <c r="AG898" s="418"/>
      <c r="AH898" s="409"/>
      <c r="AI898" s="404"/>
      <c r="AJ898" s="416"/>
      <c r="AK898" s="453"/>
      <c r="AL898" s="422"/>
      <c r="AM898" s="423"/>
      <c r="AO898" s="137" t="e">
        <f t="shared" si="105"/>
        <v>#N/A</v>
      </c>
      <c r="AP898" s="138" t="e">
        <f t="shared" si="106"/>
        <v>#N/A</v>
      </c>
      <c r="AQ898" s="138" t="e">
        <f t="shared" si="107"/>
        <v>#N/A</v>
      </c>
      <c r="AR898" s="138" t="e">
        <f t="shared" si="108"/>
        <v>#N/A</v>
      </c>
      <c r="AS898" s="138" t="e">
        <f t="shared" si="109"/>
        <v>#N/A</v>
      </c>
      <c r="AT898" s="139" t="e">
        <f t="shared" si="110"/>
        <v>#N/A</v>
      </c>
    </row>
    <row r="899" spans="1:46" ht="54" customHeight="1">
      <c r="A899" s="428">
        <f t="shared" si="98"/>
        <v>891</v>
      </c>
      <c r="B899" s="403"/>
      <c r="C899" s="404"/>
      <c r="D899" s="405"/>
      <c r="E899" s="405"/>
      <c r="F899" s="405"/>
      <c r="G899" s="405"/>
      <c r="H899" s="406"/>
      <c r="I899" s="407"/>
      <c r="J899" s="408"/>
      <c r="K899" s="409"/>
      <c r="L899" s="410"/>
      <c r="M899" s="404"/>
      <c r="N899" s="411" t="str">
        <f>IF($AI899&lt;&gt;"",Master!$N$37,IF($AC899&lt;&gt;"",Master!$N$38,IF($S899&lt;&gt;"",Master!$N$39,IF($C899&lt;&gt;"",Master!$N$40,Master!$N$41))))</f>
        <v>起票</v>
      </c>
      <c r="O899" s="412" t="str">
        <f>IF($N899=Master!$N$37,MAX($S899,$AC899,$AI899),"")</f>
        <v/>
      </c>
      <c r="P899" s="413"/>
      <c r="Q899" s="414"/>
      <c r="R899" s="409"/>
      <c r="S899" s="404"/>
      <c r="T899" s="418"/>
      <c r="U899" s="415"/>
      <c r="V899" s="409"/>
      <c r="W899" s="419"/>
      <c r="X899" s="419"/>
      <c r="Y899" s="416"/>
      <c r="Z899" s="417"/>
      <c r="AA899" s="418"/>
      <c r="AB899" s="419"/>
      <c r="AC899" s="404"/>
      <c r="AD899" s="404"/>
      <c r="AE899" s="420"/>
      <c r="AF899" s="421"/>
      <c r="AG899" s="418"/>
      <c r="AH899" s="409"/>
      <c r="AI899" s="404"/>
      <c r="AJ899" s="416"/>
      <c r="AK899" s="453"/>
      <c r="AL899" s="422"/>
      <c r="AM899" s="423"/>
      <c r="AO899" s="137" t="e">
        <f t="shared" si="105"/>
        <v>#N/A</v>
      </c>
      <c r="AP899" s="138" t="e">
        <f t="shared" si="106"/>
        <v>#N/A</v>
      </c>
      <c r="AQ899" s="138" t="e">
        <f t="shared" si="107"/>
        <v>#N/A</v>
      </c>
      <c r="AR899" s="138" t="e">
        <f t="shared" si="108"/>
        <v>#N/A</v>
      </c>
      <c r="AS899" s="138" t="e">
        <f t="shared" si="109"/>
        <v>#N/A</v>
      </c>
      <c r="AT899" s="139" t="e">
        <f t="shared" si="110"/>
        <v>#N/A</v>
      </c>
    </row>
    <row r="900" spans="1:46" ht="54" customHeight="1">
      <c r="A900" s="428">
        <f t="shared" si="98"/>
        <v>892</v>
      </c>
      <c r="B900" s="294"/>
      <c r="C900" s="201"/>
      <c r="D900" s="290"/>
      <c r="E900" s="301"/>
      <c r="F900" s="301"/>
      <c r="G900" s="290"/>
      <c r="H900" s="291"/>
      <c r="I900" s="292"/>
      <c r="J900" s="61"/>
      <c r="K900" s="57"/>
      <c r="L900" s="303"/>
      <c r="M900" s="201"/>
      <c r="N900" s="84" t="str">
        <f>IF($AI900&lt;&gt;"",Master!$N$37,IF($AC900&lt;&gt;"",Master!$N$38,IF($S900&lt;&gt;"",Master!$N$39,IF($C900&lt;&gt;"",Master!$N$40,Master!$N$41))))</f>
        <v>起票</v>
      </c>
      <c r="O900" s="202" t="str">
        <f>IF($N900=Master!$N$37,MAX($S900,$AC900,$AI900),"")</f>
        <v/>
      </c>
      <c r="P900" s="65"/>
      <c r="Q900" s="203"/>
      <c r="R900" s="57"/>
      <c r="S900" s="203"/>
      <c r="T900" s="310"/>
      <c r="U900" s="289"/>
      <c r="V900" s="57"/>
      <c r="W900" s="288"/>
      <c r="X900" s="288"/>
      <c r="Y900" s="296"/>
      <c r="Z900" s="57"/>
      <c r="AA900" s="203"/>
      <c r="AB900" s="288"/>
      <c r="AC900" s="201"/>
      <c r="AD900" s="298"/>
      <c r="AE900" s="297"/>
      <c r="AF900" s="58"/>
      <c r="AG900" s="204"/>
      <c r="AH900" s="57"/>
      <c r="AI900" s="201"/>
      <c r="AJ900" s="287"/>
      <c r="AK900" s="452"/>
      <c r="AL900" s="59"/>
      <c r="AM900" s="60"/>
      <c r="AO900" s="137" t="e">
        <f t="shared" si="105"/>
        <v>#N/A</v>
      </c>
      <c r="AP900" s="138" t="e">
        <f t="shared" si="106"/>
        <v>#N/A</v>
      </c>
      <c r="AQ900" s="138" t="e">
        <f t="shared" si="107"/>
        <v>#N/A</v>
      </c>
      <c r="AR900" s="138" t="e">
        <f t="shared" si="108"/>
        <v>#N/A</v>
      </c>
      <c r="AS900" s="138" t="e">
        <f t="shared" si="109"/>
        <v>#N/A</v>
      </c>
      <c r="AT900" s="139" t="e">
        <f t="shared" si="110"/>
        <v>#N/A</v>
      </c>
    </row>
    <row r="901" spans="1:46" ht="54" customHeight="1">
      <c r="A901" s="428">
        <f t="shared" si="98"/>
        <v>893</v>
      </c>
      <c r="B901" s="294"/>
      <c r="C901" s="201"/>
      <c r="D901" s="290"/>
      <c r="E901" s="301"/>
      <c r="F901" s="301"/>
      <c r="G901" s="290"/>
      <c r="H901" s="291"/>
      <c r="I901" s="292"/>
      <c r="J901" s="61"/>
      <c r="K901" s="57"/>
      <c r="L901" s="303"/>
      <c r="M901" s="201"/>
      <c r="N901" s="84" t="str">
        <f>IF($AI901&lt;&gt;"",Master!$N$37,IF($AC901&lt;&gt;"",Master!$N$38,IF($S901&lt;&gt;"",Master!$N$39,IF($C901&lt;&gt;"",Master!$N$40,Master!$N$41))))</f>
        <v>起票</v>
      </c>
      <c r="O901" s="202" t="str">
        <f>IF($N901=Master!$N$37,MAX($S901,$AC901,$AI901),"")</f>
        <v/>
      </c>
      <c r="P901" s="65"/>
      <c r="Q901" s="203"/>
      <c r="R901" s="57"/>
      <c r="S901" s="203"/>
      <c r="T901" s="310"/>
      <c r="U901" s="289"/>
      <c r="V901" s="57"/>
      <c r="W901" s="288"/>
      <c r="X901" s="288"/>
      <c r="Y901" s="296"/>
      <c r="Z901" s="57"/>
      <c r="AA901" s="203"/>
      <c r="AB901" s="288"/>
      <c r="AC901" s="201"/>
      <c r="AD901" s="298"/>
      <c r="AE901" s="297"/>
      <c r="AF901" s="58"/>
      <c r="AG901" s="204"/>
      <c r="AH901" s="57"/>
      <c r="AI901" s="201"/>
      <c r="AJ901" s="287"/>
      <c r="AK901" s="452"/>
      <c r="AL901" s="59"/>
      <c r="AM901" s="60"/>
      <c r="AO901" s="137" t="e">
        <f t="shared" si="105"/>
        <v>#N/A</v>
      </c>
      <c r="AP901" s="138" t="e">
        <f t="shared" si="106"/>
        <v>#N/A</v>
      </c>
      <c r="AQ901" s="138" t="e">
        <f t="shared" si="107"/>
        <v>#N/A</v>
      </c>
      <c r="AR901" s="138" t="e">
        <f t="shared" si="108"/>
        <v>#N/A</v>
      </c>
      <c r="AS901" s="138" t="e">
        <f t="shared" si="109"/>
        <v>#N/A</v>
      </c>
      <c r="AT901" s="139" t="e">
        <f t="shared" si="110"/>
        <v>#N/A</v>
      </c>
    </row>
    <row r="902" spans="1:46" ht="54" customHeight="1">
      <c r="A902" s="428">
        <f t="shared" si="98"/>
        <v>894</v>
      </c>
      <c r="B902" s="403"/>
      <c r="C902" s="404"/>
      <c r="D902" s="405"/>
      <c r="E902" s="405"/>
      <c r="F902" s="405"/>
      <c r="G902" s="405"/>
      <c r="H902" s="406"/>
      <c r="I902" s="407"/>
      <c r="J902" s="408"/>
      <c r="K902" s="409"/>
      <c r="L902" s="410"/>
      <c r="M902" s="404"/>
      <c r="N902" s="411" t="str">
        <f>IF($AI902&lt;&gt;"",Master!$N$37,IF($AC902&lt;&gt;"",Master!$N$38,IF($S902&lt;&gt;"",Master!$N$39,IF($C902&lt;&gt;"",Master!$N$40,Master!$N$41))))</f>
        <v>起票</v>
      </c>
      <c r="O902" s="412" t="str">
        <f>IF($N902=Master!$N$37,MAX($S902,$AC902,$AI902),"")</f>
        <v/>
      </c>
      <c r="P902" s="413"/>
      <c r="Q902" s="414"/>
      <c r="R902" s="409"/>
      <c r="S902" s="404"/>
      <c r="T902" s="418"/>
      <c r="U902" s="415"/>
      <c r="V902" s="409"/>
      <c r="W902" s="419"/>
      <c r="X902" s="419"/>
      <c r="Y902" s="416"/>
      <c r="Z902" s="417"/>
      <c r="AA902" s="418"/>
      <c r="AB902" s="419"/>
      <c r="AC902" s="404"/>
      <c r="AD902" s="404"/>
      <c r="AE902" s="420"/>
      <c r="AF902" s="421"/>
      <c r="AG902" s="418"/>
      <c r="AH902" s="409"/>
      <c r="AI902" s="404"/>
      <c r="AJ902" s="416"/>
      <c r="AK902" s="453"/>
      <c r="AL902" s="422"/>
      <c r="AM902" s="423"/>
      <c r="AO902" s="137" t="e">
        <f t="shared" si="105"/>
        <v>#N/A</v>
      </c>
      <c r="AP902" s="138" t="e">
        <f t="shared" si="106"/>
        <v>#N/A</v>
      </c>
      <c r="AQ902" s="138" t="e">
        <f t="shared" si="107"/>
        <v>#N/A</v>
      </c>
      <c r="AR902" s="138" t="e">
        <f t="shared" si="108"/>
        <v>#N/A</v>
      </c>
      <c r="AS902" s="138" t="e">
        <f t="shared" si="109"/>
        <v>#N/A</v>
      </c>
      <c r="AT902" s="139" t="e">
        <f t="shared" si="110"/>
        <v>#N/A</v>
      </c>
    </row>
    <row r="903" spans="1:46" ht="54" customHeight="1">
      <c r="A903" s="428">
        <f t="shared" si="98"/>
        <v>895</v>
      </c>
      <c r="B903" s="403"/>
      <c r="C903" s="404"/>
      <c r="D903" s="405"/>
      <c r="E903" s="405"/>
      <c r="F903" s="405"/>
      <c r="G903" s="405"/>
      <c r="H903" s="406"/>
      <c r="I903" s="407"/>
      <c r="J903" s="408"/>
      <c r="K903" s="409"/>
      <c r="L903" s="410"/>
      <c r="M903" s="404"/>
      <c r="N903" s="411" t="str">
        <f>IF($AI903&lt;&gt;"",Master!$N$37,IF($AC903&lt;&gt;"",Master!$N$38,IF($S903&lt;&gt;"",Master!$N$39,IF($C903&lt;&gt;"",Master!$N$40,Master!$N$41))))</f>
        <v>起票</v>
      </c>
      <c r="O903" s="412" t="str">
        <f>IF($N903=Master!$N$37,MAX($S903,$AC903,$AI903),"")</f>
        <v/>
      </c>
      <c r="P903" s="413"/>
      <c r="Q903" s="414"/>
      <c r="R903" s="409"/>
      <c r="S903" s="404"/>
      <c r="T903" s="418"/>
      <c r="U903" s="415"/>
      <c r="V903" s="409"/>
      <c r="W903" s="419"/>
      <c r="X903" s="419"/>
      <c r="Y903" s="416"/>
      <c r="Z903" s="417"/>
      <c r="AA903" s="418"/>
      <c r="AB903" s="419"/>
      <c r="AC903" s="404"/>
      <c r="AD903" s="404"/>
      <c r="AE903" s="420"/>
      <c r="AF903" s="421"/>
      <c r="AG903" s="418"/>
      <c r="AH903" s="409"/>
      <c r="AI903" s="404"/>
      <c r="AJ903" s="416"/>
      <c r="AK903" s="453"/>
      <c r="AL903" s="422"/>
      <c r="AM903" s="423"/>
      <c r="AO903" s="137" t="e">
        <f t="shared" si="105"/>
        <v>#N/A</v>
      </c>
      <c r="AP903" s="138" t="e">
        <f t="shared" si="106"/>
        <v>#N/A</v>
      </c>
      <c r="AQ903" s="138" t="e">
        <f t="shared" si="107"/>
        <v>#N/A</v>
      </c>
      <c r="AR903" s="138" t="e">
        <f t="shared" si="108"/>
        <v>#N/A</v>
      </c>
      <c r="AS903" s="138" t="e">
        <f t="shared" si="109"/>
        <v>#N/A</v>
      </c>
      <c r="AT903" s="139" t="e">
        <f t="shared" si="110"/>
        <v>#N/A</v>
      </c>
    </row>
    <row r="904" spans="1:46" ht="54" customHeight="1">
      <c r="A904" s="428">
        <f t="shared" si="98"/>
        <v>896</v>
      </c>
      <c r="B904" s="403"/>
      <c r="C904" s="404"/>
      <c r="D904" s="405"/>
      <c r="E904" s="405"/>
      <c r="F904" s="405"/>
      <c r="G904" s="405"/>
      <c r="H904" s="406"/>
      <c r="I904" s="407"/>
      <c r="J904" s="408"/>
      <c r="K904" s="409"/>
      <c r="L904" s="410"/>
      <c r="M904" s="404"/>
      <c r="N904" s="411" t="str">
        <f>IF($AI904&lt;&gt;"",Master!$N$37,IF($AC904&lt;&gt;"",Master!$N$38,IF($S904&lt;&gt;"",Master!$N$39,IF($C904&lt;&gt;"",Master!$N$40,Master!$N$41))))</f>
        <v>起票</v>
      </c>
      <c r="O904" s="412" t="str">
        <f>IF($N904=Master!$N$37,MAX($S904,$AC904,$AI904),"")</f>
        <v/>
      </c>
      <c r="P904" s="413"/>
      <c r="Q904" s="414"/>
      <c r="R904" s="409"/>
      <c r="S904" s="404"/>
      <c r="T904" s="418"/>
      <c r="U904" s="415"/>
      <c r="V904" s="409"/>
      <c r="W904" s="419"/>
      <c r="X904" s="419"/>
      <c r="Y904" s="416"/>
      <c r="Z904" s="417"/>
      <c r="AA904" s="418"/>
      <c r="AB904" s="419"/>
      <c r="AC904" s="404"/>
      <c r="AD904" s="404"/>
      <c r="AE904" s="420"/>
      <c r="AF904" s="421"/>
      <c r="AG904" s="418"/>
      <c r="AH904" s="409"/>
      <c r="AI904" s="404"/>
      <c r="AJ904" s="416"/>
      <c r="AK904" s="453"/>
      <c r="AL904" s="422"/>
      <c r="AM904" s="423"/>
      <c r="AO904" s="137" t="e">
        <f t="shared" si="105"/>
        <v>#N/A</v>
      </c>
      <c r="AP904" s="138" t="e">
        <f t="shared" si="106"/>
        <v>#N/A</v>
      </c>
      <c r="AQ904" s="138" t="e">
        <f t="shared" si="107"/>
        <v>#N/A</v>
      </c>
      <c r="AR904" s="138" t="e">
        <f t="shared" si="108"/>
        <v>#N/A</v>
      </c>
      <c r="AS904" s="138" t="e">
        <f t="shared" si="109"/>
        <v>#N/A</v>
      </c>
      <c r="AT904" s="139" t="e">
        <f t="shared" si="110"/>
        <v>#N/A</v>
      </c>
    </row>
    <row r="905" spans="1:46" ht="54" customHeight="1">
      <c r="A905" s="428">
        <f t="shared" si="98"/>
        <v>897</v>
      </c>
      <c r="B905" s="294"/>
      <c r="C905" s="201"/>
      <c r="D905" s="290"/>
      <c r="E905" s="301"/>
      <c r="F905" s="301"/>
      <c r="G905" s="290"/>
      <c r="H905" s="291"/>
      <c r="I905" s="292"/>
      <c r="J905" s="61"/>
      <c r="K905" s="57"/>
      <c r="L905" s="303"/>
      <c r="M905" s="201"/>
      <c r="N905" s="84" t="str">
        <f>IF($AI905&lt;&gt;"",Master!$N$37,IF($AC905&lt;&gt;"",Master!$N$38,IF($S905&lt;&gt;"",Master!$N$39,IF($C905&lt;&gt;"",Master!$N$40,Master!$N$41))))</f>
        <v>起票</v>
      </c>
      <c r="O905" s="202" t="str">
        <f>IF($N905=Master!$N$37,MAX($S905,$AC905,$AI905),"")</f>
        <v/>
      </c>
      <c r="P905" s="65"/>
      <c r="Q905" s="203"/>
      <c r="R905" s="57"/>
      <c r="S905" s="203"/>
      <c r="T905" s="310"/>
      <c r="U905" s="289"/>
      <c r="V905" s="57"/>
      <c r="W905" s="288"/>
      <c r="X905" s="288"/>
      <c r="Y905" s="296"/>
      <c r="Z905" s="57"/>
      <c r="AA905" s="203"/>
      <c r="AB905" s="288"/>
      <c r="AC905" s="201"/>
      <c r="AD905" s="298"/>
      <c r="AE905" s="297"/>
      <c r="AF905" s="58"/>
      <c r="AG905" s="204"/>
      <c r="AH905" s="57"/>
      <c r="AI905" s="201"/>
      <c r="AJ905" s="287"/>
      <c r="AK905" s="452"/>
      <c r="AL905" s="59"/>
      <c r="AM905" s="60"/>
      <c r="AO905" s="137" t="e">
        <f t="shared" si="77"/>
        <v>#N/A</v>
      </c>
      <c r="AP905" s="138" t="e">
        <f t="shared" si="78"/>
        <v>#N/A</v>
      </c>
      <c r="AQ905" s="138" t="e">
        <f t="shared" si="79"/>
        <v>#N/A</v>
      </c>
      <c r="AR905" s="138" t="e">
        <f t="shared" si="80"/>
        <v>#N/A</v>
      </c>
      <c r="AS905" s="138" t="e">
        <f t="shared" si="81"/>
        <v>#N/A</v>
      </c>
      <c r="AT905" s="139" t="e">
        <f t="shared" si="82"/>
        <v>#N/A</v>
      </c>
    </row>
    <row r="906" spans="1:46" ht="54" customHeight="1">
      <c r="A906" s="428">
        <f t="shared" si="98"/>
        <v>898</v>
      </c>
      <c r="B906" s="294"/>
      <c r="C906" s="201"/>
      <c r="D906" s="290"/>
      <c r="E906" s="301"/>
      <c r="F906" s="301"/>
      <c r="G906" s="290"/>
      <c r="H906" s="291"/>
      <c r="I906" s="292"/>
      <c r="J906" s="61"/>
      <c r="K906" s="57"/>
      <c r="L906" s="303"/>
      <c r="M906" s="201"/>
      <c r="N906" s="84" t="str">
        <f>IF($AI906&lt;&gt;"",Master!$N$37,IF($AC906&lt;&gt;"",Master!$N$38,IF($S906&lt;&gt;"",Master!$N$39,IF($C906&lt;&gt;"",Master!$N$40,Master!$N$41))))</f>
        <v>起票</v>
      </c>
      <c r="O906" s="202" t="str">
        <f>IF($N906=Master!$N$37,MAX($S906,$AC906,$AI906),"")</f>
        <v/>
      </c>
      <c r="P906" s="65"/>
      <c r="Q906" s="203"/>
      <c r="R906" s="57"/>
      <c r="S906" s="203"/>
      <c r="T906" s="310"/>
      <c r="U906" s="289"/>
      <c r="V906" s="57"/>
      <c r="W906" s="288"/>
      <c r="X906" s="288"/>
      <c r="Y906" s="296"/>
      <c r="Z906" s="57"/>
      <c r="AA906" s="203"/>
      <c r="AB906" s="288"/>
      <c r="AC906" s="201"/>
      <c r="AD906" s="298"/>
      <c r="AE906" s="297"/>
      <c r="AF906" s="58"/>
      <c r="AG906" s="204"/>
      <c r="AH906" s="57"/>
      <c r="AI906" s="201"/>
      <c r="AJ906" s="287"/>
      <c r="AK906" s="452"/>
      <c r="AL906" s="59"/>
      <c r="AM906" s="60"/>
      <c r="AO906" s="137" t="e">
        <f t="shared" si="77"/>
        <v>#N/A</v>
      </c>
      <c r="AP906" s="138" t="e">
        <f t="shared" si="78"/>
        <v>#N/A</v>
      </c>
      <c r="AQ906" s="138" t="e">
        <f t="shared" si="79"/>
        <v>#N/A</v>
      </c>
      <c r="AR906" s="138" t="e">
        <f t="shared" si="80"/>
        <v>#N/A</v>
      </c>
      <c r="AS906" s="138" t="e">
        <f t="shared" si="81"/>
        <v>#N/A</v>
      </c>
      <c r="AT906" s="139" t="e">
        <f t="shared" si="82"/>
        <v>#N/A</v>
      </c>
    </row>
    <row r="907" spans="1:46" ht="54" customHeight="1">
      <c r="A907" s="428">
        <f t="shared" si="98"/>
        <v>899</v>
      </c>
      <c r="B907" s="403"/>
      <c r="C907" s="404"/>
      <c r="D907" s="405"/>
      <c r="E907" s="405"/>
      <c r="F907" s="405"/>
      <c r="G907" s="405"/>
      <c r="H907" s="406"/>
      <c r="I907" s="407"/>
      <c r="J907" s="408"/>
      <c r="K907" s="409"/>
      <c r="L907" s="410"/>
      <c r="M907" s="404"/>
      <c r="N907" s="411" t="str">
        <f>IF($AI907&lt;&gt;"",Master!$N$37,IF($AC907&lt;&gt;"",Master!$N$38,IF($S907&lt;&gt;"",Master!$N$39,IF($C907&lt;&gt;"",Master!$N$40,Master!$N$41))))</f>
        <v>起票</v>
      </c>
      <c r="O907" s="412" t="str">
        <f>IF($N907=Master!$N$37,MAX($S907,$AC907,$AI907),"")</f>
        <v/>
      </c>
      <c r="P907" s="413"/>
      <c r="Q907" s="414"/>
      <c r="R907" s="409"/>
      <c r="S907" s="404"/>
      <c r="T907" s="418"/>
      <c r="U907" s="415"/>
      <c r="V907" s="409"/>
      <c r="W907" s="419"/>
      <c r="X907" s="419"/>
      <c r="Y907" s="416"/>
      <c r="Z907" s="417"/>
      <c r="AA907" s="418"/>
      <c r="AB907" s="419"/>
      <c r="AC907" s="404"/>
      <c r="AD907" s="404"/>
      <c r="AE907" s="420"/>
      <c r="AF907" s="421"/>
      <c r="AG907" s="418"/>
      <c r="AH907" s="409"/>
      <c r="AI907" s="404"/>
      <c r="AJ907" s="416"/>
      <c r="AK907" s="453"/>
      <c r="AL907" s="422"/>
      <c r="AM907" s="423"/>
      <c r="AO907" s="137" t="e">
        <f t="shared" si="77"/>
        <v>#N/A</v>
      </c>
      <c r="AP907" s="138" t="e">
        <f t="shared" si="78"/>
        <v>#N/A</v>
      </c>
      <c r="AQ907" s="138" t="e">
        <f t="shared" si="79"/>
        <v>#N/A</v>
      </c>
      <c r="AR907" s="138" t="e">
        <f t="shared" si="80"/>
        <v>#N/A</v>
      </c>
      <c r="AS907" s="138" t="e">
        <f t="shared" si="81"/>
        <v>#N/A</v>
      </c>
      <c r="AT907" s="139" t="e">
        <f t="shared" si="82"/>
        <v>#N/A</v>
      </c>
    </row>
    <row r="908" spans="1:46" ht="54" customHeight="1">
      <c r="A908" s="428">
        <f t="shared" ref="A908:A971" si="111">A907+1</f>
        <v>900</v>
      </c>
      <c r="B908" s="403"/>
      <c r="C908" s="404"/>
      <c r="D908" s="405"/>
      <c r="E908" s="405"/>
      <c r="F908" s="405"/>
      <c r="G908" s="405"/>
      <c r="H908" s="406"/>
      <c r="I908" s="407"/>
      <c r="J908" s="408"/>
      <c r="K908" s="409"/>
      <c r="L908" s="410"/>
      <c r="M908" s="404"/>
      <c r="N908" s="411" t="str">
        <f>IF($AI908&lt;&gt;"",Master!$N$37,IF($AC908&lt;&gt;"",Master!$N$38,IF($S908&lt;&gt;"",Master!$N$39,IF($C908&lt;&gt;"",Master!$N$40,Master!$N$41))))</f>
        <v>起票</v>
      </c>
      <c r="O908" s="412" t="str">
        <f>IF($N908=Master!$N$37,MAX($S908,$AC908,$AI908),"")</f>
        <v/>
      </c>
      <c r="P908" s="413"/>
      <c r="Q908" s="414"/>
      <c r="R908" s="409"/>
      <c r="S908" s="404"/>
      <c r="T908" s="418"/>
      <c r="U908" s="415"/>
      <c r="V908" s="409"/>
      <c r="W908" s="419"/>
      <c r="X908" s="419"/>
      <c r="Y908" s="416"/>
      <c r="Z908" s="417"/>
      <c r="AA908" s="418"/>
      <c r="AB908" s="419"/>
      <c r="AC908" s="404"/>
      <c r="AD908" s="404"/>
      <c r="AE908" s="420"/>
      <c r="AF908" s="421"/>
      <c r="AG908" s="418"/>
      <c r="AH908" s="409"/>
      <c r="AI908" s="404"/>
      <c r="AJ908" s="416"/>
      <c r="AK908" s="453"/>
      <c r="AL908" s="422"/>
      <c r="AM908" s="423"/>
      <c r="AO908" s="137" t="e">
        <f t="shared" si="77"/>
        <v>#N/A</v>
      </c>
      <c r="AP908" s="138" t="e">
        <f t="shared" si="78"/>
        <v>#N/A</v>
      </c>
      <c r="AQ908" s="138" t="e">
        <f t="shared" si="79"/>
        <v>#N/A</v>
      </c>
      <c r="AR908" s="138" t="e">
        <f t="shared" si="80"/>
        <v>#N/A</v>
      </c>
      <c r="AS908" s="138" t="e">
        <f t="shared" si="81"/>
        <v>#N/A</v>
      </c>
      <c r="AT908" s="139" t="e">
        <f t="shared" si="82"/>
        <v>#N/A</v>
      </c>
    </row>
    <row r="909" spans="1:46" ht="54" customHeight="1">
      <c r="A909" s="428">
        <f t="shared" si="111"/>
        <v>901</v>
      </c>
      <c r="B909" s="403"/>
      <c r="C909" s="404"/>
      <c r="D909" s="405"/>
      <c r="E909" s="405"/>
      <c r="F909" s="405"/>
      <c r="G909" s="405"/>
      <c r="H909" s="406"/>
      <c r="I909" s="407"/>
      <c r="J909" s="408"/>
      <c r="K909" s="409"/>
      <c r="L909" s="410"/>
      <c r="M909" s="404"/>
      <c r="N909" s="411" t="str">
        <f>IF($AI909&lt;&gt;"",Master!$N$37,IF($AC909&lt;&gt;"",Master!$N$38,IF($S909&lt;&gt;"",Master!$N$39,IF($C909&lt;&gt;"",Master!$N$40,Master!$N$41))))</f>
        <v>起票</v>
      </c>
      <c r="O909" s="412" t="str">
        <f>IF($N909=Master!$N$37,MAX($S909,$AC909,$AI909),"")</f>
        <v/>
      </c>
      <c r="P909" s="413"/>
      <c r="Q909" s="414"/>
      <c r="R909" s="409"/>
      <c r="S909" s="404"/>
      <c r="T909" s="418"/>
      <c r="U909" s="415"/>
      <c r="V909" s="409"/>
      <c r="W909" s="419"/>
      <c r="X909" s="419"/>
      <c r="Y909" s="416"/>
      <c r="Z909" s="417"/>
      <c r="AA909" s="418"/>
      <c r="AB909" s="419"/>
      <c r="AC909" s="404"/>
      <c r="AD909" s="404"/>
      <c r="AE909" s="420"/>
      <c r="AF909" s="421"/>
      <c r="AG909" s="418"/>
      <c r="AH909" s="409"/>
      <c r="AI909" s="404"/>
      <c r="AJ909" s="416"/>
      <c r="AK909" s="453"/>
      <c r="AL909" s="422"/>
      <c r="AM909" s="423"/>
      <c r="AO909" s="137" t="e">
        <f t="shared" si="77"/>
        <v>#N/A</v>
      </c>
      <c r="AP909" s="138" t="e">
        <f t="shared" si="78"/>
        <v>#N/A</v>
      </c>
      <c r="AQ909" s="138" t="e">
        <f t="shared" si="79"/>
        <v>#N/A</v>
      </c>
      <c r="AR909" s="138" t="e">
        <f t="shared" si="80"/>
        <v>#N/A</v>
      </c>
      <c r="AS909" s="138" t="e">
        <f t="shared" si="81"/>
        <v>#N/A</v>
      </c>
      <c r="AT909" s="139" t="e">
        <f t="shared" si="82"/>
        <v>#N/A</v>
      </c>
    </row>
    <row r="910" spans="1:46" ht="54" customHeight="1">
      <c r="A910" s="428">
        <f t="shared" si="111"/>
        <v>902</v>
      </c>
      <c r="B910" s="294"/>
      <c r="C910" s="201"/>
      <c r="D910" s="290"/>
      <c r="E910" s="301"/>
      <c r="F910" s="301"/>
      <c r="G910" s="290"/>
      <c r="H910" s="291"/>
      <c r="I910" s="292"/>
      <c r="J910" s="61"/>
      <c r="K910" s="57"/>
      <c r="L910" s="303"/>
      <c r="M910" s="201"/>
      <c r="N910" s="84" t="str">
        <f>IF($AI910&lt;&gt;"",Master!$N$37,IF($AC910&lt;&gt;"",Master!$N$38,IF($S910&lt;&gt;"",Master!$N$39,IF($C910&lt;&gt;"",Master!$N$40,Master!$N$41))))</f>
        <v>起票</v>
      </c>
      <c r="O910" s="202" t="str">
        <f>IF($N910=Master!$N$37,MAX($S910,$AC910,$AI910),"")</f>
        <v/>
      </c>
      <c r="P910" s="65"/>
      <c r="Q910" s="203"/>
      <c r="R910" s="57"/>
      <c r="S910" s="203"/>
      <c r="T910" s="310"/>
      <c r="U910" s="289"/>
      <c r="V910" s="57"/>
      <c r="W910" s="288"/>
      <c r="X910" s="288"/>
      <c r="Y910" s="296"/>
      <c r="Z910" s="57"/>
      <c r="AA910" s="203"/>
      <c r="AB910" s="288"/>
      <c r="AC910" s="201"/>
      <c r="AD910" s="298"/>
      <c r="AE910" s="297"/>
      <c r="AF910" s="58"/>
      <c r="AG910" s="204"/>
      <c r="AH910" s="57"/>
      <c r="AI910" s="201"/>
      <c r="AJ910" s="287"/>
      <c r="AK910" s="452"/>
      <c r="AL910" s="59"/>
      <c r="AM910" s="60"/>
      <c r="AO910" s="137" t="e">
        <f t="shared" si="77"/>
        <v>#N/A</v>
      </c>
      <c r="AP910" s="138" t="e">
        <f t="shared" si="78"/>
        <v>#N/A</v>
      </c>
      <c r="AQ910" s="138" t="e">
        <f t="shared" si="79"/>
        <v>#N/A</v>
      </c>
      <c r="AR910" s="138" t="e">
        <f t="shared" si="80"/>
        <v>#N/A</v>
      </c>
      <c r="AS910" s="138" t="e">
        <f t="shared" si="81"/>
        <v>#N/A</v>
      </c>
      <c r="AT910" s="139" t="e">
        <f t="shared" si="82"/>
        <v>#N/A</v>
      </c>
    </row>
    <row r="911" spans="1:46" ht="54" customHeight="1">
      <c r="A911" s="428">
        <f t="shared" si="111"/>
        <v>903</v>
      </c>
      <c r="B911" s="294"/>
      <c r="C911" s="201"/>
      <c r="D911" s="290"/>
      <c r="E911" s="301"/>
      <c r="F911" s="301"/>
      <c r="G911" s="290"/>
      <c r="H911" s="291"/>
      <c r="I911" s="292"/>
      <c r="J911" s="61"/>
      <c r="K911" s="57"/>
      <c r="L911" s="303"/>
      <c r="M911" s="201"/>
      <c r="N911" s="84" t="str">
        <f>IF($AI911&lt;&gt;"",Master!$N$37,IF($AC911&lt;&gt;"",Master!$N$38,IF($S911&lt;&gt;"",Master!$N$39,IF($C911&lt;&gt;"",Master!$N$40,Master!$N$41))))</f>
        <v>起票</v>
      </c>
      <c r="O911" s="202" t="str">
        <f>IF($N911=Master!$N$37,MAX($S911,$AC911,$AI911),"")</f>
        <v/>
      </c>
      <c r="P911" s="65"/>
      <c r="Q911" s="203"/>
      <c r="R911" s="57"/>
      <c r="S911" s="203"/>
      <c r="T911" s="310"/>
      <c r="U911" s="289"/>
      <c r="V911" s="57"/>
      <c r="W911" s="288"/>
      <c r="X911" s="288"/>
      <c r="Y911" s="296"/>
      <c r="Z911" s="57"/>
      <c r="AA911" s="203"/>
      <c r="AB911" s="288"/>
      <c r="AC911" s="201"/>
      <c r="AD911" s="298"/>
      <c r="AE911" s="297"/>
      <c r="AF911" s="58"/>
      <c r="AG911" s="204"/>
      <c r="AH911" s="57"/>
      <c r="AI911" s="201"/>
      <c r="AJ911" s="287"/>
      <c r="AK911" s="452"/>
      <c r="AL911" s="59"/>
      <c r="AM911" s="60"/>
      <c r="AO911" s="137" t="e">
        <f t="shared" si="77"/>
        <v>#N/A</v>
      </c>
      <c r="AP911" s="138" t="e">
        <f t="shared" si="78"/>
        <v>#N/A</v>
      </c>
      <c r="AQ911" s="138" t="e">
        <f t="shared" si="79"/>
        <v>#N/A</v>
      </c>
      <c r="AR911" s="138" t="e">
        <f t="shared" si="80"/>
        <v>#N/A</v>
      </c>
      <c r="AS911" s="138" t="e">
        <f t="shared" si="81"/>
        <v>#N/A</v>
      </c>
      <c r="AT911" s="139" t="e">
        <f t="shared" si="82"/>
        <v>#N/A</v>
      </c>
    </row>
    <row r="912" spans="1:46" ht="54" customHeight="1">
      <c r="A912" s="428">
        <f t="shared" si="111"/>
        <v>904</v>
      </c>
      <c r="B912" s="403"/>
      <c r="C912" s="404"/>
      <c r="D912" s="405"/>
      <c r="E912" s="405"/>
      <c r="F912" s="405"/>
      <c r="G912" s="405"/>
      <c r="H912" s="406"/>
      <c r="I912" s="407"/>
      <c r="J912" s="408"/>
      <c r="K912" s="409"/>
      <c r="L912" s="410"/>
      <c r="M912" s="404"/>
      <c r="N912" s="411" t="str">
        <f>IF($AI912&lt;&gt;"",Master!$N$37,IF($AC912&lt;&gt;"",Master!$N$38,IF($S912&lt;&gt;"",Master!$N$39,IF($C912&lt;&gt;"",Master!$N$40,Master!$N$41))))</f>
        <v>起票</v>
      </c>
      <c r="O912" s="412" t="str">
        <f>IF($N912=Master!$N$37,MAX($S912,$AC912,$AI912),"")</f>
        <v/>
      </c>
      <c r="P912" s="413"/>
      <c r="Q912" s="414"/>
      <c r="R912" s="409"/>
      <c r="S912" s="404"/>
      <c r="T912" s="418"/>
      <c r="U912" s="415"/>
      <c r="V912" s="409"/>
      <c r="W912" s="419"/>
      <c r="X912" s="419"/>
      <c r="Y912" s="416"/>
      <c r="Z912" s="417"/>
      <c r="AA912" s="418"/>
      <c r="AB912" s="419"/>
      <c r="AC912" s="404"/>
      <c r="AD912" s="404"/>
      <c r="AE912" s="420"/>
      <c r="AF912" s="421"/>
      <c r="AG912" s="418"/>
      <c r="AH912" s="409"/>
      <c r="AI912" s="404"/>
      <c r="AJ912" s="416"/>
      <c r="AK912" s="453"/>
      <c r="AL912" s="422"/>
      <c r="AM912" s="423"/>
      <c r="AO912" s="137" t="e">
        <f t="shared" si="77"/>
        <v>#N/A</v>
      </c>
      <c r="AP912" s="138" t="e">
        <f t="shared" si="78"/>
        <v>#N/A</v>
      </c>
      <c r="AQ912" s="138" t="e">
        <f t="shared" si="79"/>
        <v>#N/A</v>
      </c>
      <c r="AR912" s="138" t="e">
        <f t="shared" si="80"/>
        <v>#N/A</v>
      </c>
      <c r="AS912" s="138" t="e">
        <f t="shared" si="81"/>
        <v>#N/A</v>
      </c>
      <c r="AT912" s="139" t="e">
        <f t="shared" si="82"/>
        <v>#N/A</v>
      </c>
    </row>
    <row r="913" spans="1:46" ht="54" customHeight="1">
      <c r="A913" s="428">
        <f t="shared" si="111"/>
        <v>905</v>
      </c>
      <c r="B913" s="403"/>
      <c r="C913" s="404"/>
      <c r="D913" s="405"/>
      <c r="E913" s="405"/>
      <c r="F913" s="405"/>
      <c r="G913" s="405"/>
      <c r="H913" s="406"/>
      <c r="I913" s="407"/>
      <c r="J913" s="408"/>
      <c r="K913" s="409"/>
      <c r="L913" s="410"/>
      <c r="M913" s="404"/>
      <c r="N913" s="411" t="str">
        <f>IF($AI913&lt;&gt;"",Master!$N$37,IF($AC913&lt;&gt;"",Master!$N$38,IF($S913&lt;&gt;"",Master!$N$39,IF($C913&lt;&gt;"",Master!$N$40,Master!$N$41))))</f>
        <v>起票</v>
      </c>
      <c r="O913" s="412" t="str">
        <f>IF($N913=Master!$N$37,MAX($S913,$AC913,$AI913),"")</f>
        <v/>
      </c>
      <c r="P913" s="413"/>
      <c r="Q913" s="414"/>
      <c r="R913" s="409"/>
      <c r="S913" s="404"/>
      <c r="T913" s="418"/>
      <c r="U913" s="415"/>
      <c r="V913" s="409"/>
      <c r="W913" s="419"/>
      <c r="X913" s="419"/>
      <c r="Y913" s="416"/>
      <c r="Z913" s="417"/>
      <c r="AA913" s="418"/>
      <c r="AB913" s="419"/>
      <c r="AC913" s="404"/>
      <c r="AD913" s="404"/>
      <c r="AE913" s="420"/>
      <c r="AF913" s="421"/>
      <c r="AG913" s="418"/>
      <c r="AH913" s="409"/>
      <c r="AI913" s="404"/>
      <c r="AJ913" s="416"/>
      <c r="AK913" s="453"/>
      <c r="AL913" s="422"/>
      <c r="AM913" s="423"/>
      <c r="AO913" s="137" t="e">
        <f t="shared" si="77"/>
        <v>#N/A</v>
      </c>
      <c r="AP913" s="138" t="e">
        <f t="shared" si="78"/>
        <v>#N/A</v>
      </c>
      <c r="AQ913" s="138" t="e">
        <f t="shared" si="79"/>
        <v>#N/A</v>
      </c>
      <c r="AR913" s="138" t="e">
        <f t="shared" si="80"/>
        <v>#N/A</v>
      </c>
      <c r="AS913" s="138" t="e">
        <f t="shared" si="81"/>
        <v>#N/A</v>
      </c>
      <c r="AT913" s="139" t="e">
        <f t="shared" si="82"/>
        <v>#N/A</v>
      </c>
    </row>
    <row r="914" spans="1:46" ht="54" customHeight="1">
      <c r="A914" s="428">
        <f t="shared" si="111"/>
        <v>906</v>
      </c>
      <c r="B914" s="403"/>
      <c r="C914" s="404"/>
      <c r="D914" s="405"/>
      <c r="E914" s="405"/>
      <c r="F914" s="405"/>
      <c r="G914" s="405"/>
      <c r="H914" s="406"/>
      <c r="I914" s="407"/>
      <c r="J914" s="408"/>
      <c r="K914" s="409"/>
      <c r="L914" s="410"/>
      <c r="M914" s="404"/>
      <c r="N914" s="411" t="str">
        <f>IF($AI914&lt;&gt;"",Master!$N$37,IF($AC914&lt;&gt;"",Master!$N$38,IF($S914&lt;&gt;"",Master!$N$39,IF($C914&lt;&gt;"",Master!$N$40,Master!$N$41))))</f>
        <v>起票</v>
      </c>
      <c r="O914" s="412" t="str">
        <f>IF($N914=Master!$N$37,MAX($S914,$AC914,$AI914),"")</f>
        <v/>
      </c>
      <c r="P914" s="413"/>
      <c r="Q914" s="414"/>
      <c r="R914" s="409"/>
      <c r="S914" s="404"/>
      <c r="T914" s="418"/>
      <c r="U914" s="415"/>
      <c r="V914" s="409"/>
      <c r="W914" s="419"/>
      <c r="X914" s="419"/>
      <c r="Y914" s="416"/>
      <c r="Z914" s="417"/>
      <c r="AA914" s="418"/>
      <c r="AB914" s="419"/>
      <c r="AC914" s="404"/>
      <c r="AD914" s="404"/>
      <c r="AE914" s="420"/>
      <c r="AF914" s="421"/>
      <c r="AG914" s="418"/>
      <c r="AH914" s="409"/>
      <c r="AI914" s="404"/>
      <c r="AJ914" s="416"/>
      <c r="AK914" s="453"/>
      <c r="AL914" s="422"/>
      <c r="AM914" s="423"/>
      <c r="AO914" s="137" t="e">
        <f t="shared" si="77"/>
        <v>#N/A</v>
      </c>
      <c r="AP914" s="138" t="e">
        <f t="shared" si="78"/>
        <v>#N/A</v>
      </c>
      <c r="AQ914" s="138" t="e">
        <f t="shared" si="79"/>
        <v>#N/A</v>
      </c>
      <c r="AR914" s="138" t="e">
        <f t="shared" si="80"/>
        <v>#N/A</v>
      </c>
      <c r="AS914" s="138" t="e">
        <f t="shared" si="81"/>
        <v>#N/A</v>
      </c>
      <c r="AT914" s="139" t="e">
        <f t="shared" si="82"/>
        <v>#N/A</v>
      </c>
    </row>
    <row r="915" spans="1:46" ht="54" customHeight="1">
      <c r="A915" s="428">
        <f t="shared" si="111"/>
        <v>907</v>
      </c>
      <c r="B915" s="294"/>
      <c r="C915" s="201"/>
      <c r="D915" s="290"/>
      <c r="E915" s="301"/>
      <c r="F915" s="301"/>
      <c r="G915" s="290"/>
      <c r="H915" s="291"/>
      <c r="I915" s="292"/>
      <c r="J915" s="61"/>
      <c r="K915" s="57"/>
      <c r="L915" s="303"/>
      <c r="M915" s="201"/>
      <c r="N915" s="84" t="str">
        <f>IF($AI915&lt;&gt;"",Master!$N$37,IF($AC915&lt;&gt;"",Master!$N$38,IF($S915&lt;&gt;"",Master!$N$39,IF($C915&lt;&gt;"",Master!$N$40,Master!$N$41))))</f>
        <v>起票</v>
      </c>
      <c r="O915" s="202" t="str">
        <f>IF($N915=Master!$N$37,MAX($S915,$AC915,$AI915),"")</f>
        <v/>
      </c>
      <c r="P915" s="65"/>
      <c r="Q915" s="203"/>
      <c r="R915" s="57"/>
      <c r="S915" s="203"/>
      <c r="T915" s="310"/>
      <c r="U915" s="289"/>
      <c r="V915" s="57"/>
      <c r="W915" s="288"/>
      <c r="X915" s="288"/>
      <c r="Y915" s="296"/>
      <c r="Z915" s="57"/>
      <c r="AA915" s="203"/>
      <c r="AB915" s="288"/>
      <c r="AC915" s="201"/>
      <c r="AD915" s="298"/>
      <c r="AE915" s="297"/>
      <c r="AF915" s="58"/>
      <c r="AG915" s="204"/>
      <c r="AH915" s="57"/>
      <c r="AI915" s="201"/>
      <c r="AJ915" s="287"/>
      <c r="AK915" s="452"/>
      <c r="AL915" s="59"/>
      <c r="AM915" s="60"/>
      <c r="AO915" s="137" t="e">
        <f t="shared" ref="AO915:AO924" si="112">IF(AND(C915&lt;&gt;"",C915&lt;=$AI$3),IF(E915="","",E915),NA())</f>
        <v>#N/A</v>
      </c>
      <c r="AP915" s="138" t="e">
        <f t="shared" ref="AP915:AP924" si="113">IF(AND(C915&lt;&gt;"",C915&lt;=$AI$3),IF(F915="","",F915),NA())</f>
        <v>#N/A</v>
      </c>
      <c r="AQ915" s="138" t="e">
        <f t="shared" ref="AQ915:AQ924" si="114">IF(AND(C915&lt;&gt;"",C915&lt;=$AI$3),IF(H915="","",H915),NA())</f>
        <v>#N/A</v>
      </c>
      <c r="AR915" s="138" t="e">
        <f t="shared" ref="AR915:AR924" si="115">IF(AND(C915&lt;&gt;"",C915&lt;=$AI$3),IF(U915="","",U915),NA())</f>
        <v>#N/A</v>
      </c>
      <c r="AS915" s="138" t="e">
        <f t="shared" ref="AS915:AS924" si="116">IF(AND(C915&lt;&gt;"",C915&lt;=$AI$3),IF(V915="","",V915),NA())</f>
        <v>#N/A</v>
      </c>
      <c r="AT915" s="139" t="e">
        <f t="shared" ref="AT915:AT924" si="117">IF(AND(C915&lt;&gt;"",C915&lt;=$AI$3),IF(AB915="","",AB915),NA())</f>
        <v>#N/A</v>
      </c>
    </row>
    <row r="916" spans="1:46" ht="54" customHeight="1">
      <c r="A916" s="428">
        <f t="shared" si="111"/>
        <v>908</v>
      </c>
      <c r="B916" s="294"/>
      <c r="C916" s="201"/>
      <c r="D916" s="290"/>
      <c r="E916" s="301"/>
      <c r="F916" s="301"/>
      <c r="G916" s="290"/>
      <c r="H916" s="291"/>
      <c r="I916" s="292"/>
      <c r="J916" s="61"/>
      <c r="K916" s="57"/>
      <c r="L916" s="303"/>
      <c r="M916" s="201"/>
      <c r="N916" s="84" t="str">
        <f>IF($AI916&lt;&gt;"",Master!$N$37,IF($AC916&lt;&gt;"",Master!$N$38,IF($S916&lt;&gt;"",Master!$N$39,IF($C916&lt;&gt;"",Master!$N$40,Master!$N$41))))</f>
        <v>起票</v>
      </c>
      <c r="O916" s="202" t="str">
        <f>IF($N916=Master!$N$37,MAX($S916,$AC916,$AI916),"")</f>
        <v/>
      </c>
      <c r="P916" s="65"/>
      <c r="Q916" s="203"/>
      <c r="R916" s="57"/>
      <c r="S916" s="203"/>
      <c r="T916" s="310"/>
      <c r="U916" s="289"/>
      <c r="V916" s="57"/>
      <c r="W916" s="288"/>
      <c r="X916" s="288"/>
      <c r="Y916" s="296"/>
      <c r="Z916" s="57"/>
      <c r="AA916" s="203"/>
      <c r="AB916" s="288"/>
      <c r="AC916" s="201"/>
      <c r="AD916" s="298"/>
      <c r="AE916" s="297"/>
      <c r="AF916" s="58"/>
      <c r="AG916" s="204"/>
      <c r="AH916" s="57"/>
      <c r="AI916" s="201"/>
      <c r="AJ916" s="287"/>
      <c r="AK916" s="452"/>
      <c r="AL916" s="59"/>
      <c r="AM916" s="60"/>
      <c r="AO916" s="137" t="e">
        <f t="shared" si="112"/>
        <v>#N/A</v>
      </c>
      <c r="AP916" s="138" t="e">
        <f t="shared" si="113"/>
        <v>#N/A</v>
      </c>
      <c r="AQ916" s="138" t="e">
        <f t="shared" si="114"/>
        <v>#N/A</v>
      </c>
      <c r="AR916" s="138" t="e">
        <f t="shared" si="115"/>
        <v>#N/A</v>
      </c>
      <c r="AS916" s="138" t="e">
        <f t="shared" si="116"/>
        <v>#N/A</v>
      </c>
      <c r="AT916" s="139" t="e">
        <f t="shared" si="117"/>
        <v>#N/A</v>
      </c>
    </row>
    <row r="917" spans="1:46" ht="54" customHeight="1">
      <c r="A917" s="428">
        <f t="shared" si="111"/>
        <v>909</v>
      </c>
      <c r="B917" s="403"/>
      <c r="C917" s="404"/>
      <c r="D917" s="405"/>
      <c r="E917" s="405"/>
      <c r="F917" s="405"/>
      <c r="G917" s="405"/>
      <c r="H917" s="406"/>
      <c r="I917" s="407"/>
      <c r="J917" s="408"/>
      <c r="K917" s="409"/>
      <c r="L917" s="410"/>
      <c r="M917" s="404"/>
      <c r="N917" s="411" t="str">
        <f>IF($AI917&lt;&gt;"",Master!$N$37,IF($AC917&lt;&gt;"",Master!$N$38,IF($S917&lt;&gt;"",Master!$N$39,IF($C917&lt;&gt;"",Master!$N$40,Master!$N$41))))</f>
        <v>起票</v>
      </c>
      <c r="O917" s="412" t="str">
        <f>IF($N917=Master!$N$37,MAX($S917,$AC917,$AI917),"")</f>
        <v/>
      </c>
      <c r="P917" s="413"/>
      <c r="Q917" s="414"/>
      <c r="R917" s="409"/>
      <c r="S917" s="404"/>
      <c r="T917" s="418"/>
      <c r="U917" s="415"/>
      <c r="V917" s="409"/>
      <c r="W917" s="419"/>
      <c r="X917" s="419"/>
      <c r="Y917" s="416"/>
      <c r="Z917" s="417"/>
      <c r="AA917" s="418"/>
      <c r="AB917" s="419"/>
      <c r="AC917" s="404"/>
      <c r="AD917" s="404"/>
      <c r="AE917" s="420"/>
      <c r="AF917" s="421"/>
      <c r="AG917" s="418"/>
      <c r="AH917" s="409"/>
      <c r="AI917" s="404"/>
      <c r="AJ917" s="416"/>
      <c r="AK917" s="453"/>
      <c r="AL917" s="422"/>
      <c r="AM917" s="423"/>
      <c r="AO917" s="137" t="e">
        <f t="shared" si="112"/>
        <v>#N/A</v>
      </c>
      <c r="AP917" s="138" t="e">
        <f t="shared" si="113"/>
        <v>#N/A</v>
      </c>
      <c r="AQ917" s="138" t="e">
        <f t="shared" si="114"/>
        <v>#N/A</v>
      </c>
      <c r="AR917" s="138" t="e">
        <f t="shared" si="115"/>
        <v>#N/A</v>
      </c>
      <c r="AS917" s="138" t="e">
        <f t="shared" si="116"/>
        <v>#N/A</v>
      </c>
      <c r="AT917" s="139" t="e">
        <f t="shared" si="117"/>
        <v>#N/A</v>
      </c>
    </row>
    <row r="918" spans="1:46" ht="54" customHeight="1">
      <c r="A918" s="428">
        <f t="shared" si="111"/>
        <v>910</v>
      </c>
      <c r="B918" s="403"/>
      <c r="C918" s="404"/>
      <c r="D918" s="405"/>
      <c r="E918" s="405"/>
      <c r="F918" s="405"/>
      <c r="G918" s="405"/>
      <c r="H918" s="406"/>
      <c r="I918" s="407"/>
      <c r="J918" s="408"/>
      <c r="K918" s="409"/>
      <c r="L918" s="410"/>
      <c r="M918" s="404"/>
      <c r="N918" s="411" t="str">
        <f>IF($AI918&lt;&gt;"",Master!$N$37,IF($AC918&lt;&gt;"",Master!$N$38,IF($S918&lt;&gt;"",Master!$N$39,IF($C918&lt;&gt;"",Master!$N$40,Master!$N$41))))</f>
        <v>起票</v>
      </c>
      <c r="O918" s="412" t="str">
        <f>IF($N918=Master!$N$37,MAX($S918,$AC918,$AI918),"")</f>
        <v/>
      </c>
      <c r="P918" s="413"/>
      <c r="Q918" s="414"/>
      <c r="R918" s="409"/>
      <c r="S918" s="404"/>
      <c r="T918" s="418"/>
      <c r="U918" s="415"/>
      <c r="V918" s="409"/>
      <c r="W918" s="419"/>
      <c r="X918" s="419"/>
      <c r="Y918" s="416"/>
      <c r="Z918" s="417"/>
      <c r="AA918" s="418"/>
      <c r="AB918" s="419"/>
      <c r="AC918" s="404"/>
      <c r="AD918" s="404"/>
      <c r="AE918" s="420"/>
      <c r="AF918" s="421"/>
      <c r="AG918" s="418"/>
      <c r="AH918" s="409"/>
      <c r="AI918" s="404"/>
      <c r="AJ918" s="416"/>
      <c r="AK918" s="453"/>
      <c r="AL918" s="422"/>
      <c r="AM918" s="423"/>
      <c r="AO918" s="137" t="e">
        <f t="shared" si="112"/>
        <v>#N/A</v>
      </c>
      <c r="AP918" s="138" t="e">
        <f t="shared" si="113"/>
        <v>#N/A</v>
      </c>
      <c r="AQ918" s="138" t="e">
        <f t="shared" si="114"/>
        <v>#N/A</v>
      </c>
      <c r="AR918" s="138" t="e">
        <f t="shared" si="115"/>
        <v>#N/A</v>
      </c>
      <c r="AS918" s="138" t="e">
        <f t="shared" si="116"/>
        <v>#N/A</v>
      </c>
      <c r="AT918" s="139" t="e">
        <f t="shared" si="117"/>
        <v>#N/A</v>
      </c>
    </row>
    <row r="919" spans="1:46" ht="54" customHeight="1">
      <c r="A919" s="428">
        <f t="shared" si="111"/>
        <v>911</v>
      </c>
      <c r="B919" s="403"/>
      <c r="C919" s="404"/>
      <c r="D919" s="405"/>
      <c r="E919" s="405"/>
      <c r="F919" s="405"/>
      <c r="G919" s="405"/>
      <c r="H919" s="406"/>
      <c r="I919" s="407"/>
      <c r="J919" s="408"/>
      <c r="K919" s="409"/>
      <c r="L919" s="410"/>
      <c r="M919" s="404"/>
      <c r="N919" s="411" t="str">
        <f>IF($AI919&lt;&gt;"",Master!$N$37,IF($AC919&lt;&gt;"",Master!$N$38,IF($S919&lt;&gt;"",Master!$N$39,IF($C919&lt;&gt;"",Master!$N$40,Master!$N$41))))</f>
        <v>起票</v>
      </c>
      <c r="O919" s="412" t="str">
        <f>IF($N919=Master!$N$37,MAX($S919,$AC919,$AI919),"")</f>
        <v/>
      </c>
      <c r="P919" s="413"/>
      <c r="Q919" s="414"/>
      <c r="R919" s="409"/>
      <c r="S919" s="404"/>
      <c r="T919" s="418"/>
      <c r="U919" s="415"/>
      <c r="V919" s="409"/>
      <c r="W919" s="419"/>
      <c r="X919" s="419"/>
      <c r="Y919" s="416"/>
      <c r="Z919" s="417"/>
      <c r="AA919" s="418"/>
      <c r="AB919" s="419"/>
      <c r="AC919" s="404"/>
      <c r="AD919" s="404"/>
      <c r="AE919" s="420"/>
      <c r="AF919" s="421"/>
      <c r="AG919" s="418"/>
      <c r="AH919" s="409"/>
      <c r="AI919" s="404"/>
      <c r="AJ919" s="416"/>
      <c r="AK919" s="453"/>
      <c r="AL919" s="422"/>
      <c r="AM919" s="423"/>
      <c r="AO919" s="137" t="e">
        <f t="shared" si="112"/>
        <v>#N/A</v>
      </c>
      <c r="AP919" s="138" t="e">
        <f t="shared" si="113"/>
        <v>#N/A</v>
      </c>
      <c r="AQ919" s="138" t="e">
        <f t="shared" si="114"/>
        <v>#N/A</v>
      </c>
      <c r="AR919" s="138" t="e">
        <f t="shared" si="115"/>
        <v>#N/A</v>
      </c>
      <c r="AS919" s="138" t="e">
        <f t="shared" si="116"/>
        <v>#N/A</v>
      </c>
      <c r="AT919" s="139" t="e">
        <f t="shared" si="117"/>
        <v>#N/A</v>
      </c>
    </row>
    <row r="920" spans="1:46" ht="54" customHeight="1">
      <c r="A920" s="428">
        <f t="shared" si="111"/>
        <v>912</v>
      </c>
      <c r="B920" s="294"/>
      <c r="C920" s="201"/>
      <c r="D920" s="290"/>
      <c r="E920" s="301"/>
      <c r="F920" s="301"/>
      <c r="G920" s="290"/>
      <c r="H920" s="291"/>
      <c r="I920" s="292"/>
      <c r="J920" s="61"/>
      <c r="K920" s="57"/>
      <c r="L920" s="303"/>
      <c r="M920" s="201"/>
      <c r="N920" s="84" t="str">
        <f>IF($AI920&lt;&gt;"",Master!$N$37,IF($AC920&lt;&gt;"",Master!$N$38,IF($S920&lt;&gt;"",Master!$N$39,IF($C920&lt;&gt;"",Master!$N$40,Master!$N$41))))</f>
        <v>起票</v>
      </c>
      <c r="O920" s="202" t="str">
        <f>IF($N920=Master!$N$37,MAX($S920,$AC920,$AI920),"")</f>
        <v/>
      </c>
      <c r="P920" s="65"/>
      <c r="Q920" s="203"/>
      <c r="R920" s="57"/>
      <c r="S920" s="203"/>
      <c r="T920" s="310"/>
      <c r="U920" s="289"/>
      <c r="V920" s="57"/>
      <c r="W920" s="288"/>
      <c r="X920" s="288"/>
      <c r="Y920" s="296"/>
      <c r="Z920" s="57"/>
      <c r="AA920" s="203"/>
      <c r="AB920" s="288"/>
      <c r="AC920" s="201"/>
      <c r="AD920" s="298"/>
      <c r="AE920" s="297"/>
      <c r="AF920" s="58"/>
      <c r="AG920" s="204"/>
      <c r="AH920" s="57"/>
      <c r="AI920" s="201"/>
      <c r="AJ920" s="287"/>
      <c r="AK920" s="452"/>
      <c r="AL920" s="59"/>
      <c r="AM920" s="60"/>
      <c r="AO920" s="137" t="e">
        <f t="shared" si="112"/>
        <v>#N/A</v>
      </c>
      <c r="AP920" s="138" t="e">
        <f t="shared" si="113"/>
        <v>#N/A</v>
      </c>
      <c r="AQ920" s="138" t="e">
        <f t="shared" si="114"/>
        <v>#N/A</v>
      </c>
      <c r="AR920" s="138" t="e">
        <f t="shared" si="115"/>
        <v>#N/A</v>
      </c>
      <c r="AS920" s="138" t="e">
        <f t="shared" si="116"/>
        <v>#N/A</v>
      </c>
      <c r="AT920" s="139" t="e">
        <f t="shared" si="117"/>
        <v>#N/A</v>
      </c>
    </row>
    <row r="921" spans="1:46" ht="54" customHeight="1">
      <c r="A921" s="428">
        <f t="shared" si="111"/>
        <v>913</v>
      </c>
      <c r="B921" s="294"/>
      <c r="C921" s="201"/>
      <c r="D921" s="290"/>
      <c r="E921" s="301"/>
      <c r="F921" s="301"/>
      <c r="G921" s="290"/>
      <c r="H921" s="291"/>
      <c r="I921" s="292"/>
      <c r="J921" s="61"/>
      <c r="K921" s="57"/>
      <c r="L921" s="303"/>
      <c r="M921" s="201"/>
      <c r="N921" s="84" t="str">
        <f>IF($AI921&lt;&gt;"",Master!$N$37,IF($AC921&lt;&gt;"",Master!$N$38,IF($S921&lt;&gt;"",Master!$N$39,IF($C921&lt;&gt;"",Master!$N$40,Master!$N$41))))</f>
        <v>起票</v>
      </c>
      <c r="O921" s="202" t="str">
        <f>IF($N921=Master!$N$37,MAX($S921,$AC921,$AI921),"")</f>
        <v/>
      </c>
      <c r="P921" s="65"/>
      <c r="Q921" s="203"/>
      <c r="R921" s="57"/>
      <c r="S921" s="203"/>
      <c r="T921" s="310"/>
      <c r="U921" s="289"/>
      <c r="V921" s="57"/>
      <c r="W921" s="288"/>
      <c r="X921" s="288"/>
      <c r="Y921" s="296"/>
      <c r="Z921" s="57"/>
      <c r="AA921" s="203"/>
      <c r="AB921" s="288"/>
      <c r="AC921" s="201"/>
      <c r="AD921" s="298"/>
      <c r="AE921" s="297"/>
      <c r="AF921" s="58"/>
      <c r="AG921" s="204"/>
      <c r="AH921" s="57"/>
      <c r="AI921" s="201"/>
      <c r="AJ921" s="287"/>
      <c r="AK921" s="452"/>
      <c r="AL921" s="59"/>
      <c r="AM921" s="60"/>
      <c r="AO921" s="137" t="e">
        <f t="shared" si="112"/>
        <v>#N/A</v>
      </c>
      <c r="AP921" s="138" t="e">
        <f t="shared" si="113"/>
        <v>#N/A</v>
      </c>
      <c r="AQ921" s="138" t="e">
        <f t="shared" si="114"/>
        <v>#N/A</v>
      </c>
      <c r="AR921" s="138" t="e">
        <f t="shared" si="115"/>
        <v>#N/A</v>
      </c>
      <c r="AS921" s="138" t="e">
        <f t="shared" si="116"/>
        <v>#N/A</v>
      </c>
      <c r="AT921" s="139" t="e">
        <f t="shared" si="117"/>
        <v>#N/A</v>
      </c>
    </row>
    <row r="922" spans="1:46" ht="54" customHeight="1">
      <c r="A922" s="428">
        <f t="shared" si="111"/>
        <v>914</v>
      </c>
      <c r="B922" s="403"/>
      <c r="C922" s="404"/>
      <c r="D922" s="405"/>
      <c r="E922" s="405"/>
      <c r="F922" s="405"/>
      <c r="G922" s="405"/>
      <c r="H922" s="406"/>
      <c r="I922" s="407"/>
      <c r="J922" s="408"/>
      <c r="K922" s="409"/>
      <c r="L922" s="410"/>
      <c r="M922" s="404"/>
      <c r="N922" s="411" t="str">
        <f>IF($AI922&lt;&gt;"",Master!$N$37,IF($AC922&lt;&gt;"",Master!$N$38,IF($S922&lt;&gt;"",Master!$N$39,IF($C922&lt;&gt;"",Master!$N$40,Master!$N$41))))</f>
        <v>起票</v>
      </c>
      <c r="O922" s="412" t="str">
        <f>IF($N922=Master!$N$37,MAX($S922,$AC922,$AI922),"")</f>
        <v/>
      </c>
      <c r="P922" s="413"/>
      <c r="Q922" s="414"/>
      <c r="R922" s="409"/>
      <c r="S922" s="404"/>
      <c r="T922" s="418"/>
      <c r="U922" s="415"/>
      <c r="V922" s="409"/>
      <c r="W922" s="419"/>
      <c r="X922" s="419"/>
      <c r="Y922" s="416"/>
      <c r="Z922" s="417"/>
      <c r="AA922" s="418"/>
      <c r="AB922" s="419"/>
      <c r="AC922" s="404"/>
      <c r="AD922" s="404"/>
      <c r="AE922" s="420"/>
      <c r="AF922" s="421"/>
      <c r="AG922" s="418"/>
      <c r="AH922" s="409"/>
      <c r="AI922" s="404"/>
      <c r="AJ922" s="416"/>
      <c r="AK922" s="453"/>
      <c r="AL922" s="422"/>
      <c r="AM922" s="423"/>
      <c r="AO922" s="137" t="e">
        <f t="shared" si="112"/>
        <v>#N/A</v>
      </c>
      <c r="AP922" s="138" t="e">
        <f t="shared" si="113"/>
        <v>#N/A</v>
      </c>
      <c r="AQ922" s="138" t="e">
        <f t="shared" si="114"/>
        <v>#N/A</v>
      </c>
      <c r="AR922" s="138" t="e">
        <f t="shared" si="115"/>
        <v>#N/A</v>
      </c>
      <c r="AS922" s="138" t="e">
        <f t="shared" si="116"/>
        <v>#N/A</v>
      </c>
      <c r="AT922" s="139" t="e">
        <f t="shared" si="117"/>
        <v>#N/A</v>
      </c>
    </row>
    <row r="923" spans="1:46" ht="54" customHeight="1">
      <c r="A923" s="428">
        <f t="shared" si="111"/>
        <v>915</v>
      </c>
      <c r="B923" s="403"/>
      <c r="C923" s="404"/>
      <c r="D923" s="405"/>
      <c r="E923" s="405"/>
      <c r="F923" s="405"/>
      <c r="G923" s="405"/>
      <c r="H923" s="406"/>
      <c r="I923" s="407"/>
      <c r="J923" s="408"/>
      <c r="K923" s="409"/>
      <c r="L923" s="410"/>
      <c r="M923" s="404"/>
      <c r="N923" s="411" t="str">
        <f>IF($AI923&lt;&gt;"",Master!$N$37,IF($AC923&lt;&gt;"",Master!$N$38,IF($S923&lt;&gt;"",Master!$N$39,IF($C923&lt;&gt;"",Master!$N$40,Master!$N$41))))</f>
        <v>起票</v>
      </c>
      <c r="O923" s="412" t="str">
        <f>IF($N923=Master!$N$37,MAX($S923,$AC923,$AI923),"")</f>
        <v/>
      </c>
      <c r="P923" s="413"/>
      <c r="Q923" s="414"/>
      <c r="R923" s="409"/>
      <c r="S923" s="404"/>
      <c r="T923" s="418"/>
      <c r="U923" s="415"/>
      <c r="V923" s="409"/>
      <c r="W923" s="419"/>
      <c r="X923" s="419"/>
      <c r="Y923" s="416"/>
      <c r="Z923" s="417"/>
      <c r="AA923" s="418"/>
      <c r="AB923" s="419"/>
      <c r="AC923" s="404"/>
      <c r="AD923" s="404"/>
      <c r="AE923" s="420"/>
      <c r="AF923" s="421"/>
      <c r="AG923" s="418"/>
      <c r="AH923" s="409"/>
      <c r="AI923" s="404"/>
      <c r="AJ923" s="416"/>
      <c r="AK923" s="453"/>
      <c r="AL923" s="422"/>
      <c r="AM923" s="423"/>
      <c r="AO923" s="137" t="e">
        <f t="shared" si="112"/>
        <v>#N/A</v>
      </c>
      <c r="AP923" s="138" t="e">
        <f t="shared" si="113"/>
        <v>#N/A</v>
      </c>
      <c r="AQ923" s="138" t="e">
        <f t="shared" si="114"/>
        <v>#N/A</v>
      </c>
      <c r="AR923" s="138" t="e">
        <f t="shared" si="115"/>
        <v>#N/A</v>
      </c>
      <c r="AS923" s="138" t="e">
        <f t="shared" si="116"/>
        <v>#N/A</v>
      </c>
      <c r="AT923" s="139" t="e">
        <f t="shared" si="117"/>
        <v>#N/A</v>
      </c>
    </row>
    <row r="924" spans="1:46" ht="54" customHeight="1">
      <c r="A924" s="428">
        <f t="shared" si="111"/>
        <v>916</v>
      </c>
      <c r="B924" s="403"/>
      <c r="C924" s="404"/>
      <c r="D924" s="405"/>
      <c r="E924" s="405"/>
      <c r="F924" s="405"/>
      <c r="G924" s="405"/>
      <c r="H924" s="406"/>
      <c r="I924" s="407"/>
      <c r="J924" s="408"/>
      <c r="K924" s="409"/>
      <c r="L924" s="410"/>
      <c r="M924" s="404"/>
      <c r="N924" s="411" t="str">
        <f>IF($AI924&lt;&gt;"",Master!$N$37,IF($AC924&lt;&gt;"",Master!$N$38,IF($S924&lt;&gt;"",Master!$N$39,IF($C924&lt;&gt;"",Master!$N$40,Master!$N$41))))</f>
        <v>起票</v>
      </c>
      <c r="O924" s="412" t="str">
        <f>IF($N924=Master!$N$37,MAX($S924,$AC924,$AI924),"")</f>
        <v/>
      </c>
      <c r="P924" s="413"/>
      <c r="Q924" s="414"/>
      <c r="R924" s="409"/>
      <c r="S924" s="404"/>
      <c r="T924" s="418"/>
      <c r="U924" s="415"/>
      <c r="V924" s="409"/>
      <c r="W924" s="419"/>
      <c r="X924" s="419"/>
      <c r="Y924" s="416"/>
      <c r="Z924" s="417"/>
      <c r="AA924" s="418"/>
      <c r="AB924" s="419"/>
      <c r="AC924" s="404"/>
      <c r="AD924" s="404"/>
      <c r="AE924" s="420"/>
      <c r="AF924" s="421"/>
      <c r="AG924" s="418"/>
      <c r="AH924" s="409"/>
      <c r="AI924" s="404"/>
      <c r="AJ924" s="416"/>
      <c r="AK924" s="453"/>
      <c r="AL924" s="422"/>
      <c r="AM924" s="423"/>
      <c r="AO924" s="137" t="e">
        <f t="shared" si="112"/>
        <v>#N/A</v>
      </c>
      <c r="AP924" s="138" t="e">
        <f t="shared" si="113"/>
        <v>#N/A</v>
      </c>
      <c r="AQ924" s="138" t="e">
        <f t="shared" si="114"/>
        <v>#N/A</v>
      </c>
      <c r="AR924" s="138" t="e">
        <f t="shared" si="115"/>
        <v>#N/A</v>
      </c>
      <c r="AS924" s="138" t="e">
        <f t="shared" si="116"/>
        <v>#N/A</v>
      </c>
      <c r="AT924" s="139" t="e">
        <f t="shared" si="117"/>
        <v>#N/A</v>
      </c>
    </row>
    <row r="925" spans="1:46" ht="54" customHeight="1">
      <c r="A925" s="428">
        <f t="shared" si="111"/>
        <v>917</v>
      </c>
      <c r="B925" s="294"/>
      <c r="C925" s="201"/>
      <c r="D925" s="290"/>
      <c r="E925" s="301"/>
      <c r="F925" s="301"/>
      <c r="G925" s="290"/>
      <c r="H925" s="291"/>
      <c r="I925" s="292"/>
      <c r="J925" s="61"/>
      <c r="K925" s="57"/>
      <c r="L925" s="303"/>
      <c r="M925" s="201"/>
      <c r="N925" s="84" t="str">
        <f>IF($AI925&lt;&gt;"",Master!$N$37,IF($AC925&lt;&gt;"",Master!$N$38,IF($S925&lt;&gt;"",Master!$N$39,IF($C925&lt;&gt;"",Master!$N$40,Master!$N$41))))</f>
        <v>起票</v>
      </c>
      <c r="O925" s="202" t="str">
        <f>IF($N925=Master!$N$37,MAX($S925,$AC925,$AI925),"")</f>
        <v/>
      </c>
      <c r="P925" s="65"/>
      <c r="Q925" s="203"/>
      <c r="R925" s="57"/>
      <c r="S925" s="203"/>
      <c r="T925" s="310"/>
      <c r="U925" s="289"/>
      <c r="V925" s="57"/>
      <c r="W925" s="288"/>
      <c r="X925" s="288"/>
      <c r="Y925" s="296"/>
      <c r="Z925" s="57"/>
      <c r="AA925" s="203"/>
      <c r="AB925" s="288"/>
      <c r="AC925" s="201"/>
      <c r="AD925" s="298"/>
      <c r="AE925" s="297"/>
      <c r="AF925" s="58"/>
      <c r="AG925" s="204"/>
      <c r="AH925" s="57"/>
      <c r="AI925" s="201"/>
      <c r="AJ925" s="287"/>
      <c r="AK925" s="452"/>
      <c r="AL925" s="59"/>
      <c r="AM925" s="60"/>
      <c r="AO925" s="137" t="e">
        <f t="shared" si="77"/>
        <v>#N/A</v>
      </c>
      <c r="AP925" s="138" t="e">
        <f t="shared" si="78"/>
        <v>#N/A</v>
      </c>
      <c r="AQ925" s="138" t="e">
        <f t="shared" si="79"/>
        <v>#N/A</v>
      </c>
      <c r="AR925" s="138" t="e">
        <f t="shared" si="80"/>
        <v>#N/A</v>
      </c>
      <c r="AS925" s="138" t="e">
        <f t="shared" si="81"/>
        <v>#N/A</v>
      </c>
      <c r="AT925" s="139" t="e">
        <f t="shared" si="82"/>
        <v>#N/A</v>
      </c>
    </row>
    <row r="926" spans="1:46" ht="54" customHeight="1">
      <c r="A926" s="428">
        <f t="shared" si="111"/>
        <v>918</v>
      </c>
      <c r="B926" s="294"/>
      <c r="C926" s="201"/>
      <c r="D926" s="290"/>
      <c r="E926" s="301"/>
      <c r="F926" s="301"/>
      <c r="G926" s="290"/>
      <c r="H926" s="291"/>
      <c r="I926" s="292"/>
      <c r="J926" s="61"/>
      <c r="K926" s="57"/>
      <c r="L926" s="303"/>
      <c r="M926" s="201"/>
      <c r="N926" s="84" t="str">
        <f>IF($AI926&lt;&gt;"",Master!$N$37,IF($AC926&lt;&gt;"",Master!$N$38,IF($S926&lt;&gt;"",Master!$N$39,IF($C926&lt;&gt;"",Master!$N$40,Master!$N$41))))</f>
        <v>起票</v>
      </c>
      <c r="O926" s="202" t="str">
        <f>IF($N926=Master!$N$37,MAX($S926,$AC926,$AI926),"")</f>
        <v/>
      </c>
      <c r="P926" s="65"/>
      <c r="Q926" s="203"/>
      <c r="R926" s="57"/>
      <c r="S926" s="203"/>
      <c r="T926" s="310"/>
      <c r="U926" s="289"/>
      <c r="V926" s="57"/>
      <c r="W926" s="288"/>
      <c r="X926" s="288"/>
      <c r="Y926" s="296"/>
      <c r="Z926" s="57"/>
      <c r="AA926" s="203"/>
      <c r="AB926" s="288"/>
      <c r="AC926" s="201"/>
      <c r="AD926" s="298"/>
      <c r="AE926" s="297"/>
      <c r="AF926" s="58"/>
      <c r="AG926" s="204"/>
      <c r="AH926" s="57"/>
      <c r="AI926" s="201"/>
      <c r="AJ926" s="287"/>
      <c r="AK926" s="452"/>
      <c r="AL926" s="59"/>
      <c r="AM926" s="60"/>
      <c r="AO926" s="137" t="e">
        <f t="shared" si="77"/>
        <v>#N/A</v>
      </c>
      <c r="AP926" s="138" t="e">
        <f t="shared" si="78"/>
        <v>#N/A</v>
      </c>
      <c r="AQ926" s="138" t="e">
        <f t="shared" si="79"/>
        <v>#N/A</v>
      </c>
      <c r="AR926" s="138" t="e">
        <f t="shared" si="80"/>
        <v>#N/A</v>
      </c>
      <c r="AS926" s="138" t="e">
        <f t="shared" si="81"/>
        <v>#N/A</v>
      </c>
      <c r="AT926" s="139" t="e">
        <f t="shared" si="82"/>
        <v>#N/A</v>
      </c>
    </row>
    <row r="927" spans="1:46" ht="54" customHeight="1">
      <c r="A927" s="428">
        <f t="shared" si="111"/>
        <v>919</v>
      </c>
      <c r="B927" s="403"/>
      <c r="C927" s="404"/>
      <c r="D927" s="405"/>
      <c r="E927" s="405"/>
      <c r="F927" s="405"/>
      <c r="G927" s="405"/>
      <c r="H927" s="406"/>
      <c r="I927" s="407"/>
      <c r="J927" s="408"/>
      <c r="K927" s="409"/>
      <c r="L927" s="410"/>
      <c r="M927" s="404"/>
      <c r="N927" s="411" t="str">
        <f>IF($AI927&lt;&gt;"",Master!$N$37,IF($AC927&lt;&gt;"",Master!$N$38,IF($S927&lt;&gt;"",Master!$N$39,IF($C927&lt;&gt;"",Master!$N$40,Master!$N$41))))</f>
        <v>起票</v>
      </c>
      <c r="O927" s="412" t="str">
        <f>IF($N927=Master!$N$37,MAX($S927,$AC927,$AI927),"")</f>
        <v/>
      </c>
      <c r="P927" s="413"/>
      <c r="Q927" s="414"/>
      <c r="R927" s="409"/>
      <c r="S927" s="404"/>
      <c r="T927" s="418"/>
      <c r="U927" s="415"/>
      <c r="V927" s="409"/>
      <c r="W927" s="419"/>
      <c r="X927" s="419"/>
      <c r="Y927" s="416"/>
      <c r="Z927" s="417"/>
      <c r="AA927" s="418"/>
      <c r="AB927" s="419"/>
      <c r="AC927" s="404"/>
      <c r="AD927" s="404"/>
      <c r="AE927" s="420"/>
      <c r="AF927" s="421"/>
      <c r="AG927" s="418"/>
      <c r="AH927" s="409"/>
      <c r="AI927" s="404"/>
      <c r="AJ927" s="416"/>
      <c r="AK927" s="453"/>
      <c r="AL927" s="422"/>
      <c r="AM927" s="423"/>
      <c r="AO927" s="137" t="e">
        <f t="shared" si="77"/>
        <v>#N/A</v>
      </c>
      <c r="AP927" s="138" t="e">
        <f t="shared" si="78"/>
        <v>#N/A</v>
      </c>
      <c r="AQ927" s="138" t="e">
        <f t="shared" si="79"/>
        <v>#N/A</v>
      </c>
      <c r="AR927" s="138" t="e">
        <f t="shared" si="80"/>
        <v>#N/A</v>
      </c>
      <c r="AS927" s="138" t="e">
        <f t="shared" si="81"/>
        <v>#N/A</v>
      </c>
      <c r="AT927" s="139" t="e">
        <f t="shared" si="82"/>
        <v>#N/A</v>
      </c>
    </row>
    <row r="928" spans="1:46" ht="54" customHeight="1">
      <c r="A928" s="428">
        <f t="shared" si="111"/>
        <v>920</v>
      </c>
      <c r="B928" s="403"/>
      <c r="C928" s="404"/>
      <c r="D928" s="405"/>
      <c r="E928" s="405"/>
      <c r="F928" s="405"/>
      <c r="G928" s="405"/>
      <c r="H928" s="406"/>
      <c r="I928" s="407"/>
      <c r="J928" s="408"/>
      <c r="K928" s="409"/>
      <c r="L928" s="410"/>
      <c r="M928" s="404"/>
      <c r="N928" s="411" t="str">
        <f>IF($AI928&lt;&gt;"",Master!$N$37,IF($AC928&lt;&gt;"",Master!$N$38,IF($S928&lt;&gt;"",Master!$N$39,IF($C928&lt;&gt;"",Master!$N$40,Master!$N$41))))</f>
        <v>起票</v>
      </c>
      <c r="O928" s="412" t="str">
        <f>IF($N928=Master!$N$37,MAX($S928,$AC928,$AI928),"")</f>
        <v/>
      </c>
      <c r="P928" s="413"/>
      <c r="Q928" s="414"/>
      <c r="R928" s="409"/>
      <c r="S928" s="404"/>
      <c r="T928" s="418"/>
      <c r="U928" s="415"/>
      <c r="V928" s="409"/>
      <c r="W928" s="419"/>
      <c r="X928" s="419"/>
      <c r="Y928" s="416"/>
      <c r="Z928" s="417"/>
      <c r="AA928" s="418"/>
      <c r="AB928" s="419"/>
      <c r="AC928" s="404"/>
      <c r="AD928" s="404"/>
      <c r="AE928" s="420"/>
      <c r="AF928" s="421"/>
      <c r="AG928" s="418"/>
      <c r="AH928" s="409"/>
      <c r="AI928" s="404"/>
      <c r="AJ928" s="416"/>
      <c r="AK928" s="453"/>
      <c r="AL928" s="422"/>
      <c r="AM928" s="423"/>
      <c r="AO928" s="137" t="e">
        <f t="shared" si="77"/>
        <v>#N/A</v>
      </c>
      <c r="AP928" s="138" t="e">
        <f t="shared" si="78"/>
        <v>#N/A</v>
      </c>
      <c r="AQ928" s="138" t="e">
        <f t="shared" si="79"/>
        <v>#N/A</v>
      </c>
      <c r="AR928" s="138" t="e">
        <f t="shared" si="80"/>
        <v>#N/A</v>
      </c>
      <c r="AS928" s="138" t="e">
        <f t="shared" si="81"/>
        <v>#N/A</v>
      </c>
      <c r="AT928" s="139" t="e">
        <f t="shared" si="82"/>
        <v>#N/A</v>
      </c>
    </row>
    <row r="929" spans="1:46" ht="54" customHeight="1">
      <c r="A929" s="428">
        <f t="shared" si="111"/>
        <v>921</v>
      </c>
      <c r="B929" s="403"/>
      <c r="C929" s="404"/>
      <c r="D929" s="405"/>
      <c r="E929" s="405"/>
      <c r="F929" s="405"/>
      <c r="G929" s="405"/>
      <c r="H929" s="406"/>
      <c r="I929" s="407"/>
      <c r="J929" s="408"/>
      <c r="K929" s="409"/>
      <c r="L929" s="410"/>
      <c r="M929" s="404"/>
      <c r="N929" s="411" t="str">
        <f>IF($AI929&lt;&gt;"",Master!$N$37,IF($AC929&lt;&gt;"",Master!$N$38,IF($S929&lt;&gt;"",Master!$N$39,IF($C929&lt;&gt;"",Master!$N$40,Master!$N$41))))</f>
        <v>起票</v>
      </c>
      <c r="O929" s="412" t="str">
        <f>IF($N929=Master!$N$37,MAX($S929,$AC929,$AI929),"")</f>
        <v/>
      </c>
      <c r="P929" s="413"/>
      <c r="Q929" s="414"/>
      <c r="R929" s="409"/>
      <c r="S929" s="404"/>
      <c r="T929" s="418"/>
      <c r="U929" s="415"/>
      <c r="V929" s="409"/>
      <c r="W929" s="419"/>
      <c r="X929" s="419"/>
      <c r="Y929" s="416"/>
      <c r="Z929" s="417"/>
      <c r="AA929" s="418"/>
      <c r="AB929" s="419"/>
      <c r="AC929" s="404"/>
      <c r="AD929" s="404"/>
      <c r="AE929" s="420"/>
      <c r="AF929" s="421"/>
      <c r="AG929" s="418"/>
      <c r="AH929" s="409"/>
      <c r="AI929" s="404"/>
      <c r="AJ929" s="416"/>
      <c r="AK929" s="453"/>
      <c r="AL929" s="422"/>
      <c r="AM929" s="423"/>
      <c r="AO929" s="137" t="e">
        <f t="shared" si="77"/>
        <v>#N/A</v>
      </c>
      <c r="AP929" s="138" t="e">
        <f t="shared" si="78"/>
        <v>#N/A</v>
      </c>
      <c r="AQ929" s="138" t="e">
        <f t="shared" si="79"/>
        <v>#N/A</v>
      </c>
      <c r="AR929" s="138" t="e">
        <f t="shared" si="80"/>
        <v>#N/A</v>
      </c>
      <c r="AS929" s="138" t="e">
        <f t="shared" si="81"/>
        <v>#N/A</v>
      </c>
      <c r="AT929" s="139" t="e">
        <f t="shared" si="82"/>
        <v>#N/A</v>
      </c>
    </row>
    <row r="930" spans="1:46" ht="54" customHeight="1">
      <c r="A930" s="428">
        <f t="shared" si="111"/>
        <v>922</v>
      </c>
      <c r="B930" s="294"/>
      <c r="C930" s="201"/>
      <c r="D930" s="290"/>
      <c r="E930" s="301"/>
      <c r="F930" s="301"/>
      <c r="G930" s="290"/>
      <c r="H930" s="291"/>
      <c r="I930" s="292"/>
      <c r="J930" s="61"/>
      <c r="K930" s="57"/>
      <c r="L930" s="303"/>
      <c r="M930" s="201"/>
      <c r="N930" s="84" t="str">
        <f>IF($AI930&lt;&gt;"",Master!$N$37,IF($AC930&lt;&gt;"",Master!$N$38,IF($S930&lt;&gt;"",Master!$N$39,IF($C930&lt;&gt;"",Master!$N$40,Master!$N$41))))</f>
        <v>起票</v>
      </c>
      <c r="O930" s="202" t="str">
        <f>IF($N930=Master!$N$37,MAX($S930,$AC930,$AI930),"")</f>
        <v/>
      </c>
      <c r="P930" s="65"/>
      <c r="Q930" s="203"/>
      <c r="R930" s="57"/>
      <c r="S930" s="203"/>
      <c r="T930" s="310"/>
      <c r="U930" s="289"/>
      <c r="V930" s="57"/>
      <c r="W930" s="288"/>
      <c r="X930" s="288"/>
      <c r="Y930" s="296"/>
      <c r="Z930" s="57"/>
      <c r="AA930" s="203"/>
      <c r="AB930" s="288"/>
      <c r="AC930" s="201"/>
      <c r="AD930" s="298"/>
      <c r="AE930" s="297"/>
      <c r="AF930" s="58"/>
      <c r="AG930" s="204"/>
      <c r="AH930" s="57"/>
      <c r="AI930" s="201"/>
      <c r="AJ930" s="287"/>
      <c r="AK930" s="452"/>
      <c r="AL930" s="59"/>
      <c r="AM930" s="60"/>
      <c r="AO930" s="137" t="e">
        <f t="shared" si="77"/>
        <v>#N/A</v>
      </c>
      <c r="AP930" s="138" t="e">
        <f t="shared" si="78"/>
        <v>#N/A</v>
      </c>
      <c r="AQ930" s="138" t="e">
        <f t="shared" si="79"/>
        <v>#N/A</v>
      </c>
      <c r="AR930" s="138" t="e">
        <f t="shared" si="80"/>
        <v>#N/A</v>
      </c>
      <c r="AS930" s="138" t="e">
        <f t="shared" si="81"/>
        <v>#N/A</v>
      </c>
      <c r="AT930" s="139" t="e">
        <f t="shared" si="82"/>
        <v>#N/A</v>
      </c>
    </row>
    <row r="931" spans="1:46" ht="54" customHeight="1">
      <c r="A931" s="428">
        <f t="shared" si="111"/>
        <v>923</v>
      </c>
      <c r="B931" s="294"/>
      <c r="C931" s="201"/>
      <c r="D931" s="290"/>
      <c r="E931" s="301"/>
      <c r="F931" s="301"/>
      <c r="G931" s="290"/>
      <c r="H931" s="291"/>
      <c r="I931" s="292"/>
      <c r="J931" s="61"/>
      <c r="K931" s="57"/>
      <c r="L931" s="303"/>
      <c r="M931" s="201"/>
      <c r="N931" s="84" t="str">
        <f>IF($AI931&lt;&gt;"",Master!$N$37,IF($AC931&lt;&gt;"",Master!$N$38,IF($S931&lt;&gt;"",Master!$N$39,IF($C931&lt;&gt;"",Master!$N$40,Master!$N$41))))</f>
        <v>起票</v>
      </c>
      <c r="O931" s="202" t="str">
        <f>IF($N931=Master!$N$37,MAX($S931,$AC931,$AI931),"")</f>
        <v/>
      </c>
      <c r="P931" s="65"/>
      <c r="Q931" s="203"/>
      <c r="R931" s="57"/>
      <c r="S931" s="203"/>
      <c r="T931" s="310"/>
      <c r="U931" s="289"/>
      <c r="V931" s="57"/>
      <c r="W931" s="288"/>
      <c r="X931" s="288"/>
      <c r="Y931" s="296"/>
      <c r="Z931" s="57"/>
      <c r="AA931" s="203"/>
      <c r="AB931" s="288"/>
      <c r="AC931" s="201"/>
      <c r="AD931" s="298"/>
      <c r="AE931" s="297"/>
      <c r="AF931" s="58"/>
      <c r="AG931" s="204"/>
      <c r="AH931" s="57"/>
      <c r="AI931" s="201"/>
      <c r="AJ931" s="287"/>
      <c r="AK931" s="452"/>
      <c r="AL931" s="59"/>
      <c r="AM931" s="60"/>
      <c r="AO931" s="137" t="e">
        <f t="shared" si="77"/>
        <v>#N/A</v>
      </c>
      <c r="AP931" s="138" t="e">
        <f t="shared" si="78"/>
        <v>#N/A</v>
      </c>
      <c r="AQ931" s="138" t="e">
        <f t="shared" si="79"/>
        <v>#N/A</v>
      </c>
      <c r="AR931" s="138" t="e">
        <f t="shared" si="80"/>
        <v>#N/A</v>
      </c>
      <c r="AS931" s="138" t="e">
        <f t="shared" si="81"/>
        <v>#N/A</v>
      </c>
      <c r="AT931" s="139" t="e">
        <f t="shared" si="82"/>
        <v>#N/A</v>
      </c>
    </row>
    <row r="932" spans="1:46" ht="54" customHeight="1">
      <c r="A932" s="428">
        <f t="shared" si="111"/>
        <v>924</v>
      </c>
      <c r="B932" s="403"/>
      <c r="C932" s="404"/>
      <c r="D932" s="405"/>
      <c r="E932" s="405"/>
      <c r="F932" s="405"/>
      <c r="G932" s="405"/>
      <c r="H932" s="406"/>
      <c r="I932" s="407"/>
      <c r="J932" s="408"/>
      <c r="K932" s="409"/>
      <c r="L932" s="410"/>
      <c r="M932" s="404"/>
      <c r="N932" s="411" t="str">
        <f>IF($AI932&lt;&gt;"",Master!$N$37,IF($AC932&lt;&gt;"",Master!$N$38,IF($S932&lt;&gt;"",Master!$N$39,IF($C932&lt;&gt;"",Master!$N$40,Master!$N$41))))</f>
        <v>起票</v>
      </c>
      <c r="O932" s="412" t="str">
        <f>IF($N932=Master!$N$37,MAX($S932,$AC932,$AI932),"")</f>
        <v/>
      </c>
      <c r="P932" s="413"/>
      <c r="Q932" s="414"/>
      <c r="R932" s="409"/>
      <c r="S932" s="404"/>
      <c r="T932" s="418"/>
      <c r="U932" s="415"/>
      <c r="V932" s="409"/>
      <c r="W932" s="419"/>
      <c r="X932" s="419"/>
      <c r="Y932" s="416"/>
      <c r="Z932" s="417"/>
      <c r="AA932" s="418"/>
      <c r="AB932" s="419"/>
      <c r="AC932" s="404"/>
      <c r="AD932" s="404"/>
      <c r="AE932" s="420"/>
      <c r="AF932" s="421"/>
      <c r="AG932" s="418"/>
      <c r="AH932" s="409"/>
      <c r="AI932" s="404"/>
      <c r="AJ932" s="416"/>
      <c r="AK932" s="453"/>
      <c r="AL932" s="422"/>
      <c r="AM932" s="423"/>
      <c r="AO932" s="137" t="e">
        <f t="shared" si="77"/>
        <v>#N/A</v>
      </c>
      <c r="AP932" s="138" t="e">
        <f t="shared" si="78"/>
        <v>#N/A</v>
      </c>
      <c r="AQ932" s="138" t="e">
        <f t="shared" si="79"/>
        <v>#N/A</v>
      </c>
      <c r="AR932" s="138" t="e">
        <f t="shared" si="80"/>
        <v>#N/A</v>
      </c>
      <c r="AS932" s="138" t="e">
        <f t="shared" si="81"/>
        <v>#N/A</v>
      </c>
      <c r="AT932" s="139" t="e">
        <f t="shared" si="82"/>
        <v>#N/A</v>
      </c>
    </row>
    <row r="933" spans="1:46" ht="54" customHeight="1">
      <c r="A933" s="428">
        <f t="shared" si="111"/>
        <v>925</v>
      </c>
      <c r="B933" s="403"/>
      <c r="C933" s="404"/>
      <c r="D933" s="405"/>
      <c r="E933" s="405"/>
      <c r="F933" s="405"/>
      <c r="G933" s="405"/>
      <c r="H933" s="406"/>
      <c r="I933" s="407"/>
      <c r="J933" s="408"/>
      <c r="K933" s="409"/>
      <c r="L933" s="410"/>
      <c r="M933" s="404"/>
      <c r="N933" s="411" t="str">
        <f>IF($AI933&lt;&gt;"",Master!$N$37,IF($AC933&lt;&gt;"",Master!$N$38,IF($S933&lt;&gt;"",Master!$N$39,IF($C933&lt;&gt;"",Master!$N$40,Master!$N$41))))</f>
        <v>起票</v>
      </c>
      <c r="O933" s="412" t="str">
        <f>IF($N933=Master!$N$37,MAX($S933,$AC933,$AI933),"")</f>
        <v/>
      </c>
      <c r="P933" s="413"/>
      <c r="Q933" s="414"/>
      <c r="R933" s="409"/>
      <c r="S933" s="404"/>
      <c r="T933" s="418"/>
      <c r="U933" s="415"/>
      <c r="V933" s="409"/>
      <c r="W933" s="419"/>
      <c r="X933" s="419"/>
      <c r="Y933" s="416"/>
      <c r="Z933" s="417"/>
      <c r="AA933" s="418"/>
      <c r="AB933" s="419"/>
      <c r="AC933" s="404"/>
      <c r="AD933" s="404"/>
      <c r="AE933" s="420"/>
      <c r="AF933" s="421"/>
      <c r="AG933" s="418"/>
      <c r="AH933" s="409"/>
      <c r="AI933" s="404"/>
      <c r="AJ933" s="416"/>
      <c r="AK933" s="453"/>
      <c r="AL933" s="422"/>
      <c r="AM933" s="423"/>
      <c r="AO933" s="137" t="e">
        <f t="shared" si="77"/>
        <v>#N/A</v>
      </c>
      <c r="AP933" s="138" t="e">
        <f t="shared" si="78"/>
        <v>#N/A</v>
      </c>
      <c r="AQ933" s="138" t="e">
        <f t="shared" si="79"/>
        <v>#N/A</v>
      </c>
      <c r="AR933" s="138" t="e">
        <f t="shared" si="80"/>
        <v>#N/A</v>
      </c>
      <c r="AS933" s="138" t="e">
        <f t="shared" si="81"/>
        <v>#N/A</v>
      </c>
      <c r="AT933" s="139" t="e">
        <f t="shared" si="82"/>
        <v>#N/A</v>
      </c>
    </row>
    <row r="934" spans="1:46" ht="54" customHeight="1">
      <c r="A934" s="428">
        <f t="shared" si="111"/>
        <v>926</v>
      </c>
      <c r="B934" s="403"/>
      <c r="C934" s="404"/>
      <c r="D934" s="405"/>
      <c r="E934" s="405"/>
      <c r="F934" s="405"/>
      <c r="G934" s="405"/>
      <c r="H934" s="406"/>
      <c r="I934" s="407"/>
      <c r="J934" s="408"/>
      <c r="K934" s="409"/>
      <c r="L934" s="410"/>
      <c r="M934" s="404"/>
      <c r="N934" s="411" t="str">
        <f>IF($AI934&lt;&gt;"",Master!$N$37,IF($AC934&lt;&gt;"",Master!$N$38,IF($S934&lt;&gt;"",Master!$N$39,IF($C934&lt;&gt;"",Master!$N$40,Master!$N$41))))</f>
        <v>起票</v>
      </c>
      <c r="O934" s="412" t="str">
        <f>IF($N934=Master!$N$37,MAX($S934,$AC934,$AI934),"")</f>
        <v/>
      </c>
      <c r="P934" s="413"/>
      <c r="Q934" s="414"/>
      <c r="R934" s="409"/>
      <c r="S934" s="404"/>
      <c r="T934" s="418"/>
      <c r="U934" s="415"/>
      <c r="V934" s="409"/>
      <c r="W934" s="419"/>
      <c r="X934" s="419"/>
      <c r="Y934" s="416"/>
      <c r="Z934" s="417"/>
      <c r="AA934" s="418"/>
      <c r="AB934" s="419"/>
      <c r="AC934" s="404"/>
      <c r="AD934" s="404"/>
      <c r="AE934" s="420"/>
      <c r="AF934" s="421"/>
      <c r="AG934" s="418"/>
      <c r="AH934" s="409"/>
      <c r="AI934" s="404"/>
      <c r="AJ934" s="416"/>
      <c r="AK934" s="453"/>
      <c r="AL934" s="422"/>
      <c r="AM934" s="423"/>
      <c r="AO934" s="137" t="e">
        <f t="shared" si="77"/>
        <v>#N/A</v>
      </c>
      <c r="AP934" s="138" t="e">
        <f t="shared" si="78"/>
        <v>#N/A</v>
      </c>
      <c r="AQ934" s="138" t="e">
        <f t="shared" si="79"/>
        <v>#N/A</v>
      </c>
      <c r="AR934" s="138" t="e">
        <f t="shared" si="80"/>
        <v>#N/A</v>
      </c>
      <c r="AS934" s="138" t="e">
        <f t="shared" si="81"/>
        <v>#N/A</v>
      </c>
      <c r="AT934" s="139" t="e">
        <f t="shared" si="82"/>
        <v>#N/A</v>
      </c>
    </row>
    <row r="935" spans="1:46" ht="54" customHeight="1">
      <c r="A935" s="428">
        <f t="shared" si="111"/>
        <v>927</v>
      </c>
      <c r="B935" s="294"/>
      <c r="C935" s="201"/>
      <c r="D935" s="290"/>
      <c r="E935" s="301"/>
      <c r="F935" s="301"/>
      <c r="G935" s="290"/>
      <c r="H935" s="291"/>
      <c r="I935" s="292"/>
      <c r="J935" s="61"/>
      <c r="K935" s="57"/>
      <c r="L935" s="303"/>
      <c r="M935" s="201"/>
      <c r="N935" s="84" t="str">
        <f>IF($AI935&lt;&gt;"",Master!$N$37,IF($AC935&lt;&gt;"",Master!$N$38,IF($S935&lt;&gt;"",Master!$N$39,IF($C935&lt;&gt;"",Master!$N$40,Master!$N$41))))</f>
        <v>起票</v>
      </c>
      <c r="O935" s="202" t="str">
        <f>IF($N935=Master!$N$37,MAX($S935,$AC935,$AI935),"")</f>
        <v/>
      </c>
      <c r="P935" s="65"/>
      <c r="Q935" s="203"/>
      <c r="R935" s="57"/>
      <c r="S935" s="203"/>
      <c r="T935" s="310"/>
      <c r="U935" s="289"/>
      <c r="V935" s="57"/>
      <c r="W935" s="288"/>
      <c r="X935" s="288"/>
      <c r="Y935" s="296"/>
      <c r="Z935" s="57"/>
      <c r="AA935" s="203"/>
      <c r="AB935" s="288"/>
      <c r="AC935" s="201"/>
      <c r="AD935" s="298"/>
      <c r="AE935" s="297"/>
      <c r="AF935" s="58"/>
      <c r="AG935" s="204"/>
      <c r="AH935" s="57"/>
      <c r="AI935" s="201"/>
      <c r="AJ935" s="287"/>
      <c r="AK935" s="452"/>
      <c r="AL935" s="59"/>
      <c r="AM935" s="60"/>
      <c r="AO935" s="137" t="e">
        <f t="shared" ref="AO935:AO944" si="118">IF(AND(C935&lt;&gt;"",C935&lt;=$AI$3),IF(E935="","",E935),NA())</f>
        <v>#N/A</v>
      </c>
      <c r="AP935" s="138" t="e">
        <f t="shared" ref="AP935:AP944" si="119">IF(AND(C935&lt;&gt;"",C935&lt;=$AI$3),IF(F935="","",F935),NA())</f>
        <v>#N/A</v>
      </c>
      <c r="AQ935" s="138" t="e">
        <f t="shared" ref="AQ935:AQ944" si="120">IF(AND(C935&lt;&gt;"",C935&lt;=$AI$3),IF(H935="","",H935),NA())</f>
        <v>#N/A</v>
      </c>
      <c r="AR935" s="138" t="e">
        <f t="shared" ref="AR935:AR944" si="121">IF(AND(C935&lt;&gt;"",C935&lt;=$AI$3),IF(U935="","",U935),NA())</f>
        <v>#N/A</v>
      </c>
      <c r="AS935" s="138" t="e">
        <f t="shared" ref="AS935:AS944" si="122">IF(AND(C935&lt;&gt;"",C935&lt;=$AI$3),IF(V935="","",V935),NA())</f>
        <v>#N/A</v>
      </c>
      <c r="AT935" s="139" t="e">
        <f t="shared" ref="AT935:AT944" si="123">IF(AND(C935&lt;&gt;"",C935&lt;=$AI$3),IF(AB935="","",AB935),NA())</f>
        <v>#N/A</v>
      </c>
    </row>
    <row r="936" spans="1:46" ht="54" customHeight="1">
      <c r="A936" s="428">
        <f t="shared" si="111"/>
        <v>928</v>
      </c>
      <c r="B936" s="294"/>
      <c r="C936" s="201"/>
      <c r="D936" s="290"/>
      <c r="E936" s="301"/>
      <c r="F936" s="301"/>
      <c r="G936" s="290"/>
      <c r="H936" s="291"/>
      <c r="I936" s="292"/>
      <c r="J936" s="61"/>
      <c r="K936" s="57"/>
      <c r="L936" s="303"/>
      <c r="M936" s="201"/>
      <c r="N936" s="84" t="str">
        <f>IF($AI936&lt;&gt;"",Master!$N$37,IF($AC936&lt;&gt;"",Master!$N$38,IF($S936&lt;&gt;"",Master!$N$39,IF($C936&lt;&gt;"",Master!$N$40,Master!$N$41))))</f>
        <v>起票</v>
      </c>
      <c r="O936" s="202" t="str">
        <f>IF($N936=Master!$N$37,MAX($S936,$AC936,$AI936),"")</f>
        <v/>
      </c>
      <c r="P936" s="65"/>
      <c r="Q936" s="203"/>
      <c r="R936" s="57"/>
      <c r="S936" s="203"/>
      <c r="T936" s="310"/>
      <c r="U936" s="289"/>
      <c r="V936" s="57"/>
      <c r="W936" s="288"/>
      <c r="X936" s="288"/>
      <c r="Y936" s="296"/>
      <c r="Z936" s="57"/>
      <c r="AA936" s="203"/>
      <c r="AB936" s="288"/>
      <c r="AC936" s="201"/>
      <c r="AD936" s="298"/>
      <c r="AE936" s="297"/>
      <c r="AF936" s="58"/>
      <c r="AG936" s="204"/>
      <c r="AH936" s="57"/>
      <c r="AI936" s="201"/>
      <c r="AJ936" s="287"/>
      <c r="AK936" s="452"/>
      <c r="AL936" s="59"/>
      <c r="AM936" s="60"/>
      <c r="AO936" s="137" t="e">
        <f t="shared" si="118"/>
        <v>#N/A</v>
      </c>
      <c r="AP936" s="138" t="e">
        <f t="shared" si="119"/>
        <v>#N/A</v>
      </c>
      <c r="AQ936" s="138" t="e">
        <f t="shared" si="120"/>
        <v>#N/A</v>
      </c>
      <c r="AR936" s="138" t="e">
        <f t="shared" si="121"/>
        <v>#N/A</v>
      </c>
      <c r="AS936" s="138" t="e">
        <f t="shared" si="122"/>
        <v>#N/A</v>
      </c>
      <c r="AT936" s="139" t="e">
        <f t="shared" si="123"/>
        <v>#N/A</v>
      </c>
    </row>
    <row r="937" spans="1:46" ht="54" customHeight="1">
      <c r="A937" s="428">
        <f t="shared" si="111"/>
        <v>929</v>
      </c>
      <c r="B937" s="403"/>
      <c r="C937" s="404"/>
      <c r="D937" s="405"/>
      <c r="E937" s="405"/>
      <c r="F937" s="405"/>
      <c r="G937" s="405"/>
      <c r="H937" s="406"/>
      <c r="I937" s="407"/>
      <c r="J937" s="408"/>
      <c r="K937" s="409"/>
      <c r="L937" s="410"/>
      <c r="M937" s="404"/>
      <c r="N937" s="411" t="str">
        <f>IF($AI937&lt;&gt;"",Master!$N$37,IF($AC937&lt;&gt;"",Master!$N$38,IF($S937&lt;&gt;"",Master!$N$39,IF($C937&lt;&gt;"",Master!$N$40,Master!$N$41))))</f>
        <v>起票</v>
      </c>
      <c r="O937" s="412" t="str">
        <f>IF($N937=Master!$N$37,MAX($S937,$AC937,$AI937),"")</f>
        <v/>
      </c>
      <c r="P937" s="413"/>
      <c r="Q937" s="414"/>
      <c r="R937" s="409"/>
      <c r="S937" s="404"/>
      <c r="T937" s="418"/>
      <c r="U937" s="415"/>
      <c r="V937" s="409"/>
      <c r="W937" s="419"/>
      <c r="X937" s="419"/>
      <c r="Y937" s="416"/>
      <c r="Z937" s="417"/>
      <c r="AA937" s="418"/>
      <c r="AB937" s="419"/>
      <c r="AC937" s="404"/>
      <c r="AD937" s="404"/>
      <c r="AE937" s="420"/>
      <c r="AF937" s="421"/>
      <c r="AG937" s="418"/>
      <c r="AH937" s="409"/>
      <c r="AI937" s="404"/>
      <c r="AJ937" s="416"/>
      <c r="AK937" s="453"/>
      <c r="AL937" s="422"/>
      <c r="AM937" s="423"/>
      <c r="AO937" s="137" t="e">
        <f t="shared" si="118"/>
        <v>#N/A</v>
      </c>
      <c r="AP937" s="138" t="e">
        <f t="shared" si="119"/>
        <v>#N/A</v>
      </c>
      <c r="AQ937" s="138" t="e">
        <f t="shared" si="120"/>
        <v>#N/A</v>
      </c>
      <c r="AR937" s="138" t="e">
        <f t="shared" si="121"/>
        <v>#N/A</v>
      </c>
      <c r="AS937" s="138" t="e">
        <f t="shared" si="122"/>
        <v>#N/A</v>
      </c>
      <c r="AT937" s="139" t="e">
        <f t="shared" si="123"/>
        <v>#N/A</v>
      </c>
    </row>
    <row r="938" spans="1:46" ht="54" customHeight="1">
      <c r="A938" s="428">
        <f t="shared" si="111"/>
        <v>930</v>
      </c>
      <c r="B938" s="403"/>
      <c r="C938" s="404"/>
      <c r="D938" s="405"/>
      <c r="E938" s="405"/>
      <c r="F938" s="405"/>
      <c r="G938" s="405"/>
      <c r="H938" s="406"/>
      <c r="I938" s="407"/>
      <c r="J938" s="408"/>
      <c r="K938" s="409"/>
      <c r="L938" s="410"/>
      <c r="M938" s="404"/>
      <c r="N938" s="411" t="str">
        <f>IF($AI938&lt;&gt;"",Master!$N$37,IF($AC938&lt;&gt;"",Master!$N$38,IF($S938&lt;&gt;"",Master!$N$39,IF($C938&lt;&gt;"",Master!$N$40,Master!$N$41))))</f>
        <v>起票</v>
      </c>
      <c r="O938" s="412" t="str">
        <f>IF($N938=Master!$N$37,MAX($S938,$AC938,$AI938),"")</f>
        <v/>
      </c>
      <c r="P938" s="413"/>
      <c r="Q938" s="414"/>
      <c r="R938" s="409"/>
      <c r="S938" s="404"/>
      <c r="T938" s="418"/>
      <c r="U938" s="415"/>
      <c r="V938" s="409"/>
      <c r="W938" s="419"/>
      <c r="X938" s="419"/>
      <c r="Y938" s="416"/>
      <c r="Z938" s="417"/>
      <c r="AA938" s="418"/>
      <c r="AB938" s="419"/>
      <c r="AC938" s="404"/>
      <c r="AD938" s="404"/>
      <c r="AE938" s="420"/>
      <c r="AF938" s="421"/>
      <c r="AG938" s="418"/>
      <c r="AH938" s="409"/>
      <c r="AI938" s="404"/>
      <c r="AJ938" s="416"/>
      <c r="AK938" s="453"/>
      <c r="AL938" s="422"/>
      <c r="AM938" s="423"/>
      <c r="AO938" s="137" t="e">
        <f t="shared" si="118"/>
        <v>#N/A</v>
      </c>
      <c r="AP938" s="138" t="e">
        <f t="shared" si="119"/>
        <v>#N/A</v>
      </c>
      <c r="AQ938" s="138" t="e">
        <f t="shared" si="120"/>
        <v>#N/A</v>
      </c>
      <c r="AR938" s="138" t="e">
        <f t="shared" si="121"/>
        <v>#N/A</v>
      </c>
      <c r="AS938" s="138" t="e">
        <f t="shared" si="122"/>
        <v>#N/A</v>
      </c>
      <c r="AT938" s="139" t="e">
        <f t="shared" si="123"/>
        <v>#N/A</v>
      </c>
    </row>
    <row r="939" spans="1:46" ht="54" customHeight="1">
      <c r="A939" s="428">
        <f t="shared" si="111"/>
        <v>931</v>
      </c>
      <c r="B939" s="403"/>
      <c r="C939" s="404"/>
      <c r="D939" s="405"/>
      <c r="E939" s="405"/>
      <c r="F939" s="405"/>
      <c r="G939" s="405"/>
      <c r="H939" s="406"/>
      <c r="I939" s="407"/>
      <c r="J939" s="408"/>
      <c r="K939" s="409"/>
      <c r="L939" s="410"/>
      <c r="M939" s="404"/>
      <c r="N939" s="411" t="str">
        <f>IF($AI939&lt;&gt;"",Master!$N$37,IF($AC939&lt;&gt;"",Master!$N$38,IF($S939&lt;&gt;"",Master!$N$39,IF($C939&lt;&gt;"",Master!$N$40,Master!$N$41))))</f>
        <v>起票</v>
      </c>
      <c r="O939" s="412" t="str">
        <f>IF($N939=Master!$N$37,MAX($S939,$AC939,$AI939),"")</f>
        <v/>
      </c>
      <c r="P939" s="413"/>
      <c r="Q939" s="414"/>
      <c r="R939" s="409"/>
      <c r="S939" s="404"/>
      <c r="T939" s="418"/>
      <c r="U939" s="415"/>
      <c r="V939" s="409"/>
      <c r="W939" s="419"/>
      <c r="X939" s="419"/>
      <c r="Y939" s="416"/>
      <c r="Z939" s="417"/>
      <c r="AA939" s="418"/>
      <c r="AB939" s="419"/>
      <c r="AC939" s="404"/>
      <c r="AD939" s="404"/>
      <c r="AE939" s="420"/>
      <c r="AF939" s="421"/>
      <c r="AG939" s="418"/>
      <c r="AH939" s="409"/>
      <c r="AI939" s="404"/>
      <c r="AJ939" s="416"/>
      <c r="AK939" s="453"/>
      <c r="AL939" s="422"/>
      <c r="AM939" s="423"/>
      <c r="AO939" s="137" t="e">
        <f t="shared" si="118"/>
        <v>#N/A</v>
      </c>
      <c r="AP939" s="138" t="e">
        <f t="shared" si="119"/>
        <v>#N/A</v>
      </c>
      <c r="AQ939" s="138" t="e">
        <f t="shared" si="120"/>
        <v>#N/A</v>
      </c>
      <c r="AR939" s="138" t="e">
        <f t="shared" si="121"/>
        <v>#N/A</v>
      </c>
      <c r="AS939" s="138" t="e">
        <f t="shared" si="122"/>
        <v>#N/A</v>
      </c>
      <c r="AT939" s="139" t="e">
        <f t="shared" si="123"/>
        <v>#N/A</v>
      </c>
    </row>
    <row r="940" spans="1:46" ht="54" customHeight="1">
      <c r="A940" s="428">
        <f t="shared" si="111"/>
        <v>932</v>
      </c>
      <c r="B940" s="294"/>
      <c r="C940" s="201"/>
      <c r="D940" s="290"/>
      <c r="E940" s="301"/>
      <c r="F940" s="301"/>
      <c r="G940" s="290"/>
      <c r="H940" s="291"/>
      <c r="I940" s="292"/>
      <c r="J940" s="61"/>
      <c r="K940" s="57"/>
      <c r="L940" s="303"/>
      <c r="M940" s="201"/>
      <c r="N940" s="84" t="str">
        <f>IF($AI940&lt;&gt;"",Master!$N$37,IF($AC940&lt;&gt;"",Master!$N$38,IF($S940&lt;&gt;"",Master!$N$39,IF($C940&lt;&gt;"",Master!$N$40,Master!$N$41))))</f>
        <v>起票</v>
      </c>
      <c r="O940" s="202" t="str">
        <f>IF($N940=Master!$N$37,MAX($S940,$AC940,$AI940),"")</f>
        <v/>
      </c>
      <c r="P940" s="65"/>
      <c r="Q940" s="203"/>
      <c r="R940" s="57"/>
      <c r="S940" s="203"/>
      <c r="T940" s="310"/>
      <c r="U940" s="289"/>
      <c r="V940" s="57"/>
      <c r="W940" s="288"/>
      <c r="X940" s="288"/>
      <c r="Y940" s="296"/>
      <c r="Z940" s="57"/>
      <c r="AA940" s="203"/>
      <c r="AB940" s="288"/>
      <c r="AC940" s="201"/>
      <c r="AD940" s="298"/>
      <c r="AE940" s="297"/>
      <c r="AF940" s="58"/>
      <c r="AG940" s="204"/>
      <c r="AH940" s="57"/>
      <c r="AI940" s="201"/>
      <c r="AJ940" s="287"/>
      <c r="AK940" s="452"/>
      <c r="AL940" s="59"/>
      <c r="AM940" s="60"/>
      <c r="AO940" s="137" t="e">
        <f t="shared" si="118"/>
        <v>#N/A</v>
      </c>
      <c r="AP940" s="138" t="e">
        <f t="shared" si="119"/>
        <v>#N/A</v>
      </c>
      <c r="AQ940" s="138" t="e">
        <f t="shared" si="120"/>
        <v>#N/A</v>
      </c>
      <c r="AR940" s="138" t="e">
        <f t="shared" si="121"/>
        <v>#N/A</v>
      </c>
      <c r="AS940" s="138" t="e">
        <f t="shared" si="122"/>
        <v>#N/A</v>
      </c>
      <c r="AT940" s="139" t="e">
        <f t="shared" si="123"/>
        <v>#N/A</v>
      </c>
    </row>
    <row r="941" spans="1:46" ht="54" customHeight="1">
      <c r="A941" s="428">
        <f t="shared" si="111"/>
        <v>933</v>
      </c>
      <c r="B941" s="294"/>
      <c r="C941" s="201"/>
      <c r="D941" s="290"/>
      <c r="E941" s="301"/>
      <c r="F941" s="301"/>
      <c r="G941" s="290"/>
      <c r="H941" s="291"/>
      <c r="I941" s="292"/>
      <c r="J941" s="61"/>
      <c r="K941" s="57"/>
      <c r="L941" s="303"/>
      <c r="M941" s="201"/>
      <c r="N941" s="84" t="str">
        <f>IF($AI941&lt;&gt;"",Master!$N$37,IF($AC941&lt;&gt;"",Master!$N$38,IF($S941&lt;&gt;"",Master!$N$39,IF($C941&lt;&gt;"",Master!$N$40,Master!$N$41))))</f>
        <v>起票</v>
      </c>
      <c r="O941" s="202" t="str">
        <f>IF($N941=Master!$N$37,MAX($S941,$AC941,$AI941),"")</f>
        <v/>
      </c>
      <c r="P941" s="65"/>
      <c r="Q941" s="203"/>
      <c r="R941" s="57"/>
      <c r="S941" s="203"/>
      <c r="T941" s="310"/>
      <c r="U941" s="289"/>
      <c r="V941" s="57"/>
      <c r="W941" s="288"/>
      <c r="X941" s="288"/>
      <c r="Y941" s="296"/>
      <c r="Z941" s="57"/>
      <c r="AA941" s="203"/>
      <c r="AB941" s="288"/>
      <c r="AC941" s="201"/>
      <c r="AD941" s="298"/>
      <c r="AE941" s="297"/>
      <c r="AF941" s="58"/>
      <c r="AG941" s="204"/>
      <c r="AH941" s="57"/>
      <c r="AI941" s="201"/>
      <c r="AJ941" s="287"/>
      <c r="AK941" s="452"/>
      <c r="AL941" s="59"/>
      <c r="AM941" s="60"/>
      <c r="AO941" s="137" t="e">
        <f t="shared" si="118"/>
        <v>#N/A</v>
      </c>
      <c r="AP941" s="138" t="e">
        <f t="shared" si="119"/>
        <v>#N/A</v>
      </c>
      <c r="AQ941" s="138" t="e">
        <f t="shared" si="120"/>
        <v>#N/A</v>
      </c>
      <c r="AR941" s="138" t="e">
        <f t="shared" si="121"/>
        <v>#N/A</v>
      </c>
      <c r="AS941" s="138" t="e">
        <f t="shared" si="122"/>
        <v>#N/A</v>
      </c>
      <c r="AT941" s="139" t="e">
        <f t="shared" si="123"/>
        <v>#N/A</v>
      </c>
    </row>
    <row r="942" spans="1:46" ht="54" customHeight="1">
      <c r="A942" s="428">
        <f t="shared" si="111"/>
        <v>934</v>
      </c>
      <c r="B942" s="403"/>
      <c r="C942" s="404"/>
      <c r="D942" s="405"/>
      <c r="E942" s="405"/>
      <c r="F942" s="405"/>
      <c r="G942" s="405"/>
      <c r="H942" s="406"/>
      <c r="I942" s="407"/>
      <c r="J942" s="408"/>
      <c r="K942" s="409"/>
      <c r="L942" s="410"/>
      <c r="M942" s="404"/>
      <c r="N942" s="411" t="str">
        <f>IF($AI942&lt;&gt;"",Master!$N$37,IF($AC942&lt;&gt;"",Master!$N$38,IF($S942&lt;&gt;"",Master!$N$39,IF($C942&lt;&gt;"",Master!$N$40,Master!$N$41))))</f>
        <v>起票</v>
      </c>
      <c r="O942" s="412" t="str">
        <f>IF($N942=Master!$N$37,MAX($S942,$AC942,$AI942),"")</f>
        <v/>
      </c>
      <c r="P942" s="413"/>
      <c r="Q942" s="414"/>
      <c r="R942" s="409"/>
      <c r="S942" s="404"/>
      <c r="T942" s="418"/>
      <c r="U942" s="415"/>
      <c r="V942" s="409"/>
      <c r="W942" s="419"/>
      <c r="X942" s="419"/>
      <c r="Y942" s="416"/>
      <c r="Z942" s="417"/>
      <c r="AA942" s="418"/>
      <c r="AB942" s="419"/>
      <c r="AC942" s="404"/>
      <c r="AD942" s="404"/>
      <c r="AE942" s="420"/>
      <c r="AF942" s="421"/>
      <c r="AG942" s="418"/>
      <c r="AH942" s="409"/>
      <c r="AI942" s="404"/>
      <c r="AJ942" s="416"/>
      <c r="AK942" s="453"/>
      <c r="AL942" s="422"/>
      <c r="AM942" s="423"/>
      <c r="AO942" s="137" t="e">
        <f t="shared" si="118"/>
        <v>#N/A</v>
      </c>
      <c r="AP942" s="138" t="e">
        <f t="shared" si="119"/>
        <v>#N/A</v>
      </c>
      <c r="AQ942" s="138" t="e">
        <f t="shared" si="120"/>
        <v>#N/A</v>
      </c>
      <c r="AR942" s="138" t="e">
        <f t="shared" si="121"/>
        <v>#N/A</v>
      </c>
      <c r="AS942" s="138" t="e">
        <f t="shared" si="122"/>
        <v>#N/A</v>
      </c>
      <c r="AT942" s="139" t="e">
        <f t="shared" si="123"/>
        <v>#N/A</v>
      </c>
    </row>
    <row r="943" spans="1:46" ht="54" customHeight="1">
      <c r="A943" s="428">
        <f t="shared" si="111"/>
        <v>935</v>
      </c>
      <c r="B943" s="403"/>
      <c r="C943" s="404"/>
      <c r="D943" s="405"/>
      <c r="E943" s="405"/>
      <c r="F943" s="405"/>
      <c r="G943" s="405"/>
      <c r="H943" s="406"/>
      <c r="I943" s="407"/>
      <c r="J943" s="408"/>
      <c r="K943" s="409"/>
      <c r="L943" s="410"/>
      <c r="M943" s="404"/>
      <c r="N943" s="411" t="str">
        <f>IF($AI943&lt;&gt;"",Master!$N$37,IF($AC943&lt;&gt;"",Master!$N$38,IF($S943&lt;&gt;"",Master!$N$39,IF($C943&lt;&gt;"",Master!$N$40,Master!$N$41))))</f>
        <v>起票</v>
      </c>
      <c r="O943" s="412" t="str">
        <f>IF($N943=Master!$N$37,MAX($S943,$AC943,$AI943),"")</f>
        <v/>
      </c>
      <c r="P943" s="413"/>
      <c r="Q943" s="414"/>
      <c r="R943" s="409"/>
      <c r="S943" s="404"/>
      <c r="T943" s="418"/>
      <c r="U943" s="415"/>
      <c r="V943" s="409"/>
      <c r="W943" s="419"/>
      <c r="X943" s="419"/>
      <c r="Y943" s="416"/>
      <c r="Z943" s="417"/>
      <c r="AA943" s="418"/>
      <c r="AB943" s="419"/>
      <c r="AC943" s="404"/>
      <c r="AD943" s="404"/>
      <c r="AE943" s="420"/>
      <c r="AF943" s="421"/>
      <c r="AG943" s="418"/>
      <c r="AH943" s="409"/>
      <c r="AI943" s="404"/>
      <c r="AJ943" s="416"/>
      <c r="AK943" s="453"/>
      <c r="AL943" s="422"/>
      <c r="AM943" s="423"/>
      <c r="AO943" s="137" t="e">
        <f t="shared" si="118"/>
        <v>#N/A</v>
      </c>
      <c r="AP943" s="138" t="e">
        <f t="shared" si="119"/>
        <v>#N/A</v>
      </c>
      <c r="AQ943" s="138" t="e">
        <f t="shared" si="120"/>
        <v>#N/A</v>
      </c>
      <c r="AR943" s="138" t="e">
        <f t="shared" si="121"/>
        <v>#N/A</v>
      </c>
      <c r="AS943" s="138" t="e">
        <f t="shared" si="122"/>
        <v>#N/A</v>
      </c>
      <c r="AT943" s="139" t="e">
        <f t="shared" si="123"/>
        <v>#N/A</v>
      </c>
    </row>
    <row r="944" spans="1:46" ht="54" customHeight="1">
      <c r="A944" s="428">
        <f t="shared" si="111"/>
        <v>936</v>
      </c>
      <c r="B944" s="403"/>
      <c r="C944" s="404"/>
      <c r="D944" s="405"/>
      <c r="E944" s="405"/>
      <c r="F944" s="405"/>
      <c r="G944" s="405"/>
      <c r="H944" s="406"/>
      <c r="I944" s="407"/>
      <c r="J944" s="408"/>
      <c r="K944" s="409"/>
      <c r="L944" s="410"/>
      <c r="M944" s="404"/>
      <c r="N944" s="411" t="str">
        <f>IF($AI944&lt;&gt;"",Master!$N$37,IF($AC944&lt;&gt;"",Master!$N$38,IF($S944&lt;&gt;"",Master!$N$39,IF($C944&lt;&gt;"",Master!$N$40,Master!$N$41))))</f>
        <v>起票</v>
      </c>
      <c r="O944" s="412" t="str">
        <f>IF($N944=Master!$N$37,MAX($S944,$AC944,$AI944),"")</f>
        <v/>
      </c>
      <c r="P944" s="413"/>
      <c r="Q944" s="414"/>
      <c r="R944" s="409"/>
      <c r="S944" s="404"/>
      <c r="T944" s="418"/>
      <c r="U944" s="415"/>
      <c r="V944" s="409"/>
      <c r="W944" s="419"/>
      <c r="X944" s="419"/>
      <c r="Y944" s="416"/>
      <c r="Z944" s="417"/>
      <c r="AA944" s="418"/>
      <c r="AB944" s="419"/>
      <c r="AC944" s="404"/>
      <c r="AD944" s="404"/>
      <c r="AE944" s="420"/>
      <c r="AF944" s="421"/>
      <c r="AG944" s="418"/>
      <c r="AH944" s="409"/>
      <c r="AI944" s="404"/>
      <c r="AJ944" s="416"/>
      <c r="AK944" s="453"/>
      <c r="AL944" s="422"/>
      <c r="AM944" s="423"/>
      <c r="AO944" s="137" t="e">
        <f t="shared" si="118"/>
        <v>#N/A</v>
      </c>
      <c r="AP944" s="138" t="e">
        <f t="shared" si="119"/>
        <v>#N/A</v>
      </c>
      <c r="AQ944" s="138" t="e">
        <f t="shared" si="120"/>
        <v>#N/A</v>
      </c>
      <c r="AR944" s="138" t="e">
        <f t="shared" si="121"/>
        <v>#N/A</v>
      </c>
      <c r="AS944" s="138" t="e">
        <f t="shared" si="122"/>
        <v>#N/A</v>
      </c>
      <c r="AT944" s="139" t="e">
        <f t="shared" si="123"/>
        <v>#N/A</v>
      </c>
    </row>
    <row r="945" spans="1:46" ht="54" customHeight="1">
      <c r="A945" s="428">
        <f t="shared" si="111"/>
        <v>937</v>
      </c>
      <c r="B945" s="294"/>
      <c r="C945" s="201"/>
      <c r="D945" s="290"/>
      <c r="E945" s="301"/>
      <c r="F945" s="301"/>
      <c r="G945" s="290"/>
      <c r="H945" s="291"/>
      <c r="I945" s="292"/>
      <c r="J945" s="61"/>
      <c r="K945" s="57"/>
      <c r="L945" s="303"/>
      <c r="M945" s="201"/>
      <c r="N945" s="84" t="str">
        <f>IF($AI945&lt;&gt;"",Master!$N$37,IF($AC945&lt;&gt;"",Master!$N$38,IF($S945&lt;&gt;"",Master!$N$39,IF($C945&lt;&gt;"",Master!$N$40,Master!$N$41))))</f>
        <v>起票</v>
      </c>
      <c r="O945" s="202" t="str">
        <f>IF($N945=Master!$N$37,MAX($S945,$AC945,$AI945),"")</f>
        <v/>
      </c>
      <c r="P945" s="65"/>
      <c r="Q945" s="203"/>
      <c r="R945" s="57"/>
      <c r="S945" s="203"/>
      <c r="T945" s="310"/>
      <c r="U945" s="289"/>
      <c r="V945" s="57"/>
      <c r="W945" s="288"/>
      <c r="X945" s="288"/>
      <c r="Y945" s="296"/>
      <c r="Z945" s="57"/>
      <c r="AA945" s="203"/>
      <c r="AB945" s="288"/>
      <c r="AC945" s="201"/>
      <c r="AD945" s="298"/>
      <c r="AE945" s="297"/>
      <c r="AF945" s="58"/>
      <c r="AG945" s="204"/>
      <c r="AH945" s="57"/>
      <c r="AI945" s="201"/>
      <c r="AJ945" s="287"/>
      <c r="AK945" s="452"/>
      <c r="AL945" s="59"/>
      <c r="AM945" s="60"/>
      <c r="AO945" s="137" t="e">
        <f t="shared" si="77"/>
        <v>#N/A</v>
      </c>
      <c r="AP945" s="138" t="e">
        <f t="shared" si="78"/>
        <v>#N/A</v>
      </c>
      <c r="AQ945" s="138" t="e">
        <f t="shared" si="79"/>
        <v>#N/A</v>
      </c>
      <c r="AR945" s="138" t="e">
        <f t="shared" si="80"/>
        <v>#N/A</v>
      </c>
      <c r="AS945" s="138" t="e">
        <f t="shared" si="81"/>
        <v>#N/A</v>
      </c>
      <c r="AT945" s="139" t="e">
        <f t="shared" si="82"/>
        <v>#N/A</v>
      </c>
    </row>
    <row r="946" spans="1:46" ht="54" customHeight="1">
      <c r="A946" s="428">
        <f t="shared" si="111"/>
        <v>938</v>
      </c>
      <c r="B946" s="294"/>
      <c r="C946" s="201"/>
      <c r="D946" s="290"/>
      <c r="E946" s="301"/>
      <c r="F946" s="301"/>
      <c r="G946" s="290"/>
      <c r="H946" s="291"/>
      <c r="I946" s="292"/>
      <c r="J946" s="61"/>
      <c r="K946" s="57"/>
      <c r="L946" s="303"/>
      <c r="M946" s="201"/>
      <c r="N946" s="84" t="str">
        <f>IF($AI946&lt;&gt;"",Master!$N$37,IF($AC946&lt;&gt;"",Master!$N$38,IF($S946&lt;&gt;"",Master!$N$39,IF($C946&lt;&gt;"",Master!$N$40,Master!$N$41))))</f>
        <v>起票</v>
      </c>
      <c r="O946" s="202" t="str">
        <f>IF($N946=Master!$N$37,MAX($S946,$AC946,$AI946),"")</f>
        <v/>
      </c>
      <c r="P946" s="65"/>
      <c r="Q946" s="203"/>
      <c r="R946" s="57"/>
      <c r="S946" s="203"/>
      <c r="T946" s="310"/>
      <c r="U946" s="289"/>
      <c r="V946" s="57"/>
      <c r="W946" s="288"/>
      <c r="X946" s="288"/>
      <c r="Y946" s="296"/>
      <c r="Z946" s="57"/>
      <c r="AA946" s="203"/>
      <c r="AB946" s="288"/>
      <c r="AC946" s="201"/>
      <c r="AD946" s="298"/>
      <c r="AE946" s="297"/>
      <c r="AF946" s="58"/>
      <c r="AG946" s="204"/>
      <c r="AH946" s="57"/>
      <c r="AI946" s="201"/>
      <c r="AJ946" s="287"/>
      <c r="AK946" s="452"/>
      <c r="AL946" s="59"/>
      <c r="AM946" s="60"/>
      <c r="AO946" s="137" t="e">
        <f t="shared" si="77"/>
        <v>#N/A</v>
      </c>
      <c r="AP946" s="138" t="e">
        <f t="shared" si="78"/>
        <v>#N/A</v>
      </c>
      <c r="AQ946" s="138" t="e">
        <f t="shared" si="79"/>
        <v>#N/A</v>
      </c>
      <c r="AR946" s="138" t="e">
        <f t="shared" si="80"/>
        <v>#N/A</v>
      </c>
      <c r="AS946" s="138" t="e">
        <f t="shared" si="81"/>
        <v>#N/A</v>
      </c>
      <c r="AT946" s="139" t="e">
        <f t="shared" si="82"/>
        <v>#N/A</v>
      </c>
    </row>
    <row r="947" spans="1:46" ht="54" customHeight="1">
      <c r="A947" s="428">
        <f t="shared" si="111"/>
        <v>939</v>
      </c>
      <c r="B947" s="403"/>
      <c r="C947" s="404"/>
      <c r="D947" s="405"/>
      <c r="E947" s="405"/>
      <c r="F947" s="405"/>
      <c r="G947" s="405"/>
      <c r="H947" s="406"/>
      <c r="I947" s="407"/>
      <c r="J947" s="408"/>
      <c r="K947" s="409"/>
      <c r="L947" s="410"/>
      <c r="M947" s="404"/>
      <c r="N947" s="411" t="str">
        <f>IF($AI947&lt;&gt;"",Master!$N$37,IF($AC947&lt;&gt;"",Master!$N$38,IF($S947&lt;&gt;"",Master!$N$39,IF($C947&lt;&gt;"",Master!$N$40,Master!$N$41))))</f>
        <v>起票</v>
      </c>
      <c r="O947" s="412" t="str">
        <f>IF($N947=Master!$N$37,MAX($S947,$AC947,$AI947),"")</f>
        <v/>
      </c>
      <c r="P947" s="413"/>
      <c r="Q947" s="414"/>
      <c r="R947" s="409"/>
      <c r="S947" s="404"/>
      <c r="T947" s="418"/>
      <c r="U947" s="415"/>
      <c r="V947" s="409"/>
      <c r="W947" s="419"/>
      <c r="X947" s="419"/>
      <c r="Y947" s="416"/>
      <c r="Z947" s="417"/>
      <c r="AA947" s="418"/>
      <c r="AB947" s="419"/>
      <c r="AC947" s="404"/>
      <c r="AD947" s="404"/>
      <c r="AE947" s="420"/>
      <c r="AF947" s="421"/>
      <c r="AG947" s="418"/>
      <c r="AH947" s="409"/>
      <c r="AI947" s="404"/>
      <c r="AJ947" s="416"/>
      <c r="AK947" s="453"/>
      <c r="AL947" s="422"/>
      <c r="AM947" s="423"/>
      <c r="AO947" s="137" t="e">
        <f t="shared" si="77"/>
        <v>#N/A</v>
      </c>
      <c r="AP947" s="138" t="e">
        <f t="shared" si="78"/>
        <v>#N/A</v>
      </c>
      <c r="AQ947" s="138" t="e">
        <f t="shared" si="79"/>
        <v>#N/A</v>
      </c>
      <c r="AR947" s="138" t="e">
        <f t="shared" si="80"/>
        <v>#N/A</v>
      </c>
      <c r="AS947" s="138" t="e">
        <f t="shared" si="81"/>
        <v>#N/A</v>
      </c>
      <c r="AT947" s="139" t="e">
        <f t="shared" si="82"/>
        <v>#N/A</v>
      </c>
    </row>
    <row r="948" spans="1:46" ht="54" customHeight="1">
      <c r="A948" s="428">
        <f t="shared" si="111"/>
        <v>940</v>
      </c>
      <c r="B948" s="403"/>
      <c r="C948" s="404"/>
      <c r="D948" s="405"/>
      <c r="E948" s="405"/>
      <c r="F948" s="405"/>
      <c r="G948" s="405"/>
      <c r="H948" s="406"/>
      <c r="I948" s="407"/>
      <c r="J948" s="408"/>
      <c r="K948" s="409"/>
      <c r="L948" s="410"/>
      <c r="M948" s="404"/>
      <c r="N948" s="411" t="str">
        <f>IF($AI948&lt;&gt;"",Master!$N$37,IF($AC948&lt;&gt;"",Master!$N$38,IF($S948&lt;&gt;"",Master!$N$39,IF($C948&lt;&gt;"",Master!$N$40,Master!$N$41))))</f>
        <v>起票</v>
      </c>
      <c r="O948" s="412" t="str">
        <f>IF($N948=Master!$N$37,MAX($S948,$AC948,$AI948),"")</f>
        <v/>
      </c>
      <c r="P948" s="413"/>
      <c r="Q948" s="414"/>
      <c r="R948" s="409"/>
      <c r="S948" s="404"/>
      <c r="T948" s="418"/>
      <c r="U948" s="415"/>
      <c r="V948" s="409"/>
      <c r="W948" s="419"/>
      <c r="X948" s="419"/>
      <c r="Y948" s="416"/>
      <c r="Z948" s="417"/>
      <c r="AA948" s="418"/>
      <c r="AB948" s="419"/>
      <c r="AC948" s="404"/>
      <c r="AD948" s="404"/>
      <c r="AE948" s="420"/>
      <c r="AF948" s="421"/>
      <c r="AG948" s="418"/>
      <c r="AH948" s="409"/>
      <c r="AI948" s="404"/>
      <c r="AJ948" s="416"/>
      <c r="AK948" s="453"/>
      <c r="AL948" s="422"/>
      <c r="AM948" s="423"/>
      <c r="AO948" s="137" t="e">
        <f t="shared" si="77"/>
        <v>#N/A</v>
      </c>
      <c r="AP948" s="138" t="e">
        <f t="shared" si="78"/>
        <v>#N/A</v>
      </c>
      <c r="AQ948" s="138" t="e">
        <f t="shared" si="79"/>
        <v>#N/A</v>
      </c>
      <c r="AR948" s="138" t="e">
        <f t="shared" si="80"/>
        <v>#N/A</v>
      </c>
      <c r="AS948" s="138" t="e">
        <f t="shared" si="81"/>
        <v>#N/A</v>
      </c>
      <c r="AT948" s="139" t="e">
        <f t="shared" si="82"/>
        <v>#N/A</v>
      </c>
    </row>
    <row r="949" spans="1:46" ht="54" customHeight="1">
      <c r="A949" s="428">
        <f t="shared" si="111"/>
        <v>941</v>
      </c>
      <c r="B949" s="403"/>
      <c r="C949" s="404"/>
      <c r="D949" s="405"/>
      <c r="E949" s="405"/>
      <c r="F949" s="405"/>
      <c r="G949" s="405"/>
      <c r="H949" s="406"/>
      <c r="I949" s="407"/>
      <c r="J949" s="408"/>
      <c r="K949" s="409"/>
      <c r="L949" s="410"/>
      <c r="M949" s="404"/>
      <c r="N949" s="411" t="str">
        <f>IF($AI949&lt;&gt;"",Master!$N$37,IF($AC949&lt;&gt;"",Master!$N$38,IF($S949&lt;&gt;"",Master!$N$39,IF($C949&lt;&gt;"",Master!$N$40,Master!$N$41))))</f>
        <v>起票</v>
      </c>
      <c r="O949" s="412" t="str">
        <f>IF($N949=Master!$N$37,MAX($S949,$AC949,$AI949),"")</f>
        <v/>
      </c>
      <c r="P949" s="413"/>
      <c r="Q949" s="414"/>
      <c r="R949" s="409"/>
      <c r="S949" s="404"/>
      <c r="T949" s="418"/>
      <c r="U949" s="415"/>
      <c r="V949" s="409"/>
      <c r="W949" s="419"/>
      <c r="X949" s="419"/>
      <c r="Y949" s="416"/>
      <c r="Z949" s="417"/>
      <c r="AA949" s="418"/>
      <c r="AB949" s="419"/>
      <c r="AC949" s="404"/>
      <c r="AD949" s="404"/>
      <c r="AE949" s="420"/>
      <c r="AF949" s="421"/>
      <c r="AG949" s="418"/>
      <c r="AH949" s="409"/>
      <c r="AI949" s="404"/>
      <c r="AJ949" s="416"/>
      <c r="AK949" s="453"/>
      <c r="AL949" s="422"/>
      <c r="AM949" s="423"/>
      <c r="AO949" s="137" t="e">
        <f t="shared" si="77"/>
        <v>#N/A</v>
      </c>
      <c r="AP949" s="138" t="e">
        <f t="shared" si="78"/>
        <v>#N/A</v>
      </c>
      <c r="AQ949" s="138" t="e">
        <f t="shared" si="79"/>
        <v>#N/A</v>
      </c>
      <c r="AR949" s="138" t="e">
        <f t="shared" si="80"/>
        <v>#N/A</v>
      </c>
      <c r="AS949" s="138" t="e">
        <f t="shared" si="81"/>
        <v>#N/A</v>
      </c>
      <c r="AT949" s="139" t="e">
        <f t="shared" si="82"/>
        <v>#N/A</v>
      </c>
    </row>
    <row r="950" spans="1:46" ht="54" customHeight="1">
      <c r="A950" s="428">
        <f t="shared" si="111"/>
        <v>942</v>
      </c>
      <c r="B950" s="294"/>
      <c r="C950" s="201"/>
      <c r="D950" s="290"/>
      <c r="E950" s="301"/>
      <c r="F950" s="301"/>
      <c r="G950" s="290"/>
      <c r="H950" s="291"/>
      <c r="I950" s="292"/>
      <c r="J950" s="61"/>
      <c r="K950" s="57"/>
      <c r="L950" s="303"/>
      <c r="M950" s="201"/>
      <c r="N950" s="84" t="str">
        <f>IF($AI950&lt;&gt;"",Master!$N$37,IF($AC950&lt;&gt;"",Master!$N$38,IF($S950&lt;&gt;"",Master!$N$39,IF($C950&lt;&gt;"",Master!$N$40,Master!$N$41))))</f>
        <v>起票</v>
      </c>
      <c r="O950" s="202" t="str">
        <f>IF($N950=Master!$N$37,MAX($S950,$AC950,$AI950),"")</f>
        <v/>
      </c>
      <c r="P950" s="65"/>
      <c r="Q950" s="203"/>
      <c r="R950" s="57"/>
      <c r="S950" s="203"/>
      <c r="T950" s="310"/>
      <c r="U950" s="289"/>
      <c r="V950" s="57"/>
      <c r="W950" s="288"/>
      <c r="X950" s="288"/>
      <c r="Y950" s="296"/>
      <c r="Z950" s="57"/>
      <c r="AA950" s="203"/>
      <c r="AB950" s="288"/>
      <c r="AC950" s="201"/>
      <c r="AD950" s="298"/>
      <c r="AE950" s="297"/>
      <c r="AF950" s="58"/>
      <c r="AG950" s="204"/>
      <c r="AH950" s="57"/>
      <c r="AI950" s="201"/>
      <c r="AJ950" s="287"/>
      <c r="AK950" s="452"/>
      <c r="AL950" s="59"/>
      <c r="AM950" s="60"/>
      <c r="AO950" s="137" t="e">
        <f t="shared" si="35"/>
        <v>#N/A</v>
      </c>
      <c r="AP950" s="138" t="e">
        <f t="shared" si="36"/>
        <v>#N/A</v>
      </c>
      <c r="AQ950" s="138" t="e">
        <f t="shared" si="37"/>
        <v>#N/A</v>
      </c>
      <c r="AR950" s="138" t="e">
        <f t="shared" si="38"/>
        <v>#N/A</v>
      </c>
      <c r="AS950" s="138" t="e">
        <f t="shared" si="39"/>
        <v>#N/A</v>
      </c>
      <c r="AT950" s="139" t="e">
        <f t="shared" si="40"/>
        <v>#N/A</v>
      </c>
    </row>
    <row r="951" spans="1:46" ht="54" customHeight="1">
      <c r="A951" s="428">
        <f t="shared" si="111"/>
        <v>943</v>
      </c>
      <c r="B951" s="294"/>
      <c r="C951" s="201"/>
      <c r="D951" s="290"/>
      <c r="E951" s="301"/>
      <c r="F951" s="301"/>
      <c r="G951" s="290"/>
      <c r="H951" s="291"/>
      <c r="I951" s="292"/>
      <c r="J951" s="61"/>
      <c r="K951" s="57"/>
      <c r="L951" s="303"/>
      <c r="M951" s="201"/>
      <c r="N951" s="84" t="str">
        <f>IF($AI951&lt;&gt;"",Master!$N$37,IF($AC951&lt;&gt;"",Master!$N$38,IF($S951&lt;&gt;"",Master!$N$39,IF($C951&lt;&gt;"",Master!$N$40,Master!$N$41))))</f>
        <v>起票</v>
      </c>
      <c r="O951" s="202" t="str">
        <f>IF($N951=Master!$N$37,MAX($S951,$AC951,$AI951),"")</f>
        <v/>
      </c>
      <c r="P951" s="65"/>
      <c r="Q951" s="203"/>
      <c r="R951" s="57"/>
      <c r="S951" s="203"/>
      <c r="T951" s="310"/>
      <c r="U951" s="289"/>
      <c r="V951" s="57"/>
      <c r="W951" s="288"/>
      <c r="X951" s="288"/>
      <c r="Y951" s="296"/>
      <c r="Z951" s="57"/>
      <c r="AA951" s="203"/>
      <c r="AB951" s="288"/>
      <c r="AC951" s="201"/>
      <c r="AD951" s="298"/>
      <c r="AE951" s="297"/>
      <c r="AF951" s="58"/>
      <c r="AG951" s="204"/>
      <c r="AH951" s="57"/>
      <c r="AI951" s="201"/>
      <c r="AJ951" s="287"/>
      <c r="AK951" s="452"/>
      <c r="AL951" s="59"/>
      <c r="AM951" s="60"/>
      <c r="AO951" s="137" t="e">
        <f t="shared" si="35"/>
        <v>#N/A</v>
      </c>
      <c r="AP951" s="138" t="e">
        <f t="shared" si="36"/>
        <v>#N/A</v>
      </c>
      <c r="AQ951" s="138" t="e">
        <f t="shared" si="37"/>
        <v>#N/A</v>
      </c>
      <c r="AR951" s="138" t="e">
        <f t="shared" si="38"/>
        <v>#N/A</v>
      </c>
      <c r="AS951" s="138" t="e">
        <f t="shared" si="39"/>
        <v>#N/A</v>
      </c>
      <c r="AT951" s="139" t="e">
        <f t="shared" si="40"/>
        <v>#N/A</v>
      </c>
    </row>
    <row r="952" spans="1:46" ht="54" customHeight="1">
      <c r="A952" s="428">
        <f t="shared" si="111"/>
        <v>944</v>
      </c>
      <c r="B952" s="403"/>
      <c r="C952" s="404"/>
      <c r="D952" s="405"/>
      <c r="E952" s="405"/>
      <c r="F952" s="405"/>
      <c r="G952" s="405"/>
      <c r="H952" s="406"/>
      <c r="I952" s="407"/>
      <c r="J952" s="408"/>
      <c r="K952" s="409"/>
      <c r="L952" s="410"/>
      <c r="M952" s="404"/>
      <c r="N952" s="411" t="str">
        <f>IF($AI952&lt;&gt;"",Master!$N$37,IF($AC952&lt;&gt;"",Master!$N$38,IF($S952&lt;&gt;"",Master!$N$39,IF($C952&lt;&gt;"",Master!$N$40,Master!$N$41))))</f>
        <v>起票</v>
      </c>
      <c r="O952" s="412" t="str">
        <f>IF($N952=Master!$N$37,MAX($S952,$AC952,$AI952),"")</f>
        <v/>
      </c>
      <c r="P952" s="413"/>
      <c r="Q952" s="414"/>
      <c r="R952" s="409"/>
      <c r="S952" s="404"/>
      <c r="T952" s="418"/>
      <c r="U952" s="415"/>
      <c r="V952" s="409"/>
      <c r="W952" s="419"/>
      <c r="X952" s="419"/>
      <c r="Y952" s="416"/>
      <c r="Z952" s="417"/>
      <c r="AA952" s="418"/>
      <c r="AB952" s="419"/>
      <c r="AC952" s="404"/>
      <c r="AD952" s="404"/>
      <c r="AE952" s="420"/>
      <c r="AF952" s="421"/>
      <c r="AG952" s="418"/>
      <c r="AH952" s="409"/>
      <c r="AI952" s="404"/>
      <c r="AJ952" s="416"/>
      <c r="AK952" s="453"/>
      <c r="AL952" s="422"/>
      <c r="AM952" s="423"/>
      <c r="AO952" s="137" t="e">
        <f t="shared" si="35"/>
        <v>#N/A</v>
      </c>
      <c r="AP952" s="138" t="e">
        <f t="shared" si="36"/>
        <v>#N/A</v>
      </c>
      <c r="AQ952" s="138" t="e">
        <f t="shared" si="37"/>
        <v>#N/A</v>
      </c>
      <c r="AR952" s="138" t="e">
        <f t="shared" si="38"/>
        <v>#N/A</v>
      </c>
      <c r="AS952" s="138" t="e">
        <f t="shared" si="39"/>
        <v>#N/A</v>
      </c>
      <c r="AT952" s="139" t="e">
        <f t="shared" si="40"/>
        <v>#N/A</v>
      </c>
    </row>
    <row r="953" spans="1:46" ht="54" customHeight="1">
      <c r="A953" s="428">
        <f t="shared" si="111"/>
        <v>945</v>
      </c>
      <c r="B953" s="403"/>
      <c r="C953" s="404"/>
      <c r="D953" s="405"/>
      <c r="E953" s="405"/>
      <c r="F953" s="405"/>
      <c r="G953" s="405"/>
      <c r="H953" s="406"/>
      <c r="I953" s="407"/>
      <c r="J953" s="408"/>
      <c r="K953" s="409"/>
      <c r="L953" s="410"/>
      <c r="M953" s="404"/>
      <c r="N953" s="411" t="str">
        <f>IF($AI953&lt;&gt;"",Master!$N$37,IF($AC953&lt;&gt;"",Master!$N$38,IF($S953&lt;&gt;"",Master!$N$39,IF($C953&lt;&gt;"",Master!$N$40,Master!$N$41))))</f>
        <v>起票</v>
      </c>
      <c r="O953" s="412" t="str">
        <f>IF($N953=Master!$N$37,MAX($S953,$AC953,$AI953),"")</f>
        <v/>
      </c>
      <c r="P953" s="413"/>
      <c r="Q953" s="414"/>
      <c r="R953" s="409"/>
      <c r="S953" s="404"/>
      <c r="T953" s="418"/>
      <c r="U953" s="415"/>
      <c r="V953" s="409"/>
      <c r="W953" s="419"/>
      <c r="X953" s="419"/>
      <c r="Y953" s="416"/>
      <c r="Z953" s="417"/>
      <c r="AA953" s="418"/>
      <c r="AB953" s="419"/>
      <c r="AC953" s="404"/>
      <c r="AD953" s="404"/>
      <c r="AE953" s="420"/>
      <c r="AF953" s="421"/>
      <c r="AG953" s="418"/>
      <c r="AH953" s="409"/>
      <c r="AI953" s="404"/>
      <c r="AJ953" s="416"/>
      <c r="AK953" s="453"/>
      <c r="AL953" s="422"/>
      <c r="AM953" s="423"/>
      <c r="AO953" s="137" t="e">
        <f t="shared" ref="AO953" si="124">IF(AND(C953&lt;&gt;"",C953&lt;=$AI$3),IF(E953="","",E953),NA())</f>
        <v>#N/A</v>
      </c>
      <c r="AP953" s="138" t="e">
        <f t="shared" ref="AP953" si="125">IF(AND(C953&lt;&gt;"",C953&lt;=$AI$3),IF(F953="","",F953),NA())</f>
        <v>#N/A</v>
      </c>
      <c r="AQ953" s="138" t="e">
        <f t="shared" ref="AQ953" si="126">IF(AND(C953&lt;&gt;"",C953&lt;=$AI$3),IF(H953="","",H953),NA())</f>
        <v>#N/A</v>
      </c>
      <c r="AR953" s="138" t="e">
        <f t="shared" ref="AR953" si="127">IF(AND(C953&lt;&gt;"",C953&lt;=$AI$3),IF(U953="","",U953),NA())</f>
        <v>#N/A</v>
      </c>
      <c r="AS953" s="138" t="e">
        <f t="shared" ref="AS953" si="128">IF(AND(C953&lt;&gt;"",C953&lt;=$AI$3),IF(V953="","",V953),NA())</f>
        <v>#N/A</v>
      </c>
      <c r="AT953" s="139" t="e">
        <f t="shared" ref="AT953" si="129">IF(AND(C953&lt;&gt;"",C953&lt;=$AI$3),IF(AB953="","",AB953),NA())</f>
        <v>#N/A</v>
      </c>
    </row>
    <row r="954" spans="1:46" ht="54" customHeight="1">
      <c r="A954" s="428">
        <f t="shared" si="111"/>
        <v>946</v>
      </c>
      <c r="B954" s="403"/>
      <c r="C954" s="404"/>
      <c r="D954" s="405"/>
      <c r="E954" s="405"/>
      <c r="F954" s="405"/>
      <c r="G954" s="405"/>
      <c r="H954" s="406"/>
      <c r="I954" s="407"/>
      <c r="J954" s="408"/>
      <c r="K954" s="409"/>
      <c r="L954" s="410"/>
      <c r="M954" s="404"/>
      <c r="N954" s="411" t="str">
        <f>IF($AI954&lt;&gt;"",Master!$N$37,IF($AC954&lt;&gt;"",Master!$N$38,IF($S954&lt;&gt;"",Master!$N$39,IF($C954&lt;&gt;"",Master!$N$40,Master!$N$41))))</f>
        <v>起票</v>
      </c>
      <c r="O954" s="412" t="str">
        <f>IF($N954=Master!$N$37,MAX($S954,$AC954,$AI954),"")</f>
        <v/>
      </c>
      <c r="P954" s="413"/>
      <c r="Q954" s="414"/>
      <c r="R954" s="409"/>
      <c r="S954" s="404"/>
      <c r="T954" s="418"/>
      <c r="U954" s="415"/>
      <c r="V954" s="409"/>
      <c r="W954" s="419"/>
      <c r="X954" s="419"/>
      <c r="Y954" s="416"/>
      <c r="Z954" s="417"/>
      <c r="AA954" s="418"/>
      <c r="AB954" s="419"/>
      <c r="AC954" s="404"/>
      <c r="AD954" s="404"/>
      <c r="AE954" s="420"/>
      <c r="AF954" s="421"/>
      <c r="AG954" s="418"/>
      <c r="AH954" s="409"/>
      <c r="AI954" s="404"/>
      <c r="AJ954" s="416"/>
      <c r="AK954" s="453"/>
      <c r="AL954" s="422"/>
      <c r="AM954" s="423"/>
      <c r="AO954" s="137" t="e">
        <f t="shared" ref="AO954:AO1017" si="130">IF(AND(C954&lt;&gt;"",C954&lt;=$AI$3),IF(E954="","",E954),NA())</f>
        <v>#N/A</v>
      </c>
      <c r="AP954" s="138" t="e">
        <f t="shared" ref="AP954:AP1017" si="131">IF(AND(C954&lt;&gt;"",C954&lt;=$AI$3),IF(F954="","",F954),NA())</f>
        <v>#N/A</v>
      </c>
      <c r="AQ954" s="138" t="e">
        <f t="shared" ref="AQ954:AQ1017" si="132">IF(AND(C954&lt;&gt;"",C954&lt;=$AI$3),IF(H954="","",H954),NA())</f>
        <v>#N/A</v>
      </c>
      <c r="AR954" s="138" t="e">
        <f t="shared" ref="AR954:AR1017" si="133">IF(AND(C954&lt;&gt;"",C954&lt;=$AI$3),IF(U954="","",U954),NA())</f>
        <v>#N/A</v>
      </c>
      <c r="AS954" s="138" t="e">
        <f t="shared" ref="AS954:AS1017" si="134">IF(AND(C954&lt;&gt;"",C954&lt;=$AI$3),IF(V954="","",V954),NA())</f>
        <v>#N/A</v>
      </c>
      <c r="AT954" s="139" t="e">
        <f t="shared" ref="AT954:AT1017" si="135">IF(AND(C954&lt;&gt;"",C954&lt;=$AI$3),IF(AB954="","",AB954),NA())</f>
        <v>#N/A</v>
      </c>
    </row>
    <row r="955" spans="1:46" ht="54" customHeight="1">
      <c r="A955" s="428">
        <f t="shared" si="111"/>
        <v>947</v>
      </c>
      <c r="B955" s="403"/>
      <c r="C955" s="404"/>
      <c r="D955" s="405"/>
      <c r="E955" s="405"/>
      <c r="F955" s="405"/>
      <c r="G955" s="405"/>
      <c r="H955" s="406"/>
      <c r="I955" s="407"/>
      <c r="J955" s="408"/>
      <c r="K955" s="409"/>
      <c r="L955" s="410"/>
      <c r="M955" s="404"/>
      <c r="N955" s="411" t="str">
        <f>IF($AI955&lt;&gt;"",Master!$N$37,IF($AC955&lt;&gt;"",Master!$N$38,IF($S955&lt;&gt;"",Master!$N$39,IF($C955&lt;&gt;"",Master!$N$40,Master!$N$41))))</f>
        <v>起票</v>
      </c>
      <c r="O955" s="412" t="str">
        <f>IF($N955=Master!$N$37,MAX($S955,$AC955,$AI955),"")</f>
        <v/>
      </c>
      <c r="P955" s="413"/>
      <c r="Q955" s="414"/>
      <c r="R955" s="409"/>
      <c r="S955" s="404"/>
      <c r="T955" s="418"/>
      <c r="U955" s="415"/>
      <c r="V955" s="409"/>
      <c r="W955" s="419"/>
      <c r="X955" s="419"/>
      <c r="Y955" s="416"/>
      <c r="Z955" s="417"/>
      <c r="AA955" s="418"/>
      <c r="AB955" s="419"/>
      <c r="AC955" s="404"/>
      <c r="AD955" s="404"/>
      <c r="AE955" s="420"/>
      <c r="AF955" s="421"/>
      <c r="AG955" s="418"/>
      <c r="AH955" s="409"/>
      <c r="AI955" s="404"/>
      <c r="AJ955" s="416"/>
      <c r="AK955" s="453"/>
      <c r="AL955" s="422"/>
      <c r="AM955" s="423"/>
      <c r="AO955" s="137" t="e">
        <f t="shared" si="130"/>
        <v>#N/A</v>
      </c>
      <c r="AP955" s="138" t="e">
        <f t="shared" si="131"/>
        <v>#N/A</v>
      </c>
      <c r="AQ955" s="138" t="e">
        <f t="shared" si="132"/>
        <v>#N/A</v>
      </c>
      <c r="AR955" s="138" t="e">
        <f t="shared" si="133"/>
        <v>#N/A</v>
      </c>
      <c r="AS955" s="138" t="e">
        <f t="shared" si="134"/>
        <v>#N/A</v>
      </c>
      <c r="AT955" s="139" t="e">
        <f t="shared" si="135"/>
        <v>#N/A</v>
      </c>
    </row>
    <row r="956" spans="1:46" ht="54" customHeight="1">
      <c r="A956" s="428">
        <f t="shared" si="111"/>
        <v>948</v>
      </c>
      <c r="B956" s="294"/>
      <c r="C956" s="201"/>
      <c r="D956" s="290"/>
      <c r="E956" s="301"/>
      <c r="F956" s="301"/>
      <c r="G956" s="290"/>
      <c r="H956" s="291"/>
      <c r="I956" s="292"/>
      <c r="J956" s="61"/>
      <c r="K956" s="57"/>
      <c r="L956" s="303"/>
      <c r="M956" s="201"/>
      <c r="N956" s="84" t="str">
        <f>IF($AI956&lt;&gt;"",Master!$N$37,IF($AC956&lt;&gt;"",Master!$N$38,IF($S956&lt;&gt;"",Master!$N$39,IF($C956&lt;&gt;"",Master!$N$40,Master!$N$41))))</f>
        <v>起票</v>
      </c>
      <c r="O956" s="202" t="str">
        <f>IF($N956=Master!$N$37,MAX($S956,$AC956,$AI956),"")</f>
        <v/>
      </c>
      <c r="P956" s="65"/>
      <c r="Q956" s="203"/>
      <c r="R956" s="57"/>
      <c r="S956" s="203"/>
      <c r="T956" s="310"/>
      <c r="U956" s="289"/>
      <c r="V956" s="57"/>
      <c r="W956" s="288"/>
      <c r="X956" s="288"/>
      <c r="Y956" s="296"/>
      <c r="Z956" s="57"/>
      <c r="AA956" s="203"/>
      <c r="AB956" s="288"/>
      <c r="AC956" s="201"/>
      <c r="AD956" s="298"/>
      <c r="AE956" s="297"/>
      <c r="AF956" s="58"/>
      <c r="AG956" s="204"/>
      <c r="AH956" s="57"/>
      <c r="AI956" s="201"/>
      <c r="AJ956" s="287"/>
      <c r="AK956" s="452"/>
      <c r="AL956" s="59"/>
      <c r="AM956" s="60"/>
      <c r="AO956" s="137" t="e">
        <f t="shared" si="130"/>
        <v>#N/A</v>
      </c>
      <c r="AP956" s="138" t="e">
        <f t="shared" si="131"/>
        <v>#N/A</v>
      </c>
      <c r="AQ956" s="138" t="e">
        <f t="shared" si="132"/>
        <v>#N/A</v>
      </c>
      <c r="AR956" s="138" t="e">
        <f t="shared" si="133"/>
        <v>#N/A</v>
      </c>
      <c r="AS956" s="138" t="e">
        <f t="shared" si="134"/>
        <v>#N/A</v>
      </c>
      <c r="AT956" s="139" t="e">
        <f t="shared" si="135"/>
        <v>#N/A</v>
      </c>
    </row>
    <row r="957" spans="1:46" ht="54" customHeight="1">
      <c r="A957" s="428">
        <f t="shared" si="111"/>
        <v>949</v>
      </c>
      <c r="B957" s="294"/>
      <c r="C957" s="201"/>
      <c r="D957" s="290"/>
      <c r="E957" s="301"/>
      <c r="F957" s="301"/>
      <c r="G957" s="290"/>
      <c r="H957" s="291"/>
      <c r="I957" s="292"/>
      <c r="J957" s="61"/>
      <c r="K957" s="57"/>
      <c r="L957" s="303"/>
      <c r="M957" s="201"/>
      <c r="N957" s="84" t="str">
        <f>IF($AI957&lt;&gt;"",Master!$N$37,IF($AC957&lt;&gt;"",Master!$N$38,IF($S957&lt;&gt;"",Master!$N$39,IF($C957&lt;&gt;"",Master!$N$40,Master!$N$41))))</f>
        <v>起票</v>
      </c>
      <c r="O957" s="202" t="str">
        <f>IF($N957=Master!$N$37,MAX($S957,$AC957,$AI957),"")</f>
        <v/>
      </c>
      <c r="P957" s="65"/>
      <c r="Q957" s="203"/>
      <c r="R957" s="57"/>
      <c r="S957" s="203"/>
      <c r="T957" s="310"/>
      <c r="U957" s="289"/>
      <c r="V957" s="57"/>
      <c r="W957" s="288"/>
      <c r="X957" s="288"/>
      <c r="Y957" s="296"/>
      <c r="Z957" s="57"/>
      <c r="AA957" s="203"/>
      <c r="AB957" s="288"/>
      <c r="AC957" s="201"/>
      <c r="AD957" s="298"/>
      <c r="AE957" s="297"/>
      <c r="AF957" s="58"/>
      <c r="AG957" s="204"/>
      <c r="AH957" s="57"/>
      <c r="AI957" s="201"/>
      <c r="AJ957" s="287"/>
      <c r="AK957" s="452"/>
      <c r="AL957" s="59"/>
      <c r="AM957" s="60"/>
      <c r="AO957" s="137" t="e">
        <f t="shared" si="130"/>
        <v>#N/A</v>
      </c>
      <c r="AP957" s="138" t="e">
        <f t="shared" si="131"/>
        <v>#N/A</v>
      </c>
      <c r="AQ957" s="138" t="e">
        <f t="shared" si="132"/>
        <v>#N/A</v>
      </c>
      <c r="AR957" s="138" t="e">
        <f t="shared" si="133"/>
        <v>#N/A</v>
      </c>
      <c r="AS957" s="138" t="e">
        <f t="shared" si="134"/>
        <v>#N/A</v>
      </c>
      <c r="AT957" s="139" t="e">
        <f t="shared" si="135"/>
        <v>#N/A</v>
      </c>
    </row>
    <row r="958" spans="1:46" ht="54" customHeight="1">
      <c r="A958" s="428">
        <f t="shared" si="111"/>
        <v>950</v>
      </c>
      <c r="B958" s="403"/>
      <c r="C958" s="404"/>
      <c r="D958" s="405"/>
      <c r="E958" s="405"/>
      <c r="F958" s="405"/>
      <c r="G958" s="405"/>
      <c r="H958" s="406"/>
      <c r="I958" s="407"/>
      <c r="J958" s="408"/>
      <c r="K958" s="409"/>
      <c r="L958" s="410"/>
      <c r="M958" s="404"/>
      <c r="N958" s="411" t="str">
        <f>IF($AI958&lt;&gt;"",Master!$N$37,IF($AC958&lt;&gt;"",Master!$N$38,IF($S958&lt;&gt;"",Master!$N$39,IF($C958&lt;&gt;"",Master!$N$40,Master!$N$41))))</f>
        <v>起票</v>
      </c>
      <c r="O958" s="412" t="str">
        <f>IF($N958=Master!$N$37,MAX($S958,$AC958,$AI958),"")</f>
        <v/>
      </c>
      <c r="P958" s="413"/>
      <c r="Q958" s="414"/>
      <c r="R958" s="409"/>
      <c r="S958" s="404"/>
      <c r="T958" s="418"/>
      <c r="U958" s="415"/>
      <c r="V958" s="409"/>
      <c r="W958" s="419"/>
      <c r="X958" s="419"/>
      <c r="Y958" s="416"/>
      <c r="Z958" s="417"/>
      <c r="AA958" s="418"/>
      <c r="AB958" s="419"/>
      <c r="AC958" s="404"/>
      <c r="AD958" s="404"/>
      <c r="AE958" s="420"/>
      <c r="AF958" s="421"/>
      <c r="AG958" s="418"/>
      <c r="AH958" s="409"/>
      <c r="AI958" s="404"/>
      <c r="AJ958" s="416"/>
      <c r="AK958" s="453"/>
      <c r="AL958" s="422"/>
      <c r="AM958" s="423"/>
      <c r="AO958" s="137" t="e">
        <f t="shared" si="130"/>
        <v>#N/A</v>
      </c>
      <c r="AP958" s="138" t="e">
        <f t="shared" si="131"/>
        <v>#N/A</v>
      </c>
      <c r="AQ958" s="138" t="e">
        <f t="shared" si="132"/>
        <v>#N/A</v>
      </c>
      <c r="AR958" s="138" t="e">
        <f t="shared" si="133"/>
        <v>#N/A</v>
      </c>
      <c r="AS958" s="138" t="e">
        <f t="shared" si="134"/>
        <v>#N/A</v>
      </c>
      <c r="AT958" s="139" t="e">
        <f t="shared" si="135"/>
        <v>#N/A</v>
      </c>
    </row>
    <row r="959" spans="1:46" ht="54" customHeight="1">
      <c r="A959" s="428">
        <f t="shared" si="111"/>
        <v>951</v>
      </c>
      <c r="B959" s="403"/>
      <c r="C959" s="404"/>
      <c r="D959" s="405"/>
      <c r="E959" s="405"/>
      <c r="F959" s="405"/>
      <c r="G959" s="405"/>
      <c r="H959" s="406"/>
      <c r="I959" s="407"/>
      <c r="J959" s="408"/>
      <c r="K959" s="409"/>
      <c r="L959" s="410"/>
      <c r="M959" s="404"/>
      <c r="N959" s="411" t="str">
        <f>IF($AI959&lt;&gt;"",Master!$N$37,IF($AC959&lt;&gt;"",Master!$N$38,IF($S959&lt;&gt;"",Master!$N$39,IF($C959&lt;&gt;"",Master!$N$40,Master!$N$41))))</f>
        <v>起票</v>
      </c>
      <c r="O959" s="412" t="str">
        <f>IF($N959=Master!$N$37,MAX($S959,$AC959,$AI959),"")</f>
        <v/>
      </c>
      <c r="P959" s="413"/>
      <c r="Q959" s="414"/>
      <c r="R959" s="409"/>
      <c r="S959" s="404"/>
      <c r="T959" s="418"/>
      <c r="U959" s="415"/>
      <c r="V959" s="409"/>
      <c r="W959" s="419"/>
      <c r="X959" s="419"/>
      <c r="Y959" s="416"/>
      <c r="Z959" s="417"/>
      <c r="AA959" s="418"/>
      <c r="AB959" s="419"/>
      <c r="AC959" s="404"/>
      <c r="AD959" s="404"/>
      <c r="AE959" s="420"/>
      <c r="AF959" s="421"/>
      <c r="AG959" s="418"/>
      <c r="AH959" s="409"/>
      <c r="AI959" s="404"/>
      <c r="AJ959" s="416"/>
      <c r="AK959" s="453"/>
      <c r="AL959" s="422"/>
      <c r="AM959" s="423"/>
      <c r="AO959" s="137" t="e">
        <f t="shared" si="130"/>
        <v>#N/A</v>
      </c>
      <c r="AP959" s="138" t="e">
        <f t="shared" si="131"/>
        <v>#N/A</v>
      </c>
      <c r="AQ959" s="138" t="e">
        <f t="shared" si="132"/>
        <v>#N/A</v>
      </c>
      <c r="AR959" s="138" t="e">
        <f t="shared" si="133"/>
        <v>#N/A</v>
      </c>
      <c r="AS959" s="138" t="e">
        <f t="shared" si="134"/>
        <v>#N/A</v>
      </c>
      <c r="AT959" s="139" t="e">
        <f t="shared" si="135"/>
        <v>#N/A</v>
      </c>
    </row>
    <row r="960" spans="1:46" ht="54" customHeight="1">
      <c r="A960" s="428">
        <f t="shared" si="111"/>
        <v>952</v>
      </c>
      <c r="B960" s="403"/>
      <c r="C960" s="404"/>
      <c r="D960" s="405"/>
      <c r="E960" s="405"/>
      <c r="F960" s="405"/>
      <c r="G960" s="405"/>
      <c r="H960" s="406"/>
      <c r="I960" s="407"/>
      <c r="J960" s="408"/>
      <c r="K960" s="409"/>
      <c r="L960" s="410"/>
      <c r="M960" s="404"/>
      <c r="N960" s="411" t="str">
        <f>IF($AI960&lt;&gt;"",Master!$N$37,IF($AC960&lt;&gt;"",Master!$N$38,IF($S960&lt;&gt;"",Master!$N$39,IF($C960&lt;&gt;"",Master!$N$40,Master!$N$41))))</f>
        <v>起票</v>
      </c>
      <c r="O960" s="412" t="str">
        <f>IF($N960=Master!$N$37,MAX($S960,$AC960,$AI960),"")</f>
        <v/>
      </c>
      <c r="P960" s="413"/>
      <c r="Q960" s="414"/>
      <c r="R960" s="409"/>
      <c r="S960" s="404"/>
      <c r="T960" s="418"/>
      <c r="U960" s="415"/>
      <c r="V960" s="409"/>
      <c r="W960" s="419"/>
      <c r="X960" s="419"/>
      <c r="Y960" s="416"/>
      <c r="Z960" s="417"/>
      <c r="AA960" s="418"/>
      <c r="AB960" s="419"/>
      <c r="AC960" s="404"/>
      <c r="AD960" s="404"/>
      <c r="AE960" s="420"/>
      <c r="AF960" s="421"/>
      <c r="AG960" s="418"/>
      <c r="AH960" s="409"/>
      <c r="AI960" s="404"/>
      <c r="AJ960" s="416"/>
      <c r="AK960" s="453"/>
      <c r="AL960" s="422"/>
      <c r="AM960" s="423"/>
      <c r="AO960" s="137" t="e">
        <f t="shared" si="130"/>
        <v>#N/A</v>
      </c>
      <c r="AP960" s="138" t="e">
        <f t="shared" si="131"/>
        <v>#N/A</v>
      </c>
      <c r="AQ960" s="138" t="e">
        <f t="shared" si="132"/>
        <v>#N/A</v>
      </c>
      <c r="AR960" s="138" t="e">
        <f t="shared" si="133"/>
        <v>#N/A</v>
      </c>
      <c r="AS960" s="138" t="e">
        <f t="shared" si="134"/>
        <v>#N/A</v>
      </c>
      <c r="AT960" s="139" t="e">
        <f t="shared" si="135"/>
        <v>#N/A</v>
      </c>
    </row>
    <row r="961" spans="1:46" ht="54" customHeight="1">
      <c r="A961" s="428">
        <f t="shared" si="111"/>
        <v>953</v>
      </c>
      <c r="B961" s="294"/>
      <c r="C961" s="201"/>
      <c r="D961" s="290"/>
      <c r="E961" s="301"/>
      <c r="F961" s="301"/>
      <c r="G961" s="290"/>
      <c r="H961" s="291"/>
      <c r="I961" s="292"/>
      <c r="J961" s="61"/>
      <c r="K961" s="57"/>
      <c r="L961" s="303"/>
      <c r="M961" s="201"/>
      <c r="N961" s="84" t="str">
        <f>IF($AI961&lt;&gt;"",Master!$N$37,IF($AC961&lt;&gt;"",Master!$N$38,IF($S961&lt;&gt;"",Master!$N$39,IF($C961&lt;&gt;"",Master!$N$40,Master!$N$41))))</f>
        <v>起票</v>
      </c>
      <c r="O961" s="202" t="str">
        <f>IF($N961=Master!$N$37,MAX($S961,$AC961,$AI961),"")</f>
        <v/>
      </c>
      <c r="P961" s="65"/>
      <c r="Q961" s="203"/>
      <c r="R961" s="57"/>
      <c r="S961" s="203"/>
      <c r="T961" s="310"/>
      <c r="U961" s="289"/>
      <c r="V961" s="57"/>
      <c r="W961" s="288"/>
      <c r="X961" s="288"/>
      <c r="Y961" s="296"/>
      <c r="Z961" s="57"/>
      <c r="AA961" s="203"/>
      <c r="AB961" s="288"/>
      <c r="AC961" s="201"/>
      <c r="AD961" s="298"/>
      <c r="AE961" s="297"/>
      <c r="AF961" s="58"/>
      <c r="AG961" s="204"/>
      <c r="AH961" s="57"/>
      <c r="AI961" s="201"/>
      <c r="AJ961" s="287"/>
      <c r="AK961" s="452"/>
      <c r="AL961" s="59"/>
      <c r="AM961" s="60"/>
      <c r="AO961" s="137" t="e">
        <f t="shared" si="130"/>
        <v>#N/A</v>
      </c>
      <c r="AP961" s="138" t="e">
        <f t="shared" si="131"/>
        <v>#N/A</v>
      </c>
      <c r="AQ961" s="138" t="e">
        <f t="shared" si="132"/>
        <v>#N/A</v>
      </c>
      <c r="AR961" s="138" t="e">
        <f t="shared" si="133"/>
        <v>#N/A</v>
      </c>
      <c r="AS961" s="138" t="e">
        <f t="shared" si="134"/>
        <v>#N/A</v>
      </c>
      <c r="AT961" s="139" t="e">
        <f t="shared" si="135"/>
        <v>#N/A</v>
      </c>
    </row>
    <row r="962" spans="1:46" ht="54" customHeight="1">
      <c r="A962" s="428">
        <f t="shared" si="111"/>
        <v>954</v>
      </c>
      <c r="B962" s="294"/>
      <c r="C962" s="201"/>
      <c r="D962" s="290"/>
      <c r="E962" s="301"/>
      <c r="F962" s="301"/>
      <c r="G962" s="290"/>
      <c r="H962" s="291"/>
      <c r="I962" s="292"/>
      <c r="J962" s="61"/>
      <c r="K962" s="57"/>
      <c r="L962" s="303"/>
      <c r="M962" s="201"/>
      <c r="N962" s="84" t="str">
        <f>IF($AI962&lt;&gt;"",Master!$N$37,IF($AC962&lt;&gt;"",Master!$N$38,IF($S962&lt;&gt;"",Master!$N$39,IF($C962&lt;&gt;"",Master!$N$40,Master!$N$41))))</f>
        <v>起票</v>
      </c>
      <c r="O962" s="202" t="str">
        <f>IF($N962=Master!$N$37,MAX($S962,$AC962,$AI962),"")</f>
        <v/>
      </c>
      <c r="P962" s="65"/>
      <c r="Q962" s="203"/>
      <c r="R962" s="57"/>
      <c r="S962" s="203"/>
      <c r="T962" s="310"/>
      <c r="U962" s="289"/>
      <c r="V962" s="57"/>
      <c r="W962" s="288"/>
      <c r="X962" s="288"/>
      <c r="Y962" s="296"/>
      <c r="Z962" s="57"/>
      <c r="AA962" s="203"/>
      <c r="AB962" s="288"/>
      <c r="AC962" s="201"/>
      <c r="AD962" s="298"/>
      <c r="AE962" s="297"/>
      <c r="AF962" s="58"/>
      <c r="AG962" s="204"/>
      <c r="AH962" s="57"/>
      <c r="AI962" s="201"/>
      <c r="AJ962" s="287"/>
      <c r="AK962" s="452"/>
      <c r="AL962" s="59"/>
      <c r="AM962" s="60"/>
      <c r="AO962" s="137" t="e">
        <f t="shared" si="130"/>
        <v>#N/A</v>
      </c>
      <c r="AP962" s="138" t="e">
        <f t="shared" si="131"/>
        <v>#N/A</v>
      </c>
      <c r="AQ962" s="138" t="e">
        <f t="shared" si="132"/>
        <v>#N/A</v>
      </c>
      <c r="AR962" s="138" t="e">
        <f t="shared" si="133"/>
        <v>#N/A</v>
      </c>
      <c r="AS962" s="138" t="e">
        <f t="shared" si="134"/>
        <v>#N/A</v>
      </c>
      <c r="AT962" s="139" t="e">
        <f t="shared" si="135"/>
        <v>#N/A</v>
      </c>
    </row>
    <row r="963" spans="1:46" ht="54" customHeight="1">
      <c r="A963" s="428">
        <f t="shared" si="111"/>
        <v>955</v>
      </c>
      <c r="B963" s="403"/>
      <c r="C963" s="404"/>
      <c r="D963" s="405"/>
      <c r="E963" s="405"/>
      <c r="F963" s="405"/>
      <c r="G963" s="405"/>
      <c r="H963" s="406"/>
      <c r="I963" s="407"/>
      <c r="J963" s="408"/>
      <c r="K963" s="409"/>
      <c r="L963" s="410"/>
      <c r="M963" s="404"/>
      <c r="N963" s="411" t="str">
        <f>IF($AI963&lt;&gt;"",Master!$N$37,IF($AC963&lt;&gt;"",Master!$N$38,IF($S963&lt;&gt;"",Master!$N$39,IF($C963&lt;&gt;"",Master!$N$40,Master!$N$41))))</f>
        <v>起票</v>
      </c>
      <c r="O963" s="412" t="str">
        <f>IF($N963=Master!$N$37,MAX($S963,$AC963,$AI963),"")</f>
        <v/>
      </c>
      <c r="P963" s="413"/>
      <c r="Q963" s="414"/>
      <c r="R963" s="409"/>
      <c r="S963" s="404"/>
      <c r="T963" s="418"/>
      <c r="U963" s="415"/>
      <c r="V963" s="409"/>
      <c r="W963" s="419"/>
      <c r="X963" s="419"/>
      <c r="Y963" s="416"/>
      <c r="Z963" s="417"/>
      <c r="AA963" s="418"/>
      <c r="AB963" s="419"/>
      <c r="AC963" s="404"/>
      <c r="AD963" s="404"/>
      <c r="AE963" s="420"/>
      <c r="AF963" s="421"/>
      <c r="AG963" s="418"/>
      <c r="AH963" s="409"/>
      <c r="AI963" s="404"/>
      <c r="AJ963" s="416"/>
      <c r="AK963" s="453"/>
      <c r="AL963" s="422"/>
      <c r="AM963" s="423"/>
      <c r="AO963" s="137" t="e">
        <f t="shared" si="130"/>
        <v>#N/A</v>
      </c>
      <c r="AP963" s="138" t="e">
        <f t="shared" si="131"/>
        <v>#N/A</v>
      </c>
      <c r="AQ963" s="138" t="e">
        <f t="shared" si="132"/>
        <v>#N/A</v>
      </c>
      <c r="AR963" s="138" t="e">
        <f t="shared" si="133"/>
        <v>#N/A</v>
      </c>
      <c r="AS963" s="138" t="e">
        <f t="shared" si="134"/>
        <v>#N/A</v>
      </c>
      <c r="AT963" s="139" t="e">
        <f t="shared" si="135"/>
        <v>#N/A</v>
      </c>
    </row>
    <row r="964" spans="1:46" ht="54" customHeight="1">
      <c r="A964" s="428">
        <f t="shared" si="111"/>
        <v>956</v>
      </c>
      <c r="B964" s="403"/>
      <c r="C964" s="404"/>
      <c r="D964" s="405"/>
      <c r="E964" s="405"/>
      <c r="F964" s="405"/>
      <c r="G964" s="405"/>
      <c r="H964" s="406"/>
      <c r="I964" s="407"/>
      <c r="J964" s="408"/>
      <c r="K964" s="409"/>
      <c r="L964" s="410"/>
      <c r="M964" s="404"/>
      <c r="N964" s="411" t="str">
        <f>IF($AI964&lt;&gt;"",Master!$N$37,IF($AC964&lt;&gt;"",Master!$N$38,IF($S964&lt;&gt;"",Master!$N$39,IF($C964&lt;&gt;"",Master!$N$40,Master!$N$41))))</f>
        <v>起票</v>
      </c>
      <c r="O964" s="412" t="str">
        <f>IF($N964=Master!$N$37,MAX($S964,$AC964,$AI964),"")</f>
        <v/>
      </c>
      <c r="P964" s="413"/>
      <c r="Q964" s="414"/>
      <c r="R964" s="409"/>
      <c r="S964" s="404"/>
      <c r="T964" s="418"/>
      <c r="U964" s="415"/>
      <c r="V964" s="409"/>
      <c r="W964" s="419"/>
      <c r="X964" s="419"/>
      <c r="Y964" s="416"/>
      <c r="Z964" s="417"/>
      <c r="AA964" s="418"/>
      <c r="AB964" s="419"/>
      <c r="AC964" s="404"/>
      <c r="AD964" s="404"/>
      <c r="AE964" s="420"/>
      <c r="AF964" s="421"/>
      <c r="AG964" s="418"/>
      <c r="AH964" s="409"/>
      <c r="AI964" s="404"/>
      <c r="AJ964" s="416"/>
      <c r="AK964" s="453"/>
      <c r="AL964" s="422"/>
      <c r="AM964" s="423"/>
      <c r="AO964" s="137" t="e">
        <f t="shared" si="130"/>
        <v>#N/A</v>
      </c>
      <c r="AP964" s="138" t="e">
        <f t="shared" si="131"/>
        <v>#N/A</v>
      </c>
      <c r="AQ964" s="138" t="e">
        <f t="shared" si="132"/>
        <v>#N/A</v>
      </c>
      <c r="AR964" s="138" t="e">
        <f t="shared" si="133"/>
        <v>#N/A</v>
      </c>
      <c r="AS964" s="138" t="e">
        <f t="shared" si="134"/>
        <v>#N/A</v>
      </c>
      <c r="AT964" s="139" t="e">
        <f t="shared" si="135"/>
        <v>#N/A</v>
      </c>
    </row>
    <row r="965" spans="1:46" ht="54" customHeight="1">
      <c r="A965" s="428">
        <f t="shared" si="111"/>
        <v>957</v>
      </c>
      <c r="B965" s="403"/>
      <c r="C965" s="404"/>
      <c r="D965" s="405"/>
      <c r="E965" s="405"/>
      <c r="F965" s="405"/>
      <c r="G965" s="405"/>
      <c r="H965" s="406"/>
      <c r="I965" s="407"/>
      <c r="J965" s="408"/>
      <c r="K965" s="409"/>
      <c r="L965" s="410"/>
      <c r="M965" s="404"/>
      <c r="N965" s="411" t="str">
        <f>IF($AI965&lt;&gt;"",Master!$N$37,IF($AC965&lt;&gt;"",Master!$N$38,IF($S965&lt;&gt;"",Master!$N$39,IF($C965&lt;&gt;"",Master!$N$40,Master!$N$41))))</f>
        <v>起票</v>
      </c>
      <c r="O965" s="412" t="str">
        <f>IF($N965=Master!$N$37,MAX($S965,$AC965,$AI965),"")</f>
        <v/>
      </c>
      <c r="P965" s="413"/>
      <c r="Q965" s="414"/>
      <c r="R965" s="409"/>
      <c r="S965" s="404"/>
      <c r="T965" s="418"/>
      <c r="U965" s="415"/>
      <c r="V965" s="409"/>
      <c r="W965" s="419"/>
      <c r="X965" s="419"/>
      <c r="Y965" s="416"/>
      <c r="Z965" s="417"/>
      <c r="AA965" s="418"/>
      <c r="AB965" s="419"/>
      <c r="AC965" s="404"/>
      <c r="AD965" s="404"/>
      <c r="AE965" s="420"/>
      <c r="AF965" s="421"/>
      <c r="AG965" s="418"/>
      <c r="AH965" s="409"/>
      <c r="AI965" s="404"/>
      <c r="AJ965" s="416"/>
      <c r="AK965" s="453"/>
      <c r="AL965" s="422"/>
      <c r="AM965" s="423"/>
      <c r="AO965" s="137" t="e">
        <f t="shared" si="130"/>
        <v>#N/A</v>
      </c>
      <c r="AP965" s="138" t="e">
        <f t="shared" si="131"/>
        <v>#N/A</v>
      </c>
      <c r="AQ965" s="138" t="e">
        <f t="shared" si="132"/>
        <v>#N/A</v>
      </c>
      <c r="AR965" s="138" t="e">
        <f t="shared" si="133"/>
        <v>#N/A</v>
      </c>
      <c r="AS965" s="138" t="e">
        <f t="shared" si="134"/>
        <v>#N/A</v>
      </c>
      <c r="AT965" s="139" t="e">
        <f t="shared" si="135"/>
        <v>#N/A</v>
      </c>
    </row>
    <row r="966" spans="1:46" ht="54" customHeight="1">
      <c r="A966" s="428">
        <f t="shared" si="111"/>
        <v>958</v>
      </c>
      <c r="B966" s="294"/>
      <c r="C966" s="201"/>
      <c r="D966" s="290"/>
      <c r="E966" s="301"/>
      <c r="F966" s="301"/>
      <c r="G966" s="290"/>
      <c r="H966" s="291"/>
      <c r="I966" s="292"/>
      <c r="J966" s="61"/>
      <c r="K966" s="57"/>
      <c r="L966" s="303"/>
      <c r="M966" s="201"/>
      <c r="N966" s="84" t="str">
        <f>IF($AI966&lt;&gt;"",Master!$N$37,IF($AC966&lt;&gt;"",Master!$N$38,IF($S966&lt;&gt;"",Master!$N$39,IF($C966&lt;&gt;"",Master!$N$40,Master!$N$41))))</f>
        <v>起票</v>
      </c>
      <c r="O966" s="202" t="str">
        <f>IF($N966=Master!$N$37,MAX($S966,$AC966,$AI966),"")</f>
        <v/>
      </c>
      <c r="P966" s="65"/>
      <c r="Q966" s="203"/>
      <c r="R966" s="57"/>
      <c r="S966" s="203"/>
      <c r="T966" s="310"/>
      <c r="U966" s="289"/>
      <c r="V966" s="57"/>
      <c r="W966" s="288"/>
      <c r="X966" s="288"/>
      <c r="Y966" s="296"/>
      <c r="Z966" s="57"/>
      <c r="AA966" s="203"/>
      <c r="AB966" s="288"/>
      <c r="AC966" s="201"/>
      <c r="AD966" s="298"/>
      <c r="AE966" s="297"/>
      <c r="AF966" s="58"/>
      <c r="AG966" s="204"/>
      <c r="AH966" s="57"/>
      <c r="AI966" s="201"/>
      <c r="AJ966" s="287"/>
      <c r="AK966" s="452"/>
      <c r="AL966" s="59"/>
      <c r="AM966" s="60"/>
      <c r="AO966" s="137" t="e">
        <f t="shared" si="130"/>
        <v>#N/A</v>
      </c>
      <c r="AP966" s="138" t="e">
        <f t="shared" si="131"/>
        <v>#N/A</v>
      </c>
      <c r="AQ966" s="138" t="e">
        <f t="shared" si="132"/>
        <v>#N/A</v>
      </c>
      <c r="AR966" s="138" t="e">
        <f t="shared" si="133"/>
        <v>#N/A</v>
      </c>
      <c r="AS966" s="138" t="e">
        <f t="shared" si="134"/>
        <v>#N/A</v>
      </c>
      <c r="AT966" s="139" t="e">
        <f t="shared" si="135"/>
        <v>#N/A</v>
      </c>
    </row>
    <row r="967" spans="1:46" ht="54" customHeight="1">
      <c r="A967" s="428">
        <f t="shared" si="111"/>
        <v>959</v>
      </c>
      <c r="B967" s="294"/>
      <c r="C967" s="201"/>
      <c r="D967" s="290"/>
      <c r="E967" s="301"/>
      <c r="F967" s="301"/>
      <c r="G967" s="290"/>
      <c r="H967" s="291"/>
      <c r="I967" s="292"/>
      <c r="J967" s="61"/>
      <c r="K967" s="57"/>
      <c r="L967" s="303"/>
      <c r="M967" s="201"/>
      <c r="N967" s="84" t="str">
        <f>IF($AI967&lt;&gt;"",Master!$N$37,IF($AC967&lt;&gt;"",Master!$N$38,IF($S967&lt;&gt;"",Master!$N$39,IF($C967&lt;&gt;"",Master!$N$40,Master!$N$41))))</f>
        <v>起票</v>
      </c>
      <c r="O967" s="202" t="str">
        <f>IF($N967=Master!$N$37,MAX($S967,$AC967,$AI967),"")</f>
        <v/>
      </c>
      <c r="P967" s="65"/>
      <c r="Q967" s="203"/>
      <c r="R967" s="57"/>
      <c r="S967" s="203"/>
      <c r="T967" s="310"/>
      <c r="U967" s="289"/>
      <c r="V967" s="57"/>
      <c r="W967" s="288"/>
      <c r="X967" s="288"/>
      <c r="Y967" s="296"/>
      <c r="Z967" s="57"/>
      <c r="AA967" s="203"/>
      <c r="AB967" s="288"/>
      <c r="AC967" s="201"/>
      <c r="AD967" s="298"/>
      <c r="AE967" s="297"/>
      <c r="AF967" s="58"/>
      <c r="AG967" s="204"/>
      <c r="AH967" s="57"/>
      <c r="AI967" s="201"/>
      <c r="AJ967" s="287"/>
      <c r="AK967" s="452"/>
      <c r="AL967" s="59"/>
      <c r="AM967" s="60"/>
      <c r="AO967" s="137" t="e">
        <f t="shared" si="130"/>
        <v>#N/A</v>
      </c>
      <c r="AP967" s="138" t="e">
        <f t="shared" si="131"/>
        <v>#N/A</v>
      </c>
      <c r="AQ967" s="138" t="e">
        <f t="shared" si="132"/>
        <v>#N/A</v>
      </c>
      <c r="AR967" s="138" t="e">
        <f t="shared" si="133"/>
        <v>#N/A</v>
      </c>
      <c r="AS967" s="138" t="e">
        <f t="shared" si="134"/>
        <v>#N/A</v>
      </c>
      <c r="AT967" s="139" t="e">
        <f t="shared" si="135"/>
        <v>#N/A</v>
      </c>
    </row>
    <row r="968" spans="1:46" ht="54" customHeight="1">
      <c r="A968" s="428">
        <f t="shared" si="111"/>
        <v>960</v>
      </c>
      <c r="B968" s="403"/>
      <c r="C968" s="404"/>
      <c r="D968" s="405"/>
      <c r="E968" s="405"/>
      <c r="F968" s="405"/>
      <c r="G968" s="405"/>
      <c r="H968" s="406"/>
      <c r="I968" s="407"/>
      <c r="J968" s="408"/>
      <c r="K968" s="409"/>
      <c r="L968" s="410"/>
      <c r="M968" s="404"/>
      <c r="N968" s="411" t="str">
        <f>IF($AI968&lt;&gt;"",Master!$N$37,IF($AC968&lt;&gt;"",Master!$N$38,IF($S968&lt;&gt;"",Master!$N$39,IF($C968&lt;&gt;"",Master!$N$40,Master!$N$41))))</f>
        <v>起票</v>
      </c>
      <c r="O968" s="412" t="str">
        <f>IF($N968=Master!$N$37,MAX($S968,$AC968,$AI968),"")</f>
        <v/>
      </c>
      <c r="P968" s="413"/>
      <c r="Q968" s="414"/>
      <c r="R968" s="409"/>
      <c r="S968" s="404"/>
      <c r="T968" s="418"/>
      <c r="U968" s="415"/>
      <c r="V968" s="409"/>
      <c r="W968" s="419"/>
      <c r="X968" s="419"/>
      <c r="Y968" s="416"/>
      <c r="Z968" s="417"/>
      <c r="AA968" s="418"/>
      <c r="AB968" s="419"/>
      <c r="AC968" s="404"/>
      <c r="AD968" s="404"/>
      <c r="AE968" s="420"/>
      <c r="AF968" s="421"/>
      <c r="AG968" s="418"/>
      <c r="AH968" s="409"/>
      <c r="AI968" s="404"/>
      <c r="AJ968" s="416"/>
      <c r="AK968" s="453"/>
      <c r="AL968" s="422"/>
      <c r="AM968" s="423"/>
      <c r="AO968" s="137" t="e">
        <f t="shared" si="130"/>
        <v>#N/A</v>
      </c>
      <c r="AP968" s="138" t="e">
        <f t="shared" si="131"/>
        <v>#N/A</v>
      </c>
      <c r="AQ968" s="138" t="e">
        <f t="shared" si="132"/>
        <v>#N/A</v>
      </c>
      <c r="AR968" s="138" t="e">
        <f t="shared" si="133"/>
        <v>#N/A</v>
      </c>
      <c r="AS968" s="138" t="e">
        <f t="shared" si="134"/>
        <v>#N/A</v>
      </c>
      <c r="AT968" s="139" t="e">
        <f t="shared" si="135"/>
        <v>#N/A</v>
      </c>
    </row>
    <row r="969" spans="1:46" ht="54" customHeight="1">
      <c r="A969" s="428">
        <f t="shared" si="111"/>
        <v>961</v>
      </c>
      <c r="B969" s="403"/>
      <c r="C969" s="404"/>
      <c r="D969" s="405"/>
      <c r="E969" s="405"/>
      <c r="F969" s="405"/>
      <c r="G969" s="405"/>
      <c r="H969" s="406"/>
      <c r="I969" s="407"/>
      <c r="J969" s="408"/>
      <c r="K969" s="409"/>
      <c r="L969" s="410"/>
      <c r="M969" s="404"/>
      <c r="N969" s="411" t="str">
        <f>IF($AI969&lt;&gt;"",Master!$N$37,IF($AC969&lt;&gt;"",Master!$N$38,IF($S969&lt;&gt;"",Master!$N$39,IF($C969&lt;&gt;"",Master!$N$40,Master!$N$41))))</f>
        <v>起票</v>
      </c>
      <c r="O969" s="412" t="str">
        <f>IF($N969=Master!$N$37,MAX($S969,$AC969,$AI969),"")</f>
        <v/>
      </c>
      <c r="P969" s="413"/>
      <c r="Q969" s="414"/>
      <c r="R969" s="409"/>
      <c r="S969" s="404"/>
      <c r="T969" s="418"/>
      <c r="U969" s="415"/>
      <c r="V969" s="409"/>
      <c r="W969" s="419"/>
      <c r="X969" s="419"/>
      <c r="Y969" s="416"/>
      <c r="Z969" s="417"/>
      <c r="AA969" s="418"/>
      <c r="AB969" s="419"/>
      <c r="AC969" s="404"/>
      <c r="AD969" s="404"/>
      <c r="AE969" s="420"/>
      <c r="AF969" s="421"/>
      <c r="AG969" s="418"/>
      <c r="AH969" s="409"/>
      <c r="AI969" s="404"/>
      <c r="AJ969" s="416"/>
      <c r="AK969" s="453"/>
      <c r="AL969" s="422"/>
      <c r="AM969" s="423"/>
      <c r="AO969" s="137" t="e">
        <f t="shared" si="130"/>
        <v>#N/A</v>
      </c>
      <c r="AP969" s="138" t="e">
        <f t="shared" si="131"/>
        <v>#N/A</v>
      </c>
      <c r="AQ969" s="138" t="e">
        <f t="shared" si="132"/>
        <v>#N/A</v>
      </c>
      <c r="AR969" s="138" t="e">
        <f t="shared" si="133"/>
        <v>#N/A</v>
      </c>
      <c r="AS969" s="138" t="e">
        <f t="shared" si="134"/>
        <v>#N/A</v>
      </c>
      <c r="AT969" s="139" t="e">
        <f t="shared" si="135"/>
        <v>#N/A</v>
      </c>
    </row>
    <row r="970" spans="1:46" ht="54" customHeight="1">
      <c r="A970" s="428">
        <f t="shared" si="111"/>
        <v>962</v>
      </c>
      <c r="B970" s="403"/>
      <c r="C970" s="404"/>
      <c r="D970" s="405"/>
      <c r="E970" s="405"/>
      <c r="F970" s="405"/>
      <c r="G970" s="405"/>
      <c r="H970" s="406"/>
      <c r="I970" s="407"/>
      <c r="J970" s="408"/>
      <c r="K970" s="409"/>
      <c r="L970" s="410"/>
      <c r="M970" s="404"/>
      <c r="N970" s="411" t="str">
        <f>IF($AI970&lt;&gt;"",Master!$N$37,IF($AC970&lt;&gt;"",Master!$N$38,IF($S970&lt;&gt;"",Master!$N$39,IF($C970&lt;&gt;"",Master!$N$40,Master!$N$41))))</f>
        <v>起票</v>
      </c>
      <c r="O970" s="412" t="str">
        <f>IF($N970=Master!$N$37,MAX($S970,$AC970,$AI970),"")</f>
        <v/>
      </c>
      <c r="P970" s="413"/>
      <c r="Q970" s="414"/>
      <c r="R970" s="409"/>
      <c r="S970" s="404"/>
      <c r="T970" s="418"/>
      <c r="U970" s="415"/>
      <c r="V970" s="409"/>
      <c r="W970" s="419"/>
      <c r="X970" s="419"/>
      <c r="Y970" s="416"/>
      <c r="Z970" s="417"/>
      <c r="AA970" s="418"/>
      <c r="AB970" s="419"/>
      <c r="AC970" s="404"/>
      <c r="AD970" s="404"/>
      <c r="AE970" s="420"/>
      <c r="AF970" s="421"/>
      <c r="AG970" s="418"/>
      <c r="AH970" s="409"/>
      <c r="AI970" s="404"/>
      <c r="AJ970" s="416"/>
      <c r="AK970" s="453"/>
      <c r="AL970" s="422"/>
      <c r="AM970" s="423"/>
      <c r="AO970" s="137" t="e">
        <f t="shared" si="130"/>
        <v>#N/A</v>
      </c>
      <c r="AP970" s="138" t="e">
        <f t="shared" si="131"/>
        <v>#N/A</v>
      </c>
      <c r="AQ970" s="138" t="e">
        <f t="shared" si="132"/>
        <v>#N/A</v>
      </c>
      <c r="AR970" s="138" t="e">
        <f t="shared" si="133"/>
        <v>#N/A</v>
      </c>
      <c r="AS970" s="138" t="e">
        <f t="shared" si="134"/>
        <v>#N/A</v>
      </c>
      <c r="AT970" s="139" t="e">
        <f t="shared" si="135"/>
        <v>#N/A</v>
      </c>
    </row>
    <row r="971" spans="1:46" ht="54" customHeight="1">
      <c r="A971" s="428">
        <f t="shared" si="111"/>
        <v>963</v>
      </c>
      <c r="B971" s="294"/>
      <c r="C971" s="201"/>
      <c r="D971" s="290"/>
      <c r="E971" s="301"/>
      <c r="F971" s="301"/>
      <c r="G971" s="290"/>
      <c r="H971" s="291"/>
      <c r="I971" s="292"/>
      <c r="J971" s="61"/>
      <c r="K971" s="57"/>
      <c r="L971" s="303"/>
      <c r="M971" s="201"/>
      <c r="N971" s="84" t="str">
        <f>IF($AI971&lt;&gt;"",Master!$N$37,IF($AC971&lt;&gt;"",Master!$N$38,IF($S971&lt;&gt;"",Master!$N$39,IF($C971&lt;&gt;"",Master!$N$40,Master!$N$41))))</f>
        <v>起票</v>
      </c>
      <c r="O971" s="202" t="str">
        <f>IF($N971=Master!$N$37,MAX($S971,$AC971,$AI971),"")</f>
        <v/>
      </c>
      <c r="P971" s="65"/>
      <c r="Q971" s="203"/>
      <c r="R971" s="57"/>
      <c r="S971" s="203"/>
      <c r="T971" s="310"/>
      <c r="U971" s="289"/>
      <c r="V971" s="57"/>
      <c r="W971" s="288"/>
      <c r="X971" s="288"/>
      <c r="Y971" s="296"/>
      <c r="Z971" s="57"/>
      <c r="AA971" s="203"/>
      <c r="AB971" s="288"/>
      <c r="AC971" s="201"/>
      <c r="AD971" s="298"/>
      <c r="AE971" s="297"/>
      <c r="AF971" s="58"/>
      <c r="AG971" s="204"/>
      <c r="AH971" s="57"/>
      <c r="AI971" s="201"/>
      <c r="AJ971" s="287"/>
      <c r="AK971" s="452"/>
      <c r="AL971" s="59"/>
      <c r="AM971" s="60"/>
      <c r="AO971" s="137" t="e">
        <f t="shared" si="130"/>
        <v>#N/A</v>
      </c>
      <c r="AP971" s="138" t="e">
        <f t="shared" si="131"/>
        <v>#N/A</v>
      </c>
      <c r="AQ971" s="138" t="e">
        <f t="shared" si="132"/>
        <v>#N/A</v>
      </c>
      <c r="AR971" s="138" t="e">
        <f t="shared" si="133"/>
        <v>#N/A</v>
      </c>
      <c r="AS971" s="138" t="e">
        <f t="shared" si="134"/>
        <v>#N/A</v>
      </c>
      <c r="AT971" s="139" t="e">
        <f t="shared" si="135"/>
        <v>#N/A</v>
      </c>
    </row>
    <row r="972" spans="1:46" ht="54" customHeight="1">
      <c r="A972" s="428">
        <f t="shared" ref="A972:A1035" si="136">A971+1</f>
        <v>964</v>
      </c>
      <c r="B972" s="294"/>
      <c r="C972" s="201"/>
      <c r="D972" s="290"/>
      <c r="E972" s="301"/>
      <c r="F972" s="301"/>
      <c r="G972" s="290"/>
      <c r="H972" s="291"/>
      <c r="I972" s="292"/>
      <c r="J972" s="61"/>
      <c r="K972" s="57"/>
      <c r="L972" s="303"/>
      <c r="M972" s="201"/>
      <c r="N972" s="84" t="str">
        <f>IF($AI972&lt;&gt;"",Master!$N$37,IF($AC972&lt;&gt;"",Master!$N$38,IF($S972&lt;&gt;"",Master!$N$39,IF($C972&lt;&gt;"",Master!$N$40,Master!$N$41))))</f>
        <v>起票</v>
      </c>
      <c r="O972" s="202" t="str">
        <f>IF($N972=Master!$N$37,MAX($S972,$AC972,$AI972),"")</f>
        <v/>
      </c>
      <c r="P972" s="65"/>
      <c r="Q972" s="203"/>
      <c r="R972" s="57"/>
      <c r="S972" s="203"/>
      <c r="T972" s="310"/>
      <c r="U972" s="289"/>
      <c r="V972" s="57"/>
      <c r="W972" s="288"/>
      <c r="X972" s="288"/>
      <c r="Y972" s="296"/>
      <c r="Z972" s="57"/>
      <c r="AA972" s="203"/>
      <c r="AB972" s="288"/>
      <c r="AC972" s="201"/>
      <c r="AD972" s="298"/>
      <c r="AE972" s="297"/>
      <c r="AF972" s="58"/>
      <c r="AG972" s="204"/>
      <c r="AH972" s="57"/>
      <c r="AI972" s="201"/>
      <c r="AJ972" s="287"/>
      <c r="AK972" s="452"/>
      <c r="AL972" s="59"/>
      <c r="AM972" s="60"/>
      <c r="AO972" s="137" t="e">
        <f t="shared" si="130"/>
        <v>#N/A</v>
      </c>
      <c r="AP972" s="138" t="e">
        <f t="shared" si="131"/>
        <v>#N/A</v>
      </c>
      <c r="AQ972" s="138" t="e">
        <f t="shared" si="132"/>
        <v>#N/A</v>
      </c>
      <c r="AR972" s="138" t="e">
        <f t="shared" si="133"/>
        <v>#N/A</v>
      </c>
      <c r="AS972" s="138" t="e">
        <f t="shared" si="134"/>
        <v>#N/A</v>
      </c>
      <c r="AT972" s="139" t="e">
        <f t="shared" si="135"/>
        <v>#N/A</v>
      </c>
    </row>
    <row r="973" spans="1:46" ht="54" customHeight="1">
      <c r="A973" s="428">
        <f t="shared" si="136"/>
        <v>965</v>
      </c>
      <c r="B973" s="403"/>
      <c r="C973" s="404"/>
      <c r="D973" s="405"/>
      <c r="E973" s="405"/>
      <c r="F973" s="405"/>
      <c r="G973" s="405"/>
      <c r="H973" s="406"/>
      <c r="I973" s="407"/>
      <c r="J973" s="408"/>
      <c r="K973" s="409"/>
      <c r="L973" s="410"/>
      <c r="M973" s="404"/>
      <c r="N973" s="411" t="str">
        <f>IF($AI973&lt;&gt;"",Master!$N$37,IF($AC973&lt;&gt;"",Master!$N$38,IF($S973&lt;&gt;"",Master!$N$39,IF($C973&lt;&gt;"",Master!$N$40,Master!$N$41))))</f>
        <v>起票</v>
      </c>
      <c r="O973" s="412" t="str">
        <f>IF($N973=Master!$N$37,MAX($S973,$AC973,$AI973),"")</f>
        <v/>
      </c>
      <c r="P973" s="413"/>
      <c r="Q973" s="414"/>
      <c r="R973" s="409"/>
      <c r="S973" s="404"/>
      <c r="T973" s="418"/>
      <c r="U973" s="415"/>
      <c r="V973" s="409"/>
      <c r="W973" s="419"/>
      <c r="X973" s="419"/>
      <c r="Y973" s="416"/>
      <c r="Z973" s="417"/>
      <c r="AA973" s="418"/>
      <c r="AB973" s="419"/>
      <c r="AC973" s="404"/>
      <c r="AD973" s="404"/>
      <c r="AE973" s="420"/>
      <c r="AF973" s="421"/>
      <c r="AG973" s="418"/>
      <c r="AH973" s="409"/>
      <c r="AI973" s="404"/>
      <c r="AJ973" s="416"/>
      <c r="AK973" s="453"/>
      <c r="AL973" s="422"/>
      <c r="AM973" s="423"/>
      <c r="AO973" s="137" t="e">
        <f t="shared" si="130"/>
        <v>#N/A</v>
      </c>
      <c r="AP973" s="138" t="e">
        <f t="shared" si="131"/>
        <v>#N/A</v>
      </c>
      <c r="AQ973" s="138" t="e">
        <f t="shared" si="132"/>
        <v>#N/A</v>
      </c>
      <c r="AR973" s="138" t="e">
        <f t="shared" si="133"/>
        <v>#N/A</v>
      </c>
      <c r="AS973" s="138" t="e">
        <f t="shared" si="134"/>
        <v>#N/A</v>
      </c>
      <c r="AT973" s="139" t="e">
        <f t="shared" si="135"/>
        <v>#N/A</v>
      </c>
    </row>
    <row r="974" spans="1:46" ht="54" customHeight="1">
      <c r="A974" s="428">
        <f t="shared" si="136"/>
        <v>966</v>
      </c>
      <c r="B974" s="403"/>
      <c r="C974" s="404"/>
      <c r="D974" s="405"/>
      <c r="E974" s="405"/>
      <c r="F974" s="405"/>
      <c r="G974" s="405"/>
      <c r="H974" s="406"/>
      <c r="I974" s="407"/>
      <c r="J974" s="408"/>
      <c r="K974" s="409"/>
      <c r="L974" s="410"/>
      <c r="M974" s="404"/>
      <c r="N974" s="411" t="str">
        <f>IF($AI974&lt;&gt;"",Master!$N$37,IF($AC974&lt;&gt;"",Master!$N$38,IF($S974&lt;&gt;"",Master!$N$39,IF($C974&lt;&gt;"",Master!$N$40,Master!$N$41))))</f>
        <v>起票</v>
      </c>
      <c r="O974" s="412" t="str">
        <f>IF($N974=Master!$N$37,MAX($S974,$AC974,$AI974),"")</f>
        <v/>
      </c>
      <c r="P974" s="413"/>
      <c r="Q974" s="414"/>
      <c r="R974" s="409"/>
      <c r="S974" s="404"/>
      <c r="T974" s="418"/>
      <c r="U974" s="415"/>
      <c r="V974" s="409"/>
      <c r="W974" s="419"/>
      <c r="X974" s="419"/>
      <c r="Y974" s="416"/>
      <c r="Z974" s="417"/>
      <c r="AA974" s="418"/>
      <c r="AB974" s="419"/>
      <c r="AC974" s="404"/>
      <c r="AD974" s="404"/>
      <c r="AE974" s="420"/>
      <c r="AF974" s="421"/>
      <c r="AG974" s="418"/>
      <c r="AH974" s="409"/>
      <c r="AI974" s="404"/>
      <c r="AJ974" s="416"/>
      <c r="AK974" s="453"/>
      <c r="AL974" s="422"/>
      <c r="AM974" s="423"/>
      <c r="AO974" s="137" t="e">
        <f t="shared" si="130"/>
        <v>#N/A</v>
      </c>
      <c r="AP974" s="138" t="e">
        <f t="shared" si="131"/>
        <v>#N/A</v>
      </c>
      <c r="AQ974" s="138" t="e">
        <f t="shared" si="132"/>
        <v>#N/A</v>
      </c>
      <c r="AR974" s="138" t="e">
        <f t="shared" si="133"/>
        <v>#N/A</v>
      </c>
      <c r="AS974" s="138" t="e">
        <f t="shared" si="134"/>
        <v>#N/A</v>
      </c>
      <c r="AT974" s="139" t="e">
        <f t="shared" si="135"/>
        <v>#N/A</v>
      </c>
    </row>
    <row r="975" spans="1:46" ht="54" customHeight="1">
      <c r="A975" s="428">
        <f t="shared" si="136"/>
        <v>967</v>
      </c>
      <c r="B975" s="403"/>
      <c r="C975" s="404"/>
      <c r="D975" s="405"/>
      <c r="E975" s="405"/>
      <c r="F975" s="405"/>
      <c r="G975" s="405"/>
      <c r="H975" s="406"/>
      <c r="I975" s="407"/>
      <c r="J975" s="408"/>
      <c r="K975" s="409"/>
      <c r="L975" s="410"/>
      <c r="M975" s="404"/>
      <c r="N975" s="411" t="str">
        <f>IF($AI975&lt;&gt;"",Master!$N$37,IF($AC975&lt;&gt;"",Master!$N$38,IF($S975&lt;&gt;"",Master!$N$39,IF($C975&lt;&gt;"",Master!$N$40,Master!$N$41))))</f>
        <v>起票</v>
      </c>
      <c r="O975" s="412" t="str">
        <f>IF($N975=Master!$N$37,MAX($S975,$AC975,$AI975),"")</f>
        <v/>
      </c>
      <c r="P975" s="413"/>
      <c r="Q975" s="414"/>
      <c r="R975" s="409"/>
      <c r="S975" s="404"/>
      <c r="T975" s="418"/>
      <c r="U975" s="415"/>
      <c r="V975" s="409"/>
      <c r="W975" s="419"/>
      <c r="X975" s="419"/>
      <c r="Y975" s="416"/>
      <c r="Z975" s="417"/>
      <c r="AA975" s="418"/>
      <c r="AB975" s="419"/>
      <c r="AC975" s="404"/>
      <c r="AD975" s="404"/>
      <c r="AE975" s="420"/>
      <c r="AF975" s="421"/>
      <c r="AG975" s="418"/>
      <c r="AH975" s="409"/>
      <c r="AI975" s="404"/>
      <c r="AJ975" s="416"/>
      <c r="AK975" s="453"/>
      <c r="AL975" s="422"/>
      <c r="AM975" s="423"/>
      <c r="AO975" s="137" t="e">
        <f t="shared" si="130"/>
        <v>#N/A</v>
      </c>
      <c r="AP975" s="138" t="e">
        <f t="shared" si="131"/>
        <v>#N/A</v>
      </c>
      <c r="AQ975" s="138" t="e">
        <f t="shared" si="132"/>
        <v>#N/A</v>
      </c>
      <c r="AR975" s="138" t="e">
        <f t="shared" si="133"/>
        <v>#N/A</v>
      </c>
      <c r="AS975" s="138" t="e">
        <f t="shared" si="134"/>
        <v>#N/A</v>
      </c>
      <c r="AT975" s="139" t="e">
        <f t="shared" si="135"/>
        <v>#N/A</v>
      </c>
    </row>
    <row r="976" spans="1:46" ht="54" customHeight="1">
      <c r="A976" s="428">
        <f t="shared" si="136"/>
        <v>968</v>
      </c>
      <c r="B976" s="294"/>
      <c r="C976" s="201"/>
      <c r="D976" s="290"/>
      <c r="E976" s="301"/>
      <c r="F976" s="301"/>
      <c r="G976" s="290"/>
      <c r="H976" s="291"/>
      <c r="I976" s="292"/>
      <c r="J976" s="61"/>
      <c r="K976" s="57"/>
      <c r="L976" s="303"/>
      <c r="M976" s="201"/>
      <c r="N976" s="84" t="str">
        <f>IF($AI976&lt;&gt;"",Master!$N$37,IF($AC976&lt;&gt;"",Master!$N$38,IF($S976&lt;&gt;"",Master!$N$39,IF($C976&lt;&gt;"",Master!$N$40,Master!$N$41))))</f>
        <v>起票</v>
      </c>
      <c r="O976" s="202" t="str">
        <f>IF($N976=Master!$N$37,MAX($S976,$AC976,$AI976),"")</f>
        <v/>
      </c>
      <c r="P976" s="65"/>
      <c r="Q976" s="203"/>
      <c r="R976" s="57"/>
      <c r="S976" s="203"/>
      <c r="T976" s="310"/>
      <c r="U976" s="289"/>
      <c r="V976" s="57"/>
      <c r="W976" s="288"/>
      <c r="X976" s="288"/>
      <c r="Y976" s="296"/>
      <c r="Z976" s="57"/>
      <c r="AA976" s="203"/>
      <c r="AB976" s="288"/>
      <c r="AC976" s="201"/>
      <c r="AD976" s="298"/>
      <c r="AE976" s="297"/>
      <c r="AF976" s="58"/>
      <c r="AG976" s="204"/>
      <c r="AH976" s="57"/>
      <c r="AI976" s="201"/>
      <c r="AJ976" s="287"/>
      <c r="AK976" s="452"/>
      <c r="AL976" s="59"/>
      <c r="AM976" s="60"/>
      <c r="AO976" s="137" t="e">
        <f t="shared" si="130"/>
        <v>#N/A</v>
      </c>
      <c r="AP976" s="138" t="e">
        <f t="shared" si="131"/>
        <v>#N/A</v>
      </c>
      <c r="AQ976" s="138" t="e">
        <f t="shared" si="132"/>
        <v>#N/A</v>
      </c>
      <c r="AR976" s="138" t="e">
        <f t="shared" si="133"/>
        <v>#N/A</v>
      </c>
      <c r="AS976" s="138" t="e">
        <f t="shared" si="134"/>
        <v>#N/A</v>
      </c>
      <c r="AT976" s="139" t="e">
        <f t="shared" si="135"/>
        <v>#N/A</v>
      </c>
    </row>
    <row r="977" spans="1:46" ht="54" customHeight="1">
      <c r="A977" s="428">
        <f t="shared" si="136"/>
        <v>969</v>
      </c>
      <c r="B977" s="294"/>
      <c r="C977" s="201"/>
      <c r="D977" s="290"/>
      <c r="E977" s="301"/>
      <c r="F977" s="301"/>
      <c r="G977" s="290"/>
      <c r="H977" s="291"/>
      <c r="I977" s="292"/>
      <c r="J977" s="61"/>
      <c r="K977" s="57"/>
      <c r="L977" s="303"/>
      <c r="M977" s="201"/>
      <c r="N977" s="84" t="str">
        <f>IF($AI977&lt;&gt;"",Master!$N$37,IF($AC977&lt;&gt;"",Master!$N$38,IF($S977&lt;&gt;"",Master!$N$39,IF($C977&lt;&gt;"",Master!$N$40,Master!$N$41))))</f>
        <v>起票</v>
      </c>
      <c r="O977" s="202" t="str">
        <f>IF($N977=Master!$N$37,MAX($S977,$AC977,$AI977),"")</f>
        <v/>
      </c>
      <c r="P977" s="65"/>
      <c r="Q977" s="203"/>
      <c r="R977" s="57"/>
      <c r="S977" s="203"/>
      <c r="T977" s="310"/>
      <c r="U977" s="289"/>
      <c r="V977" s="57"/>
      <c r="W977" s="288"/>
      <c r="X977" s="288"/>
      <c r="Y977" s="296"/>
      <c r="Z977" s="57"/>
      <c r="AA977" s="203"/>
      <c r="AB977" s="288"/>
      <c r="AC977" s="201"/>
      <c r="AD977" s="298"/>
      <c r="AE977" s="297"/>
      <c r="AF977" s="58"/>
      <c r="AG977" s="204"/>
      <c r="AH977" s="57"/>
      <c r="AI977" s="201"/>
      <c r="AJ977" s="287"/>
      <c r="AK977" s="452"/>
      <c r="AL977" s="59"/>
      <c r="AM977" s="60"/>
      <c r="AO977" s="137" t="e">
        <f t="shared" si="130"/>
        <v>#N/A</v>
      </c>
      <c r="AP977" s="138" t="e">
        <f t="shared" si="131"/>
        <v>#N/A</v>
      </c>
      <c r="AQ977" s="138" t="e">
        <f t="shared" si="132"/>
        <v>#N/A</v>
      </c>
      <c r="AR977" s="138" t="e">
        <f t="shared" si="133"/>
        <v>#N/A</v>
      </c>
      <c r="AS977" s="138" t="e">
        <f t="shared" si="134"/>
        <v>#N/A</v>
      </c>
      <c r="AT977" s="139" t="e">
        <f t="shared" si="135"/>
        <v>#N/A</v>
      </c>
    </row>
    <row r="978" spans="1:46" ht="54" customHeight="1">
      <c r="A978" s="428">
        <f t="shared" si="136"/>
        <v>970</v>
      </c>
      <c r="B978" s="403"/>
      <c r="C978" s="404"/>
      <c r="D978" s="405"/>
      <c r="E978" s="405"/>
      <c r="F978" s="405"/>
      <c r="G978" s="405"/>
      <c r="H978" s="406"/>
      <c r="I978" s="407"/>
      <c r="J978" s="408"/>
      <c r="K978" s="409"/>
      <c r="L978" s="410"/>
      <c r="M978" s="404"/>
      <c r="N978" s="411" t="str">
        <f>IF($AI978&lt;&gt;"",Master!$N$37,IF($AC978&lt;&gt;"",Master!$N$38,IF($S978&lt;&gt;"",Master!$N$39,IF($C978&lt;&gt;"",Master!$N$40,Master!$N$41))))</f>
        <v>起票</v>
      </c>
      <c r="O978" s="412" t="str">
        <f>IF($N978=Master!$N$37,MAX($S978,$AC978,$AI978),"")</f>
        <v/>
      </c>
      <c r="P978" s="413"/>
      <c r="Q978" s="414"/>
      <c r="R978" s="409"/>
      <c r="S978" s="404"/>
      <c r="T978" s="418"/>
      <c r="U978" s="415"/>
      <c r="V978" s="409"/>
      <c r="W978" s="419"/>
      <c r="X978" s="419"/>
      <c r="Y978" s="416"/>
      <c r="Z978" s="417"/>
      <c r="AA978" s="418"/>
      <c r="AB978" s="419"/>
      <c r="AC978" s="404"/>
      <c r="AD978" s="404"/>
      <c r="AE978" s="420"/>
      <c r="AF978" s="421"/>
      <c r="AG978" s="418"/>
      <c r="AH978" s="409"/>
      <c r="AI978" s="404"/>
      <c r="AJ978" s="416"/>
      <c r="AK978" s="453"/>
      <c r="AL978" s="422"/>
      <c r="AM978" s="423"/>
      <c r="AO978" s="137" t="e">
        <f t="shared" si="130"/>
        <v>#N/A</v>
      </c>
      <c r="AP978" s="138" t="e">
        <f t="shared" si="131"/>
        <v>#N/A</v>
      </c>
      <c r="AQ978" s="138" t="e">
        <f t="shared" si="132"/>
        <v>#N/A</v>
      </c>
      <c r="AR978" s="138" t="e">
        <f t="shared" si="133"/>
        <v>#N/A</v>
      </c>
      <c r="AS978" s="138" t="e">
        <f t="shared" si="134"/>
        <v>#N/A</v>
      </c>
      <c r="AT978" s="139" t="e">
        <f t="shared" si="135"/>
        <v>#N/A</v>
      </c>
    </row>
    <row r="979" spans="1:46" ht="54" customHeight="1">
      <c r="A979" s="428">
        <f t="shared" si="136"/>
        <v>971</v>
      </c>
      <c r="B979" s="403"/>
      <c r="C979" s="404"/>
      <c r="D979" s="405"/>
      <c r="E979" s="405"/>
      <c r="F979" s="405"/>
      <c r="G979" s="405"/>
      <c r="H979" s="406"/>
      <c r="I979" s="407"/>
      <c r="J979" s="408"/>
      <c r="K979" s="409"/>
      <c r="L979" s="410"/>
      <c r="M979" s="404"/>
      <c r="N979" s="411" t="str">
        <f>IF($AI979&lt;&gt;"",Master!$N$37,IF($AC979&lt;&gt;"",Master!$N$38,IF($S979&lt;&gt;"",Master!$N$39,IF($C979&lt;&gt;"",Master!$N$40,Master!$N$41))))</f>
        <v>起票</v>
      </c>
      <c r="O979" s="412" t="str">
        <f>IF($N979=Master!$N$37,MAX($S979,$AC979,$AI979),"")</f>
        <v/>
      </c>
      <c r="P979" s="413"/>
      <c r="Q979" s="414"/>
      <c r="R979" s="409"/>
      <c r="S979" s="404"/>
      <c r="T979" s="418"/>
      <c r="U979" s="415"/>
      <c r="V979" s="409"/>
      <c r="W979" s="419"/>
      <c r="X979" s="419"/>
      <c r="Y979" s="416"/>
      <c r="Z979" s="417"/>
      <c r="AA979" s="418"/>
      <c r="AB979" s="419"/>
      <c r="AC979" s="404"/>
      <c r="AD979" s="404"/>
      <c r="AE979" s="420"/>
      <c r="AF979" s="421"/>
      <c r="AG979" s="418"/>
      <c r="AH979" s="409"/>
      <c r="AI979" s="404"/>
      <c r="AJ979" s="416"/>
      <c r="AK979" s="453"/>
      <c r="AL979" s="422"/>
      <c r="AM979" s="423"/>
      <c r="AO979" s="137" t="e">
        <f t="shared" si="130"/>
        <v>#N/A</v>
      </c>
      <c r="AP979" s="138" t="e">
        <f t="shared" si="131"/>
        <v>#N/A</v>
      </c>
      <c r="AQ979" s="138" t="e">
        <f t="shared" si="132"/>
        <v>#N/A</v>
      </c>
      <c r="AR979" s="138" t="e">
        <f t="shared" si="133"/>
        <v>#N/A</v>
      </c>
      <c r="AS979" s="138" t="e">
        <f t="shared" si="134"/>
        <v>#N/A</v>
      </c>
      <c r="AT979" s="139" t="e">
        <f t="shared" si="135"/>
        <v>#N/A</v>
      </c>
    </row>
    <row r="980" spans="1:46" ht="54" customHeight="1">
      <c r="A980" s="428">
        <f t="shared" si="136"/>
        <v>972</v>
      </c>
      <c r="B980" s="403"/>
      <c r="C980" s="404"/>
      <c r="D980" s="405"/>
      <c r="E980" s="405"/>
      <c r="F980" s="405"/>
      <c r="G980" s="405"/>
      <c r="H980" s="406"/>
      <c r="I980" s="407"/>
      <c r="J980" s="408"/>
      <c r="K980" s="409"/>
      <c r="L980" s="410"/>
      <c r="M980" s="404"/>
      <c r="N980" s="411" t="str">
        <f>IF($AI980&lt;&gt;"",Master!$N$37,IF($AC980&lt;&gt;"",Master!$N$38,IF($S980&lt;&gt;"",Master!$N$39,IF($C980&lt;&gt;"",Master!$N$40,Master!$N$41))))</f>
        <v>起票</v>
      </c>
      <c r="O980" s="412" t="str">
        <f>IF($N980=Master!$N$37,MAX($S980,$AC980,$AI980),"")</f>
        <v/>
      </c>
      <c r="P980" s="413"/>
      <c r="Q980" s="414"/>
      <c r="R980" s="409"/>
      <c r="S980" s="404"/>
      <c r="T980" s="418"/>
      <c r="U980" s="415"/>
      <c r="V980" s="409"/>
      <c r="W980" s="419"/>
      <c r="X980" s="419"/>
      <c r="Y980" s="416"/>
      <c r="Z980" s="417"/>
      <c r="AA980" s="418"/>
      <c r="AB980" s="419"/>
      <c r="AC980" s="404"/>
      <c r="AD980" s="404"/>
      <c r="AE980" s="420"/>
      <c r="AF980" s="421"/>
      <c r="AG980" s="418"/>
      <c r="AH980" s="409"/>
      <c r="AI980" s="404"/>
      <c r="AJ980" s="416"/>
      <c r="AK980" s="453"/>
      <c r="AL980" s="422"/>
      <c r="AM980" s="423"/>
      <c r="AO980" s="137" t="e">
        <f t="shared" si="130"/>
        <v>#N/A</v>
      </c>
      <c r="AP980" s="138" t="e">
        <f t="shared" si="131"/>
        <v>#N/A</v>
      </c>
      <c r="AQ980" s="138" t="e">
        <f t="shared" si="132"/>
        <v>#N/A</v>
      </c>
      <c r="AR980" s="138" t="e">
        <f t="shared" si="133"/>
        <v>#N/A</v>
      </c>
      <c r="AS980" s="138" t="e">
        <f t="shared" si="134"/>
        <v>#N/A</v>
      </c>
      <c r="AT980" s="139" t="e">
        <f t="shared" si="135"/>
        <v>#N/A</v>
      </c>
    </row>
    <row r="981" spans="1:46" ht="54" customHeight="1">
      <c r="A981" s="428">
        <f t="shared" si="136"/>
        <v>973</v>
      </c>
      <c r="B981" s="294"/>
      <c r="C981" s="201"/>
      <c r="D981" s="290"/>
      <c r="E981" s="301"/>
      <c r="F981" s="301"/>
      <c r="G981" s="290"/>
      <c r="H981" s="291"/>
      <c r="I981" s="292"/>
      <c r="J981" s="61"/>
      <c r="K981" s="57"/>
      <c r="L981" s="303"/>
      <c r="M981" s="201"/>
      <c r="N981" s="84" t="str">
        <f>IF($AI981&lt;&gt;"",Master!$N$37,IF($AC981&lt;&gt;"",Master!$N$38,IF($S981&lt;&gt;"",Master!$N$39,IF($C981&lt;&gt;"",Master!$N$40,Master!$N$41))))</f>
        <v>起票</v>
      </c>
      <c r="O981" s="202" t="str">
        <f>IF($N981=Master!$N$37,MAX($S981,$AC981,$AI981),"")</f>
        <v/>
      </c>
      <c r="P981" s="65"/>
      <c r="Q981" s="203"/>
      <c r="R981" s="57"/>
      <c r="S981" s="203"/>
      <c r="T981" s="310"/>
      <c r="U981" s="289"/>
      <c r="V981" s="57"/>
      <c r="W981" s="288"/>
      <c r="X981" s="288"/>
      <c r="Y981" s="296"/>
      <c r="Z981" s="57"/>
      <c r="AA981" s="203"/>
      <c r="AB981" s="288"/>
      <c r="AC981" s="201"/>
      <c r="AD981" s="298"/>
      <c r="AE981" s="297"/>
      <c r="AF981" s="58"/>
      <c r="AG981" s="204"/>
      <c r="AH981" s="57"/>
      <c r="AI981" s="201"/>
      <c r="AJ981" s="287"/>
      <c r="AK981" s="452"/>
      <c r="AL981" s="59"/>
      <c r="AM981" s="60"/>
      <c r="AO981" s="137" t="e">
        <f t="shared" si="130"/>
        <v>#N/A</v>
      </c>
      <c r="AP981" s="138" t="e">
        <f t="shared" si="131"/>
        <v>#N/A</v>
      </c>
      <c r="AQ981" s="138" t="e">
        <f t="shared" si="132"/>
        <v>#N/A</v>
      </c>
      <c r="AR981" s="138" t="e">
        <f t="shared" si="133"/>
        <v>#N/A</v>
      </c>
      <c r="AS981" s="138" t="e">
        <f t="shared" si="134"/>
        <v>#N/A</v>
      </c>
      <c r="AT981" s="139" t="e">
        <f t="shared" si="135"/>
        <v>#N/A</v>
      </c>
    </row>
    <row r="982" spans="1:46" ht="54" customHeight="1">
      <c r="A982" s="428">
        <f t="shared" si="136"/>
        <v>974</v>
      </c>
      <c r="B982" s="294"/>
      <c r="C982" s="201"/>
      <c r="D982" s="290"/>
      <c r="E982" s="301"/>
      <c r="F982" s="301"/>
      <c r="G982" s="290"/>
      <c r="H982" s="291"/>
      <c r="I982" s="292"/>
      <c r="J982" s="61"/>
      <c r="K982" s="57"/>
      <c r="L982" s="303"/>
      <c r="M982" s="201"/>
      <c r="N982" s="84" t="str">
        <f>IF($AI982&lt;&gt;"",Master!$N$37,IF($AC982&lt;&gt;"",Master!$N$38,IF($S982&lt;&gt;"",Master!$N$39,IF($C982&lt;&gt;"",Master!$N$40,Master!$N$41))))</f>
        <v>起票</v>
      </c>
      <c r="O982" s="202" t="str">
        <f>IF($N982=Master!$N$37,MAX($S982,$AC982,$AI982),"")</f>
        <v/>
      </c>
      <c r="P982" s="65"/>
      <c r="Q982" s="203"/>
      <c r="R982" s="57"/>
      <c r="S982" s="203"/>
      <c r="T982" s="310"/>
      <c r="U982" s="289"/>
      <c r="V982" s="57"/>
      <c r="W982" s="288"/>
      <c r="X982" s="288"/>
      <c r="Y982" s="296"/>
      <c r="Z982" s="57"/>
      <c r="AA982" s="203"/>
      <c r="AB982" s="288"/>
      <c r="AC982" s="201"/>
      <c r="AD982" s="298"/>
      <c r="AE982" s="297"/>
      <c r="AF982" s="58"/>
      <c r="AG982" s="204"/>
      <c r="AH982" s="57"/>
      <c r="AI982" s="201"/>
      <c r="AJ982" s="287"/>
      <c r="AK982" s="452"/>
      <c r="AL982" s="59"/>
      <c r="AM982" s="60"/>
      <c r="AO982" s="137" t="e">
        <f t="shared" si="130"/>
        <v>#N/A</v>
      </c>
      <c r="AP982" s="138" t="e">
        <f t="shared" si="131"/>
        <v>#N/A</v>
      </c>
      <c r="AQ982" s="138" t="e">
        <f t="shared" si="132"/>
        <v>#N/A</v>
      </c>
      <c r="AR982" s="138" t="e">
        <f t="shared" si="133"/>
        <v>#N/A</v>
      </c>
      <c r="AS982" s="138" t="e">
        <f t="shared" si="134"/>
        <v>#N/A</v>
      </c>
      <c r="AT982" s="139" t="e">
        <f t="shared" si="135"/>
        <v>#N/A</v>
      </c>
    </row>
    <row r="983" spans="1:46" ht="54" customHeight="1">
      <c r="A983" s="428">
        <f t="shared" si="136"/>
        <v>975</v>
      </c>
      <c r="B983" s="403"/>
      <c r="C983" s="404"/>
      <c r="D983" s="405"/>
      <c r="E983" s="405"/>
      <c r="F983" s="405"/>
      <c r="G983" s="405"/>
      <c r="H983" s="406"/>
      <c r="I983" s="407"/>
      <c r="J983" s="408"/>
      <c r="K983" s="409"/>
      <c r="L983" s="410"/>
      <c r="M983" s="404"/>
      <c r="N983" s="411" t="str">
        <f>IF($AI983&lt;&gt;"",Master!$N$37,IF($AC983&lt;&gt;"",Master!$N$38,IF($S983&lt;&gt;"",Master!$N$39,IF($C983&lt;&gt;"",Master!$N$40,Master!$N$41))))</f>
        <v>起票</v>
      </c>
      <c r="O983" s="412" t="str">
        <f>IF($N983=Master!$N$37,MAX($S983,$AC983,$AI983),"")</f>
        <v/>
      </c>
      <c r="P983" s="413"/>
      <c r="Q983" s="414"/>
      <c r="R983" s="409"/>
      <c r="S983" s="404"/>
      <c r="T983" s="418"/>
      <c r="U983" s="415"/>
      <c r="V983" s="409"/>
      <c r="W983" s="419"/>
      <c r="X983" s="419"/>
      <c r="Y983" s="416"/>
      <c r="Z983" s="417"/>
      <c r="AA983" s="418"/>
      <c r="AB983" s="419"/>
      <c r="AC983" s="404"/>
      <c r="AD983" s="404"/>
      <c r="AE983" s="420"/>
      <c r="AF983" s="421"/>
      <c r="AG983" s="418"/>
      <c r="AH983" s="409"/>
      <c r="AI983" s="404"/>
      <c r="AJ983" s="416"/>
      <c r="AK983" s="453"/>
      <c r="AL983" s="422"/>
      <c r="AM983" s="423"/>
      <c r="AO983" s="137" t="e">
        <f t="shared" si="130"/>
        <v>#N/A</v>
      </c>
      <c r="AP983" s="138" t="e">
        <f t="shared" si="131"/>
        <v>#N/A</v>
      </c>
      <c r="AQ983" s="138" t="e">
        <f t="shared" si="132"/>
        <v>#N/A</v>
      </c>
      <c r="AR983" s="138" t="e">
        <f t="shared" si="133"/>
        <v>#N/A</v>
      </c>
      <c r="AS983" s="138" t="e">
        <f t="shared" si="134"/>
        <v>#N/A</v>
      </c>
      <c r="AT983" s="139" t="e">
        <f t="shared" si="135"/>
        <v>#N/A</v>
      </c>
    </row>
    <row r="984" spans="1:46" ht="54" customHeight="1">
      <c r="A984" s="428">
        <f t="shared" si="136"/>
        <v>976</v>
      </c>
      <c r="B984" s="403"/>
      <c r="C984" s="404"/>
      <c r="D984" s="405"/>
      <c r="E984" s="405"/>
      <c r="F984" s="405"/>
      <c r="G984" s="405"/>
      <c r="H984" s="406"/>
      <c r="I984" s="407"/>
      <c r="J984" s="408"/>
      <c r="K984" s="409"/>
      <c r="L984" s="410"/>
      <c r="M984" s="404"/>
      <c r="N984" s="411" t="str">
        <f>IF($AI984&lt;&gt;"",Master!$N$37,IF($AC984&lt;&gt;"",Master!$N$38,IF($S984&lt;&gt;"",Master!$N$39,IF($C984&lt;&gt;"",Master!$N$40,Master!$N$41))))</f>
        <v>起票</v>
      </c>
      <c r="O984" s="412" t="str">
        <f>IF($N984=Master!$N$37,MAX($S984,$AC984,$AI984),"")</f>
        <v/>
      </c>
      <c r="P984" s="413"/>
      <c r="Q984" s="414"/>
      <c r="R984" s="409"/>
      <c r="S984" s="404"/>
      <c r="T984" s="418"/>
      <c r="U984" s="415"/>
      <c r="V984" s="409"/>
      <c r="W984" s="419"/>
      <c r="X984" s="419"/>
      <c r="Y984" s="416"/>
      <c r="Z984" s="417"/>
      <c r="AA984" s="418"/>
      <c r="AB984" s="419"/>
      <c r="AC984" s="404"/>
      <c r="AD984" s="404"/>
      <c r="AE984" s="420"/>
      <c r="AF984" s="421"/>
      <c r="AG984" s="418"/>
      <c r="AH984" s="409"/>
      <c r="AI984" s="404"/>
      <c r="AJ984" s="416"/>
      <c r="AK984" s="453"/>
      <c r="AL984" s="422"/>
      <c r="AM984" s="423"/>
      <c r="AO984" s="137" t="e">
        <f t="shared" si="130"/>
        <v>#N/A</v>
      </c>
      <c r="AP984" s="138" t="e">
        <f t="shared" si="131"/>
        <v>#N/A</v>
      </c>
      <c r="AQ984" s="138" t="e">
        <f t="shared" si="132"/>
        <v>#N/A</v>
      </c>
      <c r="AR984" s="138" t="e">
        <f t="shared" si="133"/>
        <v>#N/A</v>
      </c>
      <c r="AS984" s="138" t="e">
        <f t="shared" si="134"/>
        <v>#N/A</v>
      </c>
      <c r="AT984" s="139" t="e">
        <f t="shared" si="135"/>
        <v>#N/A</v>
      </c>
    </row>
    <row r="985" spans="1:46" ht="54" customHeight="1">
      <c r="A985" s="428">
        <f t="shared" si="136"/>
        <v>977</v>
      </c>
      <c r="B985" s="403"/>
      <c r="C985" s="404"/>
      <c r="D985" s="405"/>
      <c r="E985" s="405"/>
      <c r="F985" s="405"/>
      <c r="G985" s="405"/>
      <c r="H985" s="406"/>
      <c r="I985" s="407"/>
      <c r="J985" s="408"/>
      <c r="K985" s="409"/>
      <c r="L985" s="410"/>
      <c r="M985" s="404"/>
      <c r="N985" s="411" t="str">
        <f>IF($AI985&lt;&gt;"",Master!$N$37,IF($AC985&lt;&gt;"",Master!$N$38,IF($S985&lt;&gt;"",Master!$N$39,IF($C985&lt;&gt;"",Master!$N$40,Master!$N$41))))</f>
        <v>起票</v>
      </c>
      <c r="O985" s="412" t="str">
        <f>IF($N985=Master!$N$37,MAX($S985,$AC985,$AI985),"")</f>
        <v/>
      </c>
      <c r="P985" s="413"/>
      <c r="Q985" s="414"/>
      <c r="R985" s="409"/>
      <c r="S985" s="404"/>
      <c r="T985" s="418"/>
      <c r="U985" s="415"/>
      <c r="V985" s="409"/>
      <c r="W985" s="419"/>
      <c r="X985" s="419"/>
      <c r="Y985" s="416"/>
      <c r="Z985" s="417"/>
      <c r="AA985" s="418"/>
      <c r="AB985" s="419"/>
      <c r="AC985" s="404"/>
      <c r="AD985" s="404"/>
      <c r="AE985" s="420"/>
      <c r="AF985" s="421"/>
      <c r="AG985" s="418"/>
      <c r="AH985" s="409"/>
      <c r="AI985" s="404"/>
      <c r="AJ985" s="416"/>
      <c r="AK985" s="453"/>
      <c r="AL985" s="422"/>
      <c r="AM985" s="423"/>
      <c r="AO985" s="137" t="e">
        <f t="shared" si="130"/>
        <v>#N/A</v>
      </c>
      <c r="AP985" s="138" t="e">
        <f t="shared" si="131"/>
        <v>#N/A</v>
      </c>
      <c r="AQ985" s="138" t="e">
        <f t="shared" si="132"/>
        <v>#N/A</v>
      </c>
      <c r="AR985" s="138" t="e">
        <f t="shared" si="133"/>
        <v>#N/A</v>
      </c>
      <c r="AS985" s="138" t="e">
        <f t="shared" si="134"/>
        <v>#N/A</v>
      </c>
      <c r="AT985" s="139" t="e">
        <f t="shared" si="135"/>
        <v>#N/A</v>
      </c>
    </row>
    <row r="986" spans="1:46" ht="54" customHeight="1">
      <c r="A986" s="428">
        <f t="shared" si="136"/>
        <v>978</v>
      </c>
      <c r="B986" s="294"/>
      <c r="C986" s="201"/>
      <c r="D986" s="290"/>
      <c r="E986" s="301"/>
      <c r="F986" s="301"/>
      <c r="G986" s="290"/>
      <c r="H986" s="291"/>
      <c r="I986" s="292"/>
      <c r="J986" s="61"/>
      <c r="K986" s="57"/>
      <c r="L986" s="303"/>
      <c r="M986" s="201"/>
      <c r="N986" s="84" t="str">
        <f>IF($AI986&lt;&gt;"",Master!$N$37,IF($AC986&lt;&gt;"",Master!$N$38,IF($S986&lt;&gt;"",Master!$N$39,IF($C986&lt;&gt;"",Master!$N$40,Master!$N$41))))</f>
        <v>起票</v>
      </c>
      <c r="O986" s="202" t="str">
        <f>IF($N986=Master!$N$37,MAX($S986,$AC986,$AI986),"")</f>
        <v/>
      </c>
      <c r="P986" s="65"/>
      <c r="Q986" s="203"/>
      <c r="R986" s="57"/>
      <c r="S986" s="203"/>
      <c r="T986" s="310"/>
      <c r="U986" s="289"/>
      <c r="V986" s="57"/>
      <c r="W986" s="288"/>
      <c r="X986" s="288"/>
      <c r="Y986" s="296"/>
      <c r="Z986" s="57"/>
      <c r="AA986" s="203"/>
      <c r="AB986" s="288"/>
      <c r="AC986" s="201"/>
      <c r="AD986" s="298"/>
      <c r="AE986" s="297"/>
      <c r="AF986" s="58"/>
      <c r="AG986" s="204"/>
      <c r="AH986" s="57"/>
      <c r="AI986" s="201"/>
      <c r="AJ986" s="287"/>
      <c r="AK986" s="452"/>
      <c r="AL986" s="59"/>
      <c r="AM986" s="60"/>
      <c r="AO986" s="137" t="e">
        <f t="shared" si="130"/>
        <v>#N/A</v>
      </c>
      <c r="AP986" s="138" t="e">
        <f t="shared" si="131"/>
        <v>#N/A</v>
      </c>
      <c r="AQ986" s="138" t="e">
        <f t="shared" si="132"/>
        <v>#N/A</v>
      </c>
      <c r="AR986" s="138" t="e">
        <f t="shared" si="133"/>
        <v>#N/A</v>
      </c>
      <c r="AS986" s="138" t="e">
        <f t="shared" si="134"/>
        <v>#N/A</v>
      </c>
      <c r="AT986" s="139" t="e">
        <f t="shared" si="135"/>
        <v>#N/A</v>
      </c>
    </row>
    <row r="987" spans="1:46" ht="54" customHeight="1">
      <c r="A987" s="428">
        <f t="shared" si="136"/>
        <v>979</v>
      </c>
      <c r="B987" s="294"/>
      <c r="C987" s="201"/>
      <c r="D987" s="290"/>
      <c r="E987" s="301"/>
      <c r="F987" s="301"/>
      <c r="G987" s="290"/>
      <c r="H987" s="291"/>
      <c r="I987" s="292"/>
      <c r="J987" s="61"/>
      <c r="K987" s="57"/>
      <c r="L987" s="303"/>
      <c r="M987" s="201"/>
      <c r="N987" s="84" t="str">
        <f>IF($AI987&lt;&gt;"",Master!$N$37,IF($AC987&lt;&gt;"",Master!$N$38,IF($S987&lt;&gt;"",Master!$N$39,IF($C987&lt;&gt;"",Master!$N$40,Master!$N$41))))</f>
        <v>起票</v>
      </c>
      <c r="O987" s="202" t="str">
        <f>IF($N987=Master!$N$37,MAX($S987,$AC987,$AI987),"")</f>
        <v/>
      </c>
      <c r="P987" s="65"/>
      <c r="Q987" s="203"/>
      <c r="R987" s="57"/>
      <c r="S987" s="203"/>
      <c r="T987" s="310"/>
      <c r="U987" s="289"/>
      <c r="V987" s="57"/>
      <c r="W987" s="288"/>
      <c r="X987" s="288"/>
      <c r="Y987" s="296"/>
      <c r="Z987" s="57"/>
      <c r="AA987" s="203"/>
      <c r="AB987" s="288"/>
      <c r="AC987" s="201"/>
      <c r="AD987" s="298"/>
      <c r="AE987" s="297"/>
      <c r="AF987" s="58"/>
      <c r="AG987" s="204"/>
      <c r="AH987" s="57"/>
      <c r="AI987" s="201"/>
      <c r="AJ987" s="287"/>
      <c r="AK987" s="452"/>
      <c r="AL987" s="59"/>
      <c r="AM987" s="60"/>
      <c r="AO987" s="137" t="e">
        <f t="shared" si="130"/>
        <v>#N/A</v>
      </c>
      <c r="AP987" s="138" t="e">
        <f t="shared" si="131"/>
        <v>#N/A</v>
      </c>
      <c r="AQ987" s="138" t="e">
        <f t="shared" si="132"/>
        <v>#N/A</v>
      </c>
      <c r="AR987" s="138" t="e">
        <f t="shared" si="133"/>
        <v>#N/A</v>
      </c>
      <c r="AS987" s="138" t="e">
        <f t="shared" si="134"/>
        <v>#N/A</v>
      </c>
      <c r="AT987" s="139" t="e">
        <f t="shared" si="135"/>
        <v>#N/A</v>
      </c>
    </row>
    <row r="988" spans="1:46" ht="54" customHeight="1">
      <c r="A988" s="428">
        <f t="shared" si="136"/>
        <v>980</v>
      </c>
      <c r="B988" s="403"/>
      <c r="C988" s="404"/>
      <c r="D988" s="405"/>
      <c r="E988" s="405"/>
      <c r="F988" s="405"/>
      <c r="G988" s="405"/>
      <c r="H988" s="406"/>
      <c r="I988" s="407"/>
      <c r="J988" s="408"/>
      <c r="K988" s="409"/>
      <c r="L988" s="410"/>
      <c r="M988" s="404"/>
      <c r="N988" s="411" t="str">
        <f>IF($AI988&lt;&gt;"",Master!$N$37,IF($AC988&lt;&gt;"",Master!$N$38,IF($S988&lt;&gt;"",Master!$N$39,IF($C988&lt;&gt;"",Master!$N$40,Master!$N$41))))</f>
        <v>起票</v>
      </c>
      <c r="O988" s="412" t="str">
        <f>IF($N988=Master!$N$37,MAX($S988,$AC988,$AI988),"")</f>
        <v/>
      </c>
      <c r="P988" s="413"/>
      <c r="Q988" s="414"/>
      <c r="R988" s="409"/>
      <c r="S988" s="404"/>
      <c r="T988" s="418"/>
      <c r="U988" s="415"/>
      <c r="V988" s="409"/>
      <c r="W988" s="419"/>
      <c r="X988" s="419"/>
      <c r="Y988" s="416"/>
      <c r="Z988" s="417"/>
      <c r="AA988" s="418"/>
      <c r="AB988" s="419"/>
      <c r="AC988" s="404"/>
      <c r="AD988" s="404"/>
      <c r="AE988" s="420"/>
      <c r="AF988" s="421"/>
      <c r="AG988" s="418"/>
      <c r="AH988" s="409"/>
      <c r="AI988" s="404"/>
      <c r="AJ988" s="416"/>
      <c r="AK988" s="453"/>
      <c r="AL988" s="422"/>
      <c r="AM988" s="423"/>
      <c r="AO988" s="137" t="e">
        <f t="shared" si="130"/>
        <v>#N/A</v>
      </c>
      <c r="AP988" s="138" t="e">
        <f t="shared" si="131"/>
        <v>#N/A</v>
      </c>
      <c r="AQ988" s="138" t="e">
        <f t="shared" si="132"/>
        <v>#N/A</v>
      </c>
      <c r="AR988" s="138" t="e">
        <f t="shared" si="133"/>
        <v>#N/A</v>
      </c>
      <c r="AS988" s="138" t="e">
        <f t="shared" si="134"/>
        <v>#N/A</v>
      </c>
      <c r="AT988" s="139" t="e">
        <f t="shared" si="135"/>
        <v>#N/A</v>
      </c>
    </row>
    <row r="989" spans="1:46" ht="54" customHeight="1">
      <c r="A989" s="428">
        <f t="shared" si="136"/>
        <v>981</v>
      </c>
      <c r="B989" s="403"/>
      <c r="C989" s="404"/>
      <c r="D989" s="405"/>
      <c r="E989" s="405"/>
      <c r="F989" s="405"/>
      <c r="G989" s="405"/>
      <c r="H989" s="406"/>
      <c r="I989" s="407"/>
      <c r="J989" s="408"/>
      <c r="K989" s="409"/>
      <c r="L989" s="410"/>
      <c r="M989" s="404"/>
      <c r="N989" s="411" t="str">
        <f>IF($AI989&lt;&gt;"",Master!$N$37,IF($AC989&lt;&gt;"",Master!$N$38,IF($S989&lt;&gt;"",Master!$N$39,IF($C989&lt;&gt;"",Master!$N$40,Master!$N$41))))</f>
        <v>起票</v>
      </c>
      <c r="O989" s="412" t="str">
        <f>IF($N989=Master!$N$37,MAX($S989,$AC989,$AI989),"")</f>
        <v/>
      </c>
      <c r="P989" s="413"/>
      <c r="Q989" s="414"/>
      <c r="R989" s="409"/>
      <c r="S989" s="404"/>
      <c r="T989" s="418"/>
      <c r="U989" s="415"/>
      <c r="V989" s="409"/>
      <c r="W989" s="419"/>
      <c r="X989" s="419"/>
      <c r="Y989" s="416"/>
      <c r="Z989" s="417"/>
      <c r="AA989" s="418"/>
      <c r="AB989" s="419"/>
      <c r="AC989" s="404"/>
      <c r="AD989" s="404"/>
      <c r="AE989" s="420"/>
      <c r="AF989" s="421"/>
      <c r="AG989" s="418"/>
      <c r="AH989" s="409"/>
      <c r="AI989" s="404"/>
      <c r="AJ989" s="416"/>
      <c r="AK989" s="453"/>
      <c r="AL989" s="422"/>
      <c r="AM989" s="423"/>
      <c r="AO989" s="137" t="e">
        <f t="shared" si="130"/>
        <v>#N/A</v>
      </c>
      <c r="AP989" s="138" t="e">
        <f t="shared" si="131"/>
        <v>#N/A</v>
      </c>
      <c r="AQ989" s="138" t="e">
        <f t="shared" si="132"/>
        <v>#N/A</v>
      </c>
      <c r="AR989" s="138" t="e">
        <f t="shared" si="133"/>
        <v>#N/A</v>
      </c>
      <c r="AS989" s="138" t="e">
        <f t="shared" si="134"/>
        <v>#N/A</v>
      </c>
      <c r="AT989" s="139" t="e">
        <f t="shared" si="135"/>
        <v>#N/A</v>
      </c>
    </row>
    <row r="990" spans="1:46" ht="54" customHeight="1">
      <c r="A990" s="428">
        <f t="shared" si="136"/>
        <v>982</v>
      </c>
      <c r="B990" s="403"/>
      <c r="C990" s="404"/>
      <c r="D990" s="405"/>
      <c r="E990" s="405"/>
      <c r="F990" s="405"/>
      <c r="G990" s="405"/>
      <c r="H990" s="406"/>
      <c r="I990" s="407"/>
      <c r="J990" s="408"/>
      <c r="K990" s="409"/>
      <c r="L990" s="410"/>
      <c r="M990" s="404"/>
      <c r="N990" s="411" t="str">
        <f>IF($AI990&lt;&gt;"",Master!$N$37,IF($AC990&lt;&gt;"",Master!$N$38,IF($S990&lt;&gt;"",Master!$N$39,IF($C990&lt;&gt;"",Master!$N$40,Master!$N$41))))</f>
        <v>起票</v>
      </c>
      <c r="O990" s="412" t="str">
        <f>IF($N990=Master!$N$37,MAX($S990,$AC990,$AI990),"")</f>
        <v/>
      </c>
      <c r="P990" s="413"/>
      <c r="Q990" s="414"/>
      <c r="R990" s="409"/>
      <c r="S990" s="404"/>
      <c r="T990" s="418"/>
      <c r="U990" s="415"/>
      <c r="V990" s="409"/>
      <c r="W990" s="419"/>
      <c r="X990" s="419"/>
      <c r="Y990" s="416"/>
      <c r="Z990" s="417"/>
      <c r="AA990" s="418"/>
      <c r="AB990" s="419"/>
      <c r="AC990" s="404"/>
      <c r="AD990" s="404"/>
      <c r="AE990" s="420"/>
      <c r="AF990" s="421"/>
      <c r="AG990" s="418"/>
      <c r="AH990" s="409"/>
      <c r="AI990" s="404"/>
      <c r="AJ990" s="416"/>
      <c r="AK990" s="453"/>
      <c r="AL990" s="422"/>
      <c r="AM990" s="423"/>
      <c r="AO990" s="137" t="e">
        <f t="shared" si="130"/>
        <v>#N/A</v>
      </c>
      <c r="AP990" s="138" t="e">
        <f t="shared" si="131"/>
        <v>#N/A</v>
      </c>
      <c r="AQ990" s="138" t="e">
        <f t="shared" si="132"/>
        <v>#N/A</v>
      </c>
      <c r="AR990" s="138" t="e">
        <f t="shared" si="133"/>
        <v>#N/A</v>
      </c>
      <c r="AS990" s="138" t="e">
        <f t="shared" si="134"/>
        <v>#N/A</v>
      </c>
      <c r="AT990" s="139" t="e">
        <f t="shared" si="135"/>
        <v>#N/A</v>
      </c>
    </row>
    <row r="991" spans="1:46" ht="54" customHeight="1">
      <c r="A991" s="428">
        <f t="shared" si="136"/>
        <v>983</v>
      </c>
      <c r="B991" s="294"/>
      <c r="C991" s="201"/>
      <c r="D991" s="290"/>
      <c r="E991" s="301"/>
      <c r="F991" s="301"/>
      <c r="G991" s="290"/>
      <c r="H991" s="291"/>
      <c r="I991" s="292"/>
      <c r="J991" s="61"/>
      <c r="K991" s="57"/>
      <c r="L991" s="303"/>
      <c r="M991" s="201"/>
      <c r="N991" s="84" t="str">
        <f>IF($AI991&lt;&gt;"",Master!$N$37,IF($AC991&lt;&gt;"",Master!$N$38,IF($S991&lt;&gt;"",Master!$N$39,IF($C991&lt;&gt;"",Master!$N$40,Master!$N$41))))</f>
        <v>起票</v>
      </c>
      <c r="O991" s="202" t="str">
        <f>IF($N991=Master!$N$37,MAX($S991,$AC991,$AI991),"")</f>
        <v/>
      </c>
      <c r="P991" s="65"/>
      <c r="Q991" s="203"/>
      <c r="R991" s="57"/>
      <c r="S991" s="203"/>
      <c r="T991" s="310"/>
      <c r="U991" s="289"/>
      <c r="V991" s="57"/>
      <c r="W991" s="288"/>
      <c r="X991" s="288"/>
      <c r="Y991" s="296"/>
      <c r="Z991" s="57"/>
      <c r="AA991" s="203"/>
      <c r="AB991" s="288"/>
      <c r="AC991" s="201"/>
      <c r="AD991" s="298"/>
      <c r="AE991" s="297"/>
      <c r="AF991" s="58"/>
      <c r="AG991" s="204"/>
      <c r="AH991" s="57"/>
      <c r="AI991" s="201"/>
      <c r="AJ991" s="287"/>
      <c r="AK991" s="452"/>
      <c r="AL991" s="59"/>
      <c r="AM991" s="60"/>
      <c r="AO991" s="137" t="e">
        <f t="shared" si="130"/>
        <v>#N/A</v>
      </c>
      <c r="AP991" s="138" t="e">
        <f t="shared" si="131"/>
        <v>#N/A</v>
      </c>
      <c r="AQ991" s="138" t="e">
        <f t="shared" si="132"/>
        <v>#N/A</v>
      </c>
      <c r="AR991" s="138" t="e">
        <f t="shared" si="133"/>
        <v>#N/A</v>
      </c>
      <c r="AS991" s="138" t="e">
        <f t="shared" si="134"/>
        <v>#N/A</v>
      </c>
      <c r="AT991" s="139" t="e">
        <f t="shared" si="135"/>
        <v>#N/A</v>
      </c>
    </row>
    <row r="992" spans="1:46" ht="54" customHeight="1">
      <c r="A992" s="428">
        <f t="shared" si="136"/>
        <v>984</v>
      </c>
      <c r="B992" s="294"/>
      <c r="C992" s="201"/>
      <c r="D992" s="290"/>
      <c r="E992" s="301"/>
      <c r="F992" s="301"/>
      <c r="G992" s="290"/>
      <c r="H992" s="291"/>
      <c r="I992" s="292"/>
      <c r="J992" s="61"/>
      <c r="K992" s="57"/>
      <c r="L992" s="303"/>
      <c r="M992" s="201"/>
      <c r="N992" s="84" t="str">
        <f>IF($AI992&lt;&gt;"",Master!$N$37,IF($AC992&lt;&gt;"",Master!$N$38,IF($S992&lt;&gt;"",Master!$N$39,IF($C992&lt;&gt;"",Master!$N$40,Master!$N$41))))</f>
        <v>起票</v>
      </c>
      <c r="O992" s="202" t="str">
        <f>IF($N992=Master!$N$37,MAX($S992,$AC992,$AI992),"")</f>
        <v/>
      </c>
      <c r="P992" s="65"/>
      <c r="Q992" s="203"/>
      <c r="R992" s="57"/>
      <c r="S992" s="203"/>
      <c r="T992" s="310"/>
      <c r="U992" s="289"/>
      <c r="V992" s="57"/>
      <c r="W992" s="288"/>
      <c r="X992" s="288"/>
      <c r="Y992" s="296"/>
      <c r="Z992" s="57"/>
      <c r="AA992" s="203"/>
      <c r="AB992" s="288"/>
      <c r="AC992" s="201"/>
      <c r="AD992" s="298"/>
      <c r="AE992" s="297"/>
      <c r="AF992" s="58"/>
      <c r="AG992" s="204"/>
      <c r="AH992" s="57"/>
      <c r="AI992" s="201"/>
      <c r="AJ992" s="287"/>
      <c r="AK992" s="452"/>
      <c r="AL992" s="59"/>
      <c r="AM992" s="60"/>
      <c r="AO992" s="137" t="e">
        <f t="shared" si="130"/>
        <v>#N/A</v>
      </c>
      <c r="AP992" s="138" t="e">
        <f t="shared" si="131"/>
        <v>#N/A</v>
      </c>
      <c r="AQ992" s="138" t="e">
        <f t="shared" si="132"/>
        <v>#N/A</v>
      </c>
      <c r="AR992" s="138" t="e">
        <f t="shared" si="133"/>
        <v>#N/A</v>
      </c>
      <c r="AS992" s="138" t="e">
        <f t="shared" si="134"/>
        <v>#N/A</v>
      </c>
      <c r="AT992" s="139" t="e">
        <f t="shared" si="135"/>
        <v>#N/A</v>
      </c>
    </row>
    <row r="993" spans="1:46" ht="54" customHeight="1">
      <c r="A993" s="428">
        <f t="shared" si="136"/>
        <v>985</v>
      </c>
      <c r="B993" s="403"/>
      <c r="C993" s="404"/>
      <c r="D993" s="405"/>
      <c r="E993" s="405"/>
      <c r="F993" s="405"/>
      <c r="G993" s="405"/>
      <c r="H993" s="406"/>
      <c r="I993" s="407"/>
      <c r="J993" s="408"/>
      <c r="K993" s="409"/>
      <c r="L993" s="410"/>
      <c r="M993" s="404"/>
      <c r="N993" s="411" t="str">
        <f>IF($AI993&lt;&gt;"",Master!$N$37,IF($AC993&lt;&gt;"",Master!$N$38,IF($S993&lt;&gt;"",Master!$N$39,IF($C993&lt;&gt;"",Master!$N$40,Master!$N$41))))</f>
        <v>起票</v>
      </c>
      <c r="O993" s="412" t="str">
        <f>IF($N993=Master!$N$37,MAX($S993,$AC993,$AI993),"")</f>
        <v/>
      </c>
      <c r="P993" s="413"/>
      <c r="Q993" s="414"/>
      <c r="R993" s="409"/>
      <c r="S993" s="404"/>
      <c r="T993" s="418"/>
      <c r="U993" s="415"/>
      <c r="V993" s="409"/>
      <c r="W993" s="419"/>
      <c r="X993" s="419"/>
      <c r="Y993" s="416"/>
      <c r="Z993" s="417"/>
      <c r="AA993" s="418"/>
      <c r="AB993" s="419"/>
      <c r="AC993" s="404"/>
      <c r="AD993" s="404"/>
      <c r="AE993" s="420"/>
      <c r="AF993" s="421"/>
      <c r="AG993" s="418"/>
      <c r="AH993" s="409"/>
      <c r="AI993" s="404"/>
      <c r="AJ993" s="416"/>
      <c r="AK993" s="453"/>
      <c r="AL993" s="422"/>
      <c r="AM993" s="423"/>
      <c r="AO993" s="137" t="e">
        <f t="shared" si="130"/>
        <v>#N/A</v>
      </c>
      <c r="AP993" s="138" t="e">
        <f t="shared" si="131"/>
        <v>#N/A</v>
      </c>
      <c r="AQ993" s="138" t="e">
        <f t="shared" si="132"/>
        <v>#N/A</v>
      </c>
      <c r="AR993" s="138" t="e">
        <f t="shared" si="133"/>
        <v>#N/A</v>
      </c>
      <c r="AS993" s="138" t="e">
        <f t="shared" si="134"/>
        <v>#N/A</v>
      </c>
      <c r="AT993" s="139" t="e">
        <f t="shared" si="135"/>
        <v>#N/A</v>
      </c>
    </row>
    <row r="994" spans="1:46" ht="54" customHeight="1">
      <c r="A994" s="428">
        <f t="shared" si="136"/>
        <v>986</v>
      </c>
      <c r="B994" s="403"/>
      <c r="C994" s="404"/>
      <c r="D994" s="405"/>
      <c r="E994" s="405"/>
      <c r="F994" s="405"/>
      <c r="G994" s="405"/>
      <c r="H994" s="406"/>
      <c r="I994" s="407"/>
      <c r="J994" s="408"/>
      <c r="K994" s="409"/>
      <c r="L994" s="410"/>
      <c r="M994" s="404"/>
      <c r="N994" s="411" t="str">
        <f>IF($AI994&lt;&gt;"",Master!$N$37,IF($AC994&lt;&gt;"",Master!$N$38,IF($S994&lt;&gt;"",Master!$N$39,IF($C994&lt;&gt;"",Master!$N$40,Master!$N$41))))</f>
        <v>起票</v>
      </c>
      <c r="O994" s="412" t="str">
        <f>IF($N994=Master!$N$37,MAX($S994,$AC994,$AI994),"")</f>
        <v/>
      </c>
      <c r="P994" s="413"/>
      <c r="Q994" s="414"/>
      <c r="R994" s="409"/>
      <c r="S994" s="404"/>
      <c r="T994" s="418"/>
      <c r="U994" s="415"/>
      <c r="V994" s="409"/>
      <c r="W994" s="419"/>
      <c r="X994" s="419"/>
      <c r="Y994" s="416"/>
      <c r="Z994" s="417"/>
      <c r="AA994" s="418"/>
      <c r="AB994" s="419"/>
      <c r="AC994" s="404"/>
      <c r="AD994" s="404"/>
      <c r="AE994" s="420"/>
      <c r="AF994" s="421"/>
      <c r="AG994" s="418"/>
      <c r="AH994" s="409"/>
      <c r="AI994" s="404"/>
      <c r="AJ994" s="416"/>
      <c r="AK994" s="453"/>
      <c r="AL994" s="422"/>
      <c r="AM994" s="423"/>
      <c r="AO994" s="137" t="e">
        <f t="shared" si="130"/>
        <v>#N/A</v>
      </c>
      <c r="AP994" s="138" t="e">
        <f t="shared" si="131"/>
        <v>#N/A</v>
      </c>
      <c r="AQ994" s="138" t="e">
        <f t="shared" si="132"/>
        <v>#N/A</v>
      </c>
      <c r="AR994" s="138" t="e">
        <f t="shared" si="133"/>
        <v>#N/A</v>
      </c>
      <c r="AS994" s="138" t="e">
        <f t="shared" si="134"/>
        <v>#N/A</v>
      </c>
      <c r="AT994" s="139" t="e">
        <f t="shared" si="135"/>
        <v>#N/A</v>
      </c>
    </row>
    <row r="995" spans="1:46" ht="54" customHeight="1">
      <c r="A995" s="428">
        <f t="shared" si="136"/>
        <v>987</v>
      </c>
      <c r="B995" s="403"/>
      <c r="C995" s="404"/>
      <c r="D995" s="405"/>
      <c r="E995" s="405"/>
      <c r="F995" s="405"/>
      <c r="G995" s="405"/>
      <c r="H995" s="406"/>
      <c r="I995" s="407"/>
      <c r="J995" s="408"/>
      <c r="K995" s="409"/>
      <c r="L995" s="410"/>
      <c r="M995" s="404"/>
      <c r="N995" s="411" t="str">
        <f>IF($AI995&lt;&gt;"",Master!$N$37,IF($AC995&lt;&gt;"",Master!$N$38,IF($S995&lt;&gt;"",Master!$N$39,IF($C995&lt;&gt;"",Master!$N$40,Master!$N$41))))</f>
        <v>起票</v>
      </c>
      <c r="O995" s="412" t="str">
        <f>IF($N995=Master!$N$37,MAX($S995,$AC995,$AI995),"")</f>
        <v/>
      </c>
      <c r="P995" s="413"/>
      <c r="Q995" s="414"/>
      <c r="R995" s="409"/>
      <c r="S995" s="404"/>
      <c r="T995" s="418"/>
      <c r="U995" s="415"/>
      <c r="V995" s="409"/>
      <c r="W995" s="419"/>
      <c r="X995" s="419"/>
      <c r="Y995" s="416"/>
      <c r="Z995" s="417"/>
      <c r="AA995" s="418"/>
      <c r="AB995" s="419"/>
      <c r="AC995" s="404"/>
      <c r="AD995" s="404"/>
      <c r="AE995" s="420"/>
      <c r="AF995" s="421"/>
      <c r="AG995" s="418"/>
      <c r="AH995" s="409"/>
      <c r="AI995" s="404"/>
      <c r="AJ995" s="416"/>
      <c r="AK995" s="453"/>
      <c r="AL995" s="422"/>
      <c r="AM995" s="423"/>
      <c r="AO995" s="137" t="e">
        <f t="shared" si="130"/>
        <v>#N/A</v>
      </c>
      <c r="AP995" s="138" t="e">
        <f t="shared" si="131"/>
        <v>#N/A</v>
      </c>
      <c r="AQ995" s="138" t="e">
        <f t="shared" si="132"/>
        <v>#N/A</v>
      </c>
      <c r="AR995" s="138" t="e">
        <f t="shared" si="133"/>
        <v>#N/A</v>
      </c>
      <c r="AS995" s="138" t="e">
        <f t="shared" si="134"/>
        <v>#N/A</v>
      </c>
      <c r="AT995" s="139" t="e">
        <f t="shared" si="135"/>
        <v>#N/A</v>
      </c>
    </row>
    <row r="996" spans="1:46" ht="54" customHeight="1">
      <c r="A996" s="428">
        <f t="shared" si="136"/>
        <v>988</v>
      </c>
      <c r="B996" s="294"/>
      <c r="C996" s="201"/>
      <c r="D996" s="290"/>
      <c r="E996" s="301"/>
      <c r="F996" s="301"/>
      <c r="G996" s="290"/>
      <c r="H996" s="291"/>
      <c r="I996" s="292"/>
      <c r="J996" s="61"/>
      <c r="K996" s="57"/>
      <c r="L996" s="303"/>
      <c r="M996" s="201"/>
      <c r="N996" s="84" t="str">
        <f>IF($AI996&lt;&gt;"",Master!$N$37,IF($AC996&lt;&gt;"",Master!$N$38,IF($S996&lt;&gt;"",Master!$N$39,IF($C996&lt;&gt;"",Master!$N$40,Master!$N$41))))</f>
        <v>起票</v>
      </c>
      <c r="O996" s="202" t="str">
        <f>IF($N996=Master!$N$37,MAX($S996,$AC996,$AI996),"")</f>
        <v/>
      </c>
      <c r="P996" s="65"/>
      <c r="Q996" s="203"/>
      <c r="R996" s="57"/>
      <c r="S996" s="203"/>
      <c r="T996" s="310"/>
      <c r="U996" s="289"/>
      <c r="V996" s="57"/>
      <c r="W996" s="288"/>
      <c r="X996" s="288"/>
      <c r="Y996" s="296"/>
      <c r="Z996" s="57"/>
      <c r="AA996" s="203"/>
      <c r="AB996" s="288"/>
      <c r="AC996" s="201"/>
      <c r="AD996" s="298"/>
      <c r="AE996" s="297"/>
      <c r="AF996" s="58"/>
      <c r="AG996" s="204"/>
      <c r="AH996" s="57"/>
      <c r="AI996" s="201"/>
      <c r="AJ996" s="287"/>
      <c r="AK996" s="452"/>
      <c r="AL996" s="59"/>
      <c r="AM996" s="60"/>
      <c r="AO996" s="137" t="e">
        <f t="shared" si="130"/>
        <v>#N/A</v>
      </c>
      <c r="AP996" s="138" t="e">
        <f t="shared" si="131"/>
        <v>#N/A</v>
      </c>
      <c r="AQ996" s="138" t="e">
        <f t="shared" si="132"/>
        <v>#N/A</v>
      </c>
      <c r="AR996" s="138" t="e">
        <f t="shared" si="133"/>
        <v>#N/A</v>
      </c>
      <c r="AS996" s="138" t="e">
        <f t="shared" si="134"/>
        <v>#N/A</v>
      </c>
      <c r="AT996" s="139" t="e">
        <f t="shared" si="135"/>
        <v>#N/A</v>
      </c>
    </row>
    <row r="997" spans="1:46" ht="54" customHeight="1">
      <c r="A997" s="428">
        <f t="shared" si="136"/>
        <v>989</v>
      </c>
      <c r="B997" s="294"/>
      <c r="C997" s="201"/>
      <c r="D997" s="290"/>
      <c r="E997" s="301"/>
      <c r="F997" s="301"/>
      <c r="G997" s="290"/>
      <c r="H997" s="291"/>
      <c r="I997" s="292"/>
      <c r="J997" s="61"/>
      <c r="K997" s="57"/>
      <c r="L997" s="303"/>
      <c r="M997" s="201"/>
      <c r="N997" s="84" t="str">
        <f>IF($AI997&lt;&gt;"",Master!$N$37,IF($AC997&lt;&gt;"",Master!$N$38,IF($S997&lt;&gt;"",Master!$N$39,IF($C997&lt;&gt;"",Master!$N$40,Master!$N$41))))</f>
        <v>起票</v>
      </c>
      <c r="O997" s="202" t="str">
        <f>IF($N997=Master!$N$37,MAX($S997,$AC997,$AI997),"")</f>
        <v/>
      </c>
      <c r="P997" s="65"/>
      <c r="Q997" s="203"/>
      <c r="R997" s="57"/>
      <c r="S997" s="203"/>
      <c r="T997" s="310"/>
      <c r="U997" s="289"/>
      <c r="V997" s="57"/>
      <c r="W997" s="288"/>
      <c r="X997" s="288"/>
      <c r="Y997" s="296"/>
      <c r="Z997" s="57"/>
      <c r="AA997" s="203"/>
      <c r="AB997" s="288"/>
      <c r="AC997" s="201"/>
      <c r="AD997" s="298"/>
      <c r="AE997" s="297"/>
      <c r="AF997" s="58"/>
      <c r="AG997" s="204"/>
      <c r="AH997" s="57"/>
      <c r="AI997" s="201"/>
      <c r="AJ997" s="287"/>
      <c r="AK997" s="452"/>
      <c r="AL997" s="59"/>
      <c r="AM997" s="60"/>
      <c r="AO997" s="137" t="e">
        <f t="shared" si="130"/>
        <v>#N/A</v>
      </c>
      <c r="AP997" s="138" t="e">
        <f t="shared" si="131"/>
        <v>#N/A</v>
      </c>
      <c r="AQ997" s="138" t="e">
        <f t="shared" si="132"/>
        <v>#N/A</v>
      </c>
      <c r="AR997" s="138" t="e">
        <f t="shared" si="133"/>
        <v>#N/A</v>
      </c>
      <c r="AS997" s="138" t="e">
        <f t="shared" si="134"/>
        <v>#N/A</v>
      </c>
      <c r="AT997" s="139" t="e">
        <f t="shared" si="135"/>
        <v>#N/A</v>
      </c>
    </row>
    <row r="998" spans="1:46" ht="54" customHeight="1">
      <c r="A998" s="428">
        <f t="shared" si="136"/>
        <v>990</v>
      </c>
      <c r="B998" s="403"/>
      <c r="C998" s="404"/>
      <c r="D998" s="405"/>
      <c r="E998" s="405"/>
      <c r="F998" s="405"/>
      <c r="G998" s="405"/>
      <c r="H998" s="406"/>
      <c r="I998" s="407"/>
      <c r="J998" s="408"/>
      <c r="K998" s="409"/>
      <c r="L998" s="410"/>
      <c r="M998" s="404"/>
      <c r="N998" s="411" t="str">
        <f>IF($AI998&lt;&gt;"",Master!$N$37,IF($AC998&lt;&gt;"",Master!$N$38,IF($S998&lt;&gt;"",Master!$N$39,IF($C998&lt;&gt;"",Master!$N$40,Master!$N$41))))</f>
        <v>起票</v>
      </c>
      <c r="O998" s="412" t="str">
        <f>IF($N998=Master!$N$37,MAX($S998,$AC998,$AI998),"")</f>
        <v/>
      </c>
      <c r="P998" s="413"/>
      <c r="Q998" s="414"/>
      <c r="R998" s="409"/>
      <c r="S998" s="404"/>
      <c r="T998" s="418"/>
      <c r="U998" s="415"/>
      <c r="V998" s="409"/>
      <c r="W998" s="419"/>
      <c r="X998" s="419"/>
      <c r="Y998" s="416"/>
      <c r="Z998" s="417"/>
      <c r="AA998" s="418"/>
      <c r="AB998" s="419"/>
      <c r="AC998" s="404"/>
      <c r="AD998" s="404"/>
      <c r="AE998" s="420"/>
      <c r="AF998" s="421"/>
      <c r="AG998" s="418"/>
      <c r="AH998" s="409"/>
      <c r="AI998" s="404"/>
      <c r="AJ998" s="416"/>
      <c r="AK998" s="453"/>
      <c r="AL998" s="422"/>
      <c r="AM998" s="423"/>
      <c r="AO998" s="137" t="e">
        <f t="shared" si="130"/>
        <v>#N/A</v>
      </c>
      <c r="AP998" s="138" t="e">
        <f t="shared" si="131"/>
        <v>#N/A</v>
      </c>
      <c r="AQ998" s="138" t="e">
        <f t="shared" si="132"/>
        <v>#N/A</v>
      </c>
      <c r="AR998" s="138" t="e">
        <f t="shared" si="133"/>
        <v>#N/A</v>
      </c>
      <c r="AS998" s="138" t="e">
        <f t="shared" si="134"/>
        <v>#N/A</v>
      </c>
      <c r="AT998" s="139" t="e">
        <f t="shared" si="135"/>
        <v>#N/A</v>
      </c>
    </row>
    <row r="999" spans="1:46" ht="54" customHeight="1">
      <c r="A999" s="428">
        <f t="shared" si="136"/>
        <v>991</v>
      </c>
      <c r="B999" s="403"/>
      <c r="C999" s="404"/>
      <c r="D999" s="405"/>
      <c r="E999" s="405"/>
      <c r="F999" s="405"/>
      <c r="G999" s="405"/>
      <c r="H999" s="406"/>
      <c r="I999" s="407"/>
      <c r="J999" s="408"/>
      <c r="K999" s="409"/>
      <c r="L999" s="410"/>
      <c r="M999" s="404"/>
      <c r="N999" s="411" t="str">
        <f>IF($AI999&lt;&gt;"",Master!$N$37,IF($AC999&lt;&gt;"",Master!$N$38,IF($S999&lt;&gt;"",Master!$N$39,IF($C999&lt;&gt;"",Master!$N$40,Master!$N$41))))</f>
        <v>起票</v>
      </c>
      <c r="O999" s="412" t="str">
        <f>IF($N999=Master!$N$37,MAX($S999,$AC999,$AI999),"")</f>
        <v/>
      </c>
      <c r="P999" s="413"/>
      <c r="Q999" s="414"/>
      <c r="R999" s="409"/>
      <c r="S999" s="404"/>
      <c r="T999" s="418"/>
      <c r="U999" s="415"/>
      <c r="V999" s="409"/>
      <c r="W999" s="419"/>
      <c r="X999" s="419"/>
      <c r="Y999" s="416"/>
      <c r="Z999" s="417"/>
      <c r="AA999" s="418"/>
      <c r="AB999" s="419"/>
      <c r="AC999" s="404"/>
      <c r="AD999" s="404"/>
      <c r="AE999" s="420"/>
      <c r="AF999" s="421"/>
      <c r="AG999" s="418"/>
      <c r="AH999" s="409"/>
      <c r="AI999" s="404"/>
      <c r="AJ999" s="416"/>
      <c r="AK999" s="453"/>
      <c r="AL999" s="422"/>
      <c r="AM999" s="423"/>
      <c r="AO999" s="137" t="e">
        <f t="shared" si="130"/>
        <v>#N/A</v>
      </c>
      <c r="AP999" s="138" t="e">
        <f t="shared" si="131"/>
        <v>#N/A</v>
      </c>
      <c r="AQ999" s="138" t="e">
        <f t="shared" si="132"/>
        <v>#N/A</v>
      </c>
      <c r="AR999" s="138" t="e">
        <f t="shared" si="133"/>
        <v>#N/A</v>
      </c>
      <c r="AS999" s="138" t="e">
        <f t="shared" si="134"/>
        <v>#N/A</v>
      </c>
      <c r="AT999" s="139" t="e">
        <f t="shared" si="135"/>
        <v>#N/A</v>
      </c>
    </row>
    <row r="1000" spans="1:46" ht="54" customHeight="1">
      <c r="A1000" s="428">
        <f t="shared" si="136"/>
        <v>992</v>
      </c>
      <c r="B1000" s="403"/>
      <c r="C1000" s="404"/>
      <c r="D1000" s="405"/>
      <c r="E1000" s="405"/>
      <c r="F1000" s="405"/>
      <c r="G1000" s="405"/>
      <c r="H1000" s="406"/>
      <c r="I1000" s="407"/>
      <c r="J1000" s="408"/>
      <c r="K1000" s="409"/>
      <c r="L1000" s="410"/>
      <c r="M1000" s="404"/>
      <c r="N1000" s="411" t="str">
        <f>IF($AI1000&lt;&gt;"",Master!$N$37,IF($AC1000&lt;&gt;"",Master!$N$38,IF($S1000&lt;&gt;"",Master!$N$39,IF($C1000&lt;&gt;"",Master!$N$40,Master!$N$41))))</f>
        <v>起票</v>
      </c>
      <c r="O1000" s="412" t="str">
        <f>IF($N1000=Master!$N$37,MAX($S1000,$AC1000,$AI1000),"")</f>
        <v/>
      </c>
      <c r="P1000" s="413"/>
      <c r="Q1000" s="414"/>
      <c r="R1000" s="409"/>
      <c r="S1000" s="404"/>
      <c r="T1000" s="418"/>
      <c r="U1000" s="415"/>
      <c r="V1000" s="409"/>
      <c r="W1000" s="419"/>
      <c r="X1000" s="419"/>
      <c r="Y1000" s="416"/>
      <c r="Z1000" s="417"/>
      <c r="AA1000" s="418"/>
      <c r="AB1000" s="419"/>
      <c r="AC1000" s="404"/>
      <c r="AD1000" s="404"/>
      <c r="AE1000" s="420"/>
      <c r="AF1000" s="421"/>
      <c r="AG1000" s="418"/>
      <c r="AH1000" s="409"/>
      <c r="AI1000" s="404"/>
      <c r="AJ1000" s="416"/>
      <c r="AK1000" s="453"/>
      <c r="AL1000" s="422"/>
      <c r="AM1000" s="423"/>
      <c r="AO1000" s="137" t="e">
        <f t="shared" si="130"/>
        <v>#N/A</v>
      </c>
      <c r="AP1000" s="138" t="e">
        <f t="shared" si="131"/>
        <v>#N/A</v>
      </c>
      <c r="AQ1000" s="138" t="e">
        <f t="shared" si="132"/>
        <v>#N/A</v>
      </c>
      <c r="AR1000" s="138" t="e">
        <f t="shared" si="133"/>
        <v>#N/A</v>
      </c>
      <c r="AS1000" s="138" t="e">
        <f t="shared" si="134"/>
        <v>#N/A</v>
      </c>
      <c r="AT1000" s="139" t="e">
        <f t="shared" si="135"/>
        <v>#N/A</v>
      </c>
    </row>
    <row r="1001" spans="1:46" ht="54" customHeight="1">
      <c r="A1001" s="428">
        <f t="shared" si="136"/>
        <v>993</v>
      </c>
      <c r="B1001" s="294"/>
      <c r="C1001" s="201"/>
      <c r="D1001" s="290"/>
      <c r="E1001" s="301"/>
      <c r="F1001" s="301"/>
      <c r="G1001" s="290"/>
      <c r="H1001" s="291"/>
      <c r="I1001" s="292"/>
      <c r="J1001" s="61"/>
      <c r="K1001" s="57"/>
      <c r="L1001" s="303"/>
      <c r="M1001" s="201"/>
      <c r="N1001" s="84" t="str">
        <f>IF($AI1001&lt;&gt;"",Master!$N$37,IF($AC1001&lt;&gt;"",Master!$N$38,IF($S1001&lt;&gt;"",Master!$N$39,IF($C1001&lt;&gt;"",Master!$N$40,Master!$N$41))))</f>
        <v>起票</v>
      </c>
      <c r="O1001" s="202" t="str">
        <f>IF($N1001=Master!$N$37,MAX($S1001,$AC1001,$AI1001),"")</f>
        <v/>
      </c>
      <c r="P1001" s="65"/>
      <c r="Q1001" s="203"/>
      <c r="R1001" s="57"/>
      <c r="S1001" s="203"/>
      <c r="T1001" s="310"/>
      <c r="U1001" s="289"/>
      <c r="V1001" s="57"/>
      <c r="W1001" s="288"/>
      <c r="X1001" s="288"/>
      <c r="Y1001" s="296"/>
      <c r="Z1001" s="57"/>
      <c r="AA1001" s="203"/>
      <c r="AB1001" s="288"/>
      <c r="AC1001" s="201"/>
      <c r="AD1001" s="298"/>
      <c r="AE1001" s="297"/>
      <c r="AF1001" s="58"/>
      <c r="AG1001" s="204"/>
      <c r="AH1001" s="57"/>
      <c r="AI1001" s="201"/>
      <c r="AJ1001" s="287"/>
      <c r="AK1001" s="452"/>
      <c r="AL1001" s="59"/>
      <c r="AM1001" s="60"/>
      <c r="AO1001" s="137" t="e">
        <f t="shared" si="130"/>
        <v>#N/A</v>
      </c>
      <c r="AP1001" s="138" t="e">
        <f t="shared" si="131"/>
        <v>#N/A</v>
      </c>
      <c r="AQ1001" s="138" t="e">
        <f t="shared" si="132"/>
        <v>#N/A</v>
      </c>
      <c r="AR1001" s="138" t="e">
        <f t="shared" si="133"/>
        <v>#N/A</v>
      </c>
      <c r="AS1001" s="138" t="e">
        <f t="shared" si="134"/>
        <v>#N/A</v>
      </c>
      <c r="AT1001" s="139" t="e">
        <f t="shared" si="135"/>
        <v>#N/A</v>
      </c>
    </row>
    <row r="1002" spans="1:46" ht="54" customHeight="1">
      <c r="A1002" s="428">
        <f t="shared" si="136"/>
        <v>994</v>
      </c>
      <c r="B1002" s="294"/>
      <c r="C1002" s="201"/>
      <c r="D1002" s="290"/>
      <c r="E1002" s="301"/>
      <c r="F1002" s="301"/>
      <c r="G1002" s="290"/>
      <c r="H1002" s="291"/>
      <c r="I1002" s="292"/>
      <c r="J1002" s="61"/>
      <c r="K1002" s="57"/>
      <c r="L1002" s="303"/>
      <c r="M1002" s="201"/>
      <c r="N1002" s="84" t="str">
        <f>IF($AI1002&lt;&gt;"",Master!$N$37,IF($AC1002&lt;&gt;"",Master!$N$38,IF($S1002&lt;&gt;"",Master!$N$39,IF($C1002&lt;&gt;"",Master!$N$40,Master!$N$41))))</f>
        <v>起票</v>
      </c>
      <c r="O1002" s="202" t="str">
        <f>IF($N1002=Master!$N$37,MAX($S1002,$AC1002,$AI1002),"")</f>
        <v/>
      </c>
      <c r="P1002" s="65"/>
      <c r="Q1002" s="203"/>
      <c r="R1002" s="57"/>
      <c r="S1002" s="203"/>
      <c r="T1002" s="310"/>
      <c r="U1002" s="289"/>
      <c r="V1002" s="57"/>
      <c r="W1002" s="288"/>
      <c r="X1002" s="288"/>
      <c r="Y1002" s="296"/>
      <c r="Z1002" s="57"/>
      <c r="AA1002" s="203"/>
      <c r="AB1002" s="288"/>
      <c r="AC1002" s="201"/>
      <c r="AD1002" s="298"/>
      <c r="AE1002" s="297"/>
      <c r="AF1002" s="58"/>
      <c r="AG1002" s="204"/>
      <c r="AH1002" s="57"/>
      <c r="AI1002" s="201"/>
      <c r="AJ1002" s="287"/>
      <c r="AK1002" s="452"/>
      <c r="AL1002" s="59"/>
      <c r="AM1002" s="60"/>
      <c r="AO1002" s="137" t="e">
        <f t="shared" si="130"/>
        <v>#N/A</v>
      </c>
      <c r="AP1002" s="138" t="e">
        <f t="shared" si="131"/>
        <v>#N/A</v>
      </c>
      <c r="AQ1002" s="138" t="e">
        <f t="shared" si="132"/>
        <v>#N/A</v>
      </c>
      <c r="AR1002" s="138" t="e">
        <f t="shared" si="133"/>
        <v>#N/A</v>
      </c>
      <c r="AS1002" s="138" t="e">
        <f t="shared" si="134"/>
        <v>#N/A</v>
      </c>
      <c r="AT1002" s="139" t="e">
        <f t="shared" si="135"/>
        <v>#N/A</v>
      </c>
    </row>
    <row r="1003" spans="1:46" ht="54" customHeight="1">
      <c r="A1003" s="428">
        <f t="shared" si="136"/>
        <v>995</v>
      </c>
      <c r="B1003" s="403"/>
      <c r="C1003" s="404"/>
      <c r="D1003" s="405"/>
      <c r="E1003" s="405"/>
      <c r="F1003" s="405"/>
      <c r="G1003" s="405"/>
      <c r="H1003" s="406"/>
      <c r="I1003" s="407"/>
      <c r="J1003" s="408"/>
      <c r="K1003" s="409"/>
      <c r="L1003" s="410"/>
      <c r="M1003" s="404"/>
      <c r="N1003" s="411" t="str">
        <f>IF($AI1003&lt;&gt;"",Master!$N$37,IF($AC1003&lt;&gt;"",Master!$N$38,IF($S1003&lt;&gt;"",Master!$N$39,IF($C1003&lt;&gt;"",Master!$N$40,Master!$N$41))))</f>
        <v>起票</v>
      </c>
      <c r="O1003" s="412" t="str">
        <f>IF($N1003=Master!$N$37,MAX($S1003,$AC1003,$AI1003),"")</f>
        <v/>
      </c>
      <c r="P1003" s="413"/>
      <c r="Q1003" s="414"/>
      <c r="R1003" s="409"/>
      <c r="S1003" s="404"/>
      <c r="T1003" s="418"/>
      <c r="U1003" s="415"/>
      <c r="V1003" s="409"/>
      <c r="W1003" s="419"/>
      <c r="X1003" s="419"/>
      <c r="Y1003" s="416"/>
      <c r="Z1003" s="417"/>
      <c r="AA1003" s="418"/>
      <c r="AB1003" s="419"/>
      <c r="AC1003" s="404"/>
      <c r="AD1003" s="404"/>
      <c r="AE1003" s="420"/>
      <c r="AF1003" s="421"/>
      <c r="AG1003" s="418"/>
      <c r="AH1003" s="409"/>
      <c r="AI1003" s="404"/>
      <c r="AJ1003" s="416"/>
      <c r="AK1003" s="453"/>
      <c r="AL1003" s="422"/>
      <c r="AM1003" s="423"/>
      <c r="AO1003" s="137" t="e">
        <f t="shared" si="130"/>
        <v>#N/A</v>
      </c>
      <c r="AP1003" s="138" t="e">
        <f t="shared" si="131"/>
        <v>#N/A</v>
      </c>
      <c r="AQ1003" s="138" t="e">
        <f t="shared" si="132"/>
        <v>#N/A</v>
      </c>
      <c r="AR1003" s="138" t="e">
        <f t="shared" si="133"/>
        <v>#N/A</v>
      </c>
      <c r="AS1003" s="138" t="e">
        <f t="shared" si="134"/>
        <v>#N/A</v>
      </c>
      <c r="AT1003" s="139" t="e">
        <f t="shared" si="135"/>
        <v>#N/A</v>
      </c>
    </row>
    <row r="1004" spans="1:46" ht="54" customHeight="1">
      <c r="A1004" s="428">
        <f t="shared" si="136"/>
        <v>996</v>
      </c>
      <c r="B1004" s="403"/>
      <c r="C1004" s="404"/>
      <c r="D1004" s="405"/>
      <c r="E1004" s="405"/>
      <c r="F1004" s="405"/>
      <c r="G1004" s="405"/>
      <c r="H1004" s="406"/>
      <c r="I1004" s="407"/>
      <c r="J1004" s="408"/>
      <c r="K1004" s="409"/>
      <c r="L1004" s="410"/>
      <c r="M1004" s="404"/>
      <c r="N1004" s="411" t="str">
        <f>IF($AI1004&lt;&gt;"",Master!$N$37,IF($AC1004&lt;&gt;"",Master!$N$38,IF($S1004&lt;&gt;"",Master!$N$39,IF($C1004&lt;&gt;"",Master!$N$40,Master!$N$41))))</f>
        <v>起票</v>
      </c>
      <c r="O1004" s="412" t="str">
        <f>IF($N1004=Master!$N$37,MAX($S1004,$AC1004,$AI1004),"")</f>
        <v/>
      </c>
      <c r="P1004" s="413"/>
      <c r="Q1004" s="414"/>
      <c r="R1004" s="409"/>
      <c r="S1004" s="404"/>
      <c r="T1004" s="418"/>
      <c r="U1004" s="415"/>
      <c r="V1004" s="409"/>
      <c r="W1004" s="419"/>
      <c r="X1004" s="419"/>
      <c r="Y1004" s="416"/>
      <c r="Z1004" s="417"/>
      <c r="AA1004" s="418"/>
      <c r="AB1004" s="419"/>
      <c r="AC1004" s="404"/>
      <c r="AD1004" s="404"/>
      <c r="AE1004" s="420"/>
      <c r="AF1004" s="421"/>
      <c r="AG1004" s="418"/>
      <c r="AH1004" s="409"/>
      <c r="AI1004" s="404"/>
      <c r="AJ1004" s="416"/>
      <c r="AK1004" s="453"/>
      <c r="AL1004" s="422"/>
      <c r="AM1004" s="423"/>
      <c r="AO1004" s="137" t="e">
        <f t="shared" si="130"/>
        <v>#N/A</v>
      </c>
      <c r="AP1004" s="138" t="e">
        <f t="shared" si="131"/>
        <v>#N/A</v>
      </c>
      <c r="AQ1004" s="138" t="e">
        <f t="shared" si="132"/>
        <v>#N/A</v>
      </c>
      <c r="AR1004" s="138" t="e">
        <f t="shared" si="133"/>
        <v>#N/A</v>
      </c>
      <c r="AS1004" s="138" t="e">
        <f t="shared" si="134"/>
        <v>#N/A</v>
      </c>
      <c r="AT1004" s="139" t="e">
        <f t="shared" si="135"/>
        <v>#N/A</v>
      </c>
    </row>
    <row r="1005" spans="1:46" ht="54" customHeight="1">
      <c r="A1005" s="428">
        <f t="shared" si="136"/>
        <v>997</v>
      </c>
      <c r="B1005" s="403"/>
      <c r="C1005" s="404"/>
      <c r="D1005" s="405"/>
      <c r="E1005" s="405"/>
      <c r="F1005" s="405"/>
      <c r="G1005" s="405"/>
      <c r="H1005" s="406"/>
      <c r="I1005" s="407"/>
      <c r="J1005" s="408"/>
      <c r="K1005" s="409"/>
      <c r="L1005" s="410"/>
      <c r="M1005" s="404"/>
      <c r="N1005" s="411" t="str">
        <f>IF($AI1005&lt;&gt;"",Master!$N$37,IF($AC1005&lt;&gt;"",Master!$N$38,IF($S1005&lt;&gt;"",Master!$N$39,IF($C1005&lt;&gt;"",Master!$N$40,Master!$N$41))))</f>
        <v>起票</v>
      </c>
      <c r="O1005" s="412" t="str">
        <f>IF($N1005=Master!$N$37,MAX($S1005,$AC1005,$AI1005),"")</f>
        <v/>
      </c>
      <c r="P1005" s="413"/>
      <c r="Q1005" s="414"/>
      <c r="R1005" s="409"/>
      <c r="S1005" s="404"/>
      <c r="T1005" s="418"/>
      <c r="U1005" s="415"/>
      <c r="V1005" s="409"/>
      <c r="W1005" s="419"/>
      <c r="X1005" s="419"/>
      <c r="Y1005" s="416"/>
      <c r="Z1005" s="417"/>
      <c r="AA1005" s="418"/>
      <c r="AB1005" s="419"/>
      <c r="AC1005" s="404"/>
      <c r="AD1005" s="404"/>
      <c r="AE1005" s="420"/>
      <c r="AF1005" s="421"/>
      <c r="AG1005" s="418"/>
      <c r="AH1005" s="409"/>
      <c r="AI1005" s="404"/>
      <c r="AJ1005" s="416"/>
      <c r="AK1005" s="453"/>
      <c r="AL1005" s="422"/>
      <c r="AM1005" s="423"/>
      <c r="AO1005" s="137" t="e">
        <f t="shared" si="130"/>
        <v>#N/A</v>
      </c>
      <c r="AP1005" s="138" t="e">
        <f t="shared" si="131"/>
        <v>#N/A</v>
      </c>
      <c r="AQ1005" s="138" t="e">
        <f t="shared" si="132"/>
        <v>#N/A</v>
      </c>
      <c r="AR1005" s="138" t="e">
        <f t="shared" si="133"/>
        <v>#N/A</v>
      </c>
      <c r="AS1005" s="138" t="e">
        <f t="shared" si="134"/>
        <v>#N/A</v>
      </c>
      <c r="AT1005" s="139" t="e">
        <f t="shared" si="135"/>
        <v>#N/A</v>
      </c>
    </row>
    <row r="1006" spans="1:46" ht="54" customHeight="1">
      <c r="A1006" s="428">
        <f t="shared" si="136"/>
        <v>998</v>
      </c>
      <c r="B1006" s="294"/>
      <c r="C1006" s="201"/>
      <c r="D1006" s="290"/>
      <c r="E1006" s="301"/>
      <c r="F1006" s="301"/>
      <c r="G1006" s="290"/>
      <c r="H1006" s="291"/>
      <c r="I1006" s="292"/>
      <c r="J1006" s="61"/>
      <c r="K1006" s="57"/>
      <c r="L1006" s="303"/>
      <c r="M1006" s="201"/>
      <c r="N1006" s="84" t="str">
        <f>IF($AI1006&lt;&gt;"",Master!$N$37,IF($AC1006&lt;&gt;"",Master!$N$38,IF($S1006&lt;&gt;"",Master!$N$39,IF($C1006&lt;&gt;"",Master!$N$40,Master!$N$41))))</f>
        <v>起票</v>
      </c>
      <c r="O1006" s="202" t="str">
        <f>IF($N1006=Master!$N$37,MAX($S1006,$AC1006,$AI1006),"")</f>
        <v/>
      </c>
      <c r="P1006" s="65"/>
      <c r="Q1006" s="203"/>
      <c r="R1006" s="57"/>
      <c r="S1006" s="203"/>
      <c r="T1006" s="310"/>
      <c r="U1006" s="289"/>
      <c r="V1006" s="57"/>
      <c r="W1006" s="288"/>
      <c r="X1006" s="288"/>
      <c r="Y1006" s="296"/>
      <c r="Z1006" s="57"/>
      <c r="AA1006" s="203"/>
      <c r="AB1006" s="288"/>
      <c r="AC1006" s="201"/>
      <c r="AD1006" s="298"/>
      <c r="AE1006" s="297"/>
      <c r="AF1006" s="58"/>
      <c r="AG1006" s="204"/>
      <c r="AH1006" s="57"/>
      <c r="AI1006" s="201"/>
      <c r="AJ1006" s="287"/>
      <c r="AK1006" s="452"/>
      <c r="AL1006" s="59"/>
      <c r="AM1006" s="60"/>
      <c r="AO1006" s="137" t="e">
        <f t="shared" si="130"/>
        <v>#N/A</v>
      </c>
      <c r="AP1006" s="138" t="e">
        <f t="shared" si="131"/>
        <v>#N/A</v>
      </c>
      <c r="AQ1006" s="138" t="e">
        <f t="shared" si="132"/>
        <v>#N/A</v>
      </c>
      <c r="AR1006" s="138" t="e">
        <f t="shared" si="133"/>
        <v>#N/A</v>
      </c>
      <c r="AS1006" s="138" t="e">
        <f t="shared" si="134"/>
        <v>#N/A</v>
      </c>
      <c r="AT1006" s="139" t="e">
        <f t="shared" si="135"/>
        <v>#N/A</v>
      </c>
    </row>
    <row r="1007" spans="1:46" ht="54" customHeight="1">
      <c r="A1007" s="428">
        <f t="shared" si="136"/>
        <v>999</v>
      </c>
      <c r="B1007" s="294"/>
      <c r="C1007" s="201"/>
      <c r="D1007" s="290"/>
      <c r="E1007" s="301"/>
      <c r="F1007" s="301"/>
      <c r="G1007" s="290"/>
      <c r="H1007" s="291"/>
      <c r="I1007" s="292"/>
      <c r="J1007" s="61"/>
      <c r="K1007" s="57"/>
      <c r="L1007" s="303"/>
      <c r="M1007" s="201"/>
      <c r="N1007" s="84" t="str">
        <f>IF($AI1007&lt;&gt;"",Master!$N$37,IF($AC1007&lt;&gt;"",Master!$N$38,IF($S1007&lt;&gt;"",Master!$N$39,IF($C1007&lt;&gt;"",Master!$N$40,Master!$N$41))))</f>
        <v>起票</v>
      </c>
      <c r="O1007" s="202" t="str">
        <f>IF($N1007=Master!$N$37,MAX($S1007,$AC1007,$AI1007),"")</f>
        <v/>
      </c>
      <c r="P1007" s="65"/>
      <c r="Q1007" s="203"/>
      <c r="R1007" s="57"/>
      <c r="S1007" s="203"/>
      <c r="T1007" s="310"/>
      <c r="U1007" s="289"/>
      <c r="V1007" s="57"/>
      <c r="W1007" s="288"/>
      <c r="X1007" s="288"/>
      <c r="Y1007" s="296"/>
      <c r="Z1007" s="57"/>
      <c r="AA1007" s="203"/>
      <c r="AB1007" s="288"/>
      <c r="AC1007" s="201"/>
      <c r="AD1007" s="298"/>
      <c r="AE1007" s="297"/>
      <c r="AF1007" s="58"/>
      <c r="AG1007" s="204"/>
      <c r="AH1007" s="57"/>
      <c r="AI1007" s="201"/>
      <c r="AJ1007" s="287"/>
      <c r="AK1007" s="452"/>
      <c r="AL1007" s="59"/>
      <c r="AM1007" s="60"/>
      <c r="AO1007" s="137" t="e">
        <f t="shared" si="130"/>
        <v>#N/A</v>
      </c>
      <c r="AP1007" s="138" t="e">
        <f t="shared" si="131"/>
        <v>#N/A</v>
      </c>
      <c r="AQ1007" s="138" t="e">
        <f t="shared" si="132"/>
        <v>#N/A</v>
      </c>
      <c r="AR1007" s="138" t="e">
        <f t="shared" si="133"/>
        <v>#N/A</v>
      </c>
      <c r="AS1007" s="138" t="e">
        <f t="shared" si="134"/>
        <v>#N/A</v>
      </c>
      <c r="AT1007" s="139" t="e">
        <f t="shared" si="135"/>
        <v>#N/A</v>
      </c>
    </row>
    <row r="1008" spans="1:46" ht="54" customHeight="1">
      <c r="A1008" s="428">
        <f t="shared" si="136"/>
        <v>1000</v>
      </c>
      <c r="B1008" s="403"/>
      <c r="C1008" s="404"/>
      <c r="D1008" s="405"/>
      <c r="E1008" s="405"/>
      <c r="F1008" s="405"/>
      <c r="G1008" s="405"/>
      <c r="H1008" s="406"/>
      <c r="I1008" s="407"/>
      <c r="J1008" s="408"/>
      <c r="K1008" s="409"/>
      <c r="L1008" s="410"/>
      <c r="M1008" s="404"/>
      <c r="N1008" s="411" t="str">
        <f>IF($AI1008&lt;&gt;"",Master!$N$37,IF($AC1008&lt;&gt;"",Master!$N$38,IF($S1008&lt;&gt;"",Master!$N$39,IF($C1008&lt;&gt;"",Master!$N$40,Master!$N$41))))</f>
        <v>起票</v>
      </c>
      <c r="O1008" s="412" t="str">
        <f>IF($N1008=Master!$N$37,MAX($S1008,$AC1008,$AI1008),"")</f>
        <v/>
      </c>
      <c r="P1008" s="413"/>
      <c r="Q1008" s="414"/>
      <c r="R1008" s="409"/>
      <c r="S1008" s="404"/>
      <c r="T1008" s="418"/>
      <c r="U1008" s="415"/>
      <c r="V1008" s="409"/>
      <c r="W1008" s="419"/>
      <c r="X1008" s="419"/>
      <c r="Y1008" s="416"/>
      <c r="Z1008" s="417"/>
      <c r="AA1008" s="418"/>
      <c r="AB1008" s="419"/>
      <c r="AC1008" s="404"/>
      <c r="AD1008" s="404"/>
      <c r="AE1008" s="420"/>
      <c r="AF1008" s="421"/>
      <c r="AG1008" s="418"/>
      <c r="AH1008" s="409"/>
      <c r="AI1008" s="404"/>
      <c r="AJ1008" s="416"/>
      <c r="AK1008" s="453"/>
      <c r="AL1008" s="422"/>
      <c r="AM1008" s="423"/>
      <c r="AO1008" s="137" t="e">
        <f t="shared" si="130"/>
        <v>#N/A</v>
      </c>
      <c r="AP1008" s="138" t="e">
        <f t="shared" si="131"/>
        <v>#N/A</v>
      </c>
      <c r="AQ1008" s="138" t="e">
        <f t="shared" si="132"/>
        <v>#N/A</v>
      </c>
      <c r="AR1008" s="138" t="e">
        <f t="shared" si="133"/>
        <v>#N/A</v>
      </c>
      <c r="AS1008" s="138" t="e">
        <f t="shared" si="134"/>
        <v>#N/A</v>
      </c>
      <c r="AT1008" s="139" t="e">
        <f t="shared" si="135"/>
        <v>#N/A</v>
      </c>
    </row>
    <row r="1009" spans="1:46" ht="54" customHeight="1">
      <c r="A1009" s="428">
        <f t="shared" si="136"/>
        <v>1001</v>
      </c>
      <c r="B1009" s="403"/>
      <c r="C1009" s="404"/>
      <c r="D1009" s="405"/>
      <c r="E1009" s="405"/>
      <c r="F1009" s="405"/>
      <c r="G1009" s="405"/>
      <c r="H1009" s="406"/>
      <c r="I1009" s="407"/>
      <c r="J1009" s="408"/>
      <c r="K1009" s="409"/>
      <c r="L1009" s="410"/>
      <c r="M1009" s="404"/>
      <c r="N1009" s="411" t="str">
        <f>IF($AI1009&lt;&gt;"",Master!$N$37,IF($AC1009&lt;&gt;"",Master!$N$38,IF($S1009&lt;&gt;"",Master!$N$39,IF($C1009&lt;&gt;"",Master!$N$40,Master!$N$41))))</f>
        <v>起票</v>
      </c>
      <c r="O1009" s="412" t="str">
        <f>IF($N1009=Master!$N$37,MAX($S1009,$AC1009,$AI1009),"")</f>
        <v/>
      </c>
      <c r="P1009" s="413"/>
      <c r="Q1009" s="414"/>
      <c r="R1009" s="409"/>
      <c r="S1009" s="404"/>
      <c r="T1009" s="418"/>
      <c r="U1009" s="415"/>
      <c r="V1009" s="409"/>
      <c r="W1009" s="419"/>
      <c r="X1009" s="419"/>
      <c r="Y1009" s="416"/>
      <c r="Z1009" s="417"/>
      <c r="AA1009" s="418"/>
      <c r="AB1009" s="419"/>
      <c r="AC1009" s="404"/>
      <c r="AD1009" s="404"/>
      <c r="AE1009" s="420"/>
      <c r="AF1009" s="421"/>
      <c r="AG1009" s="418"/>
      <c r="AH1009" s="409"/>
      <c r="AI1009" s="404"/>
      <c r="AJ1009" s="416"/>
      <c r="AK1009" s="453"/>
      <c r="AL1009" s="422"/>
      <c r="AM1009" s="423"/>
      <c r="AO1009" s="137" t="e">
        <f t="shared" si="130"/>
        <v>#N/A</v>
      </c>
      <c r="AP1009" s="138" t="e">
        <f t="shared" si="131"/>
        <v>#N/A</v>
      </c>
      <c r="AQ1009" s="138" t="e">
        <f t="shared" si="132"/>
        <v>#N/A</v>
      </c>
      <c r="AR1009" s="138" t="e">
        <f t="shared" si="133"/>
        <v>#N/A</v>
      </c>
      <c r="AS1009" s="138" t="e">
        <f t="shared" si="134"/>
        <v>#N/A</v>
      </c>
      <c r="AT1009" s="139" t="e">
        <f t="shared" si="135"/>
        <v>#N/A</v>
      </c>
    </row>
    <row r="1010" spans="1:46" ht="54" customHeight="1">
      <c r="A1010" s="428">
        <f t="shared" si="136"/>
        <v>1002</v>
      </c>
      <c r="B1010" s="403"/>
      <c r="C1010" s="404"/>
      <c r="D1010" s="405"/>
      <c r="E1010" s="405"/>
      <c r="F1010" s="405"/>
      <c r="G1010" s="405"/>
      <c r="H1010" s="406"/>
      <c r="I1010" s="407"/>
      <c r="J1010" s="408"/>
      <c r="K1010" s="409"/>
      <c r="L1010" s="410"/>
      <c r="M1010" s="404"/>
      <c r="N1010" s="411" t="str">
        <f>IF($AI1010&lt;&gt;"",Master!$N$37,IF($AC1010&lt;&gt;"",Master!$N$38,IF($S1010&lt;&gt;"",Master!$N$39,IF($C1010&lt;&gt;"",Master!$N$40,Master!$N$41))))</f>
        <v>起票</v>
      </c>
      <c r="O1010" s="412" t="str">
        <f>IF($N1010=Master!$N$37,MAX($S1010,$AC1010,$AI1010),"")</f>
        <v/>
      </c>
      <c r="P1010" s="413"/>
      <c r="Q1010" s="414"/>
      <c r="R1010" s="409"/>
      <c r="S1010" s="404"/>
      <c r="T1010" s="418"/>
      <c r="U1010" s="415"/>
      <c r="V1010" s="409"/>
      <c r="W1010" s="419"/>
      <c r="X1010" s="419"/>
      <c r="Y1010" s="416"/>
      <c r="Z1010" s="417"/>
      <c r="AA1010" s="418"/>
      <c r="AB1010" s="419"/>
      <c r="AC1010" s="404"/>
      <c r="AD1010" s="404"/>
      <c r="AE1010" s="420"/>
      <c r="AF1010" s="421"/>
      <c r="AG1010" s="418"/>
      <c r="AH1010" s="409"/>
      <c r="AI1010" s="404"/>
      <c r="AJ1010" s="416"/>
      <c r="AK1010" s="453"/>
      <c r="AL1010" s="422"/>
      <c r="AM1010" s="423"/>
      <c r="AO1010" s="137" t="e">
        <f t="shared" si="130"/>
        <v>#N/A</v>
      </c>
      <c r="AP1010" s="138" t="e">
        <f t="shared" si="131"/>
        <v>#N/A</v>
      </c>
      <c r="AQ1010" s="138" t="e">
        <f t="shared" si="132"/>
        <v>#N/A</v>
      </c>
      <c r="AR1010" s="138" t="e">
        <f t="shared" si="133"/>
        <v>#N/A</v>
      </c>
      <c r="AS1010" s="138" t="e">
        <f t="shared" si="134"/>
        <v>#N/A</v>
      </c>
      <c r="AT1010" s="139" t="e">
        <f t="shared" si="135"/>
        <v>#N/A</v>
      </c>
    </row>
    <row r="1011" spans="1:46" ht="54" customHeight="1">
      <c r="A1011" s="428">
        <f t="shared" si="136"/>
        <v>1003</v>
      </c>
      <c r="B1011" s="294"/>
      <c r="C1011" s="201"/>
      <c r="D1011" s="290"/>
      <c r="E1011" s="301"/>
      <c r="F1011" s="301"/>
      <c r="G1011" s="290"/>
      <c r="H1011" s="291"/>
      <c r="I1011" s="292"/>
      <c r="J1011" s="61"/>
      <c r="K1011" s="57"/>
      <c r="L1011" s="303"/>
      <c r="M1011" s="201"/>
      <c r="N1011" s="84" t="str">
        <f>IF($AI1011&lt;&gt;"",Master!$N$37,IF($AC1011&lt;&gt;"",Master!$N$38,IF($S1011&lt;&gt;"",Master!$N$39,IF($C1011&lt;&gt;"",Master!$N$40,Master!$N$41))))</f>
        <v>起票</v>
      </c>
      <c r="O1011" s="202" t="str">
        <f>IF($N1011=Master!$N$37,MAX($S1011,$AC1011,$AI1011),"")</f>
        <v/>
      </c>
      <c r="P1011" s="65"/>
      <c r="Q1011" s="203"/>
      <c r="R1011" s="57"/>
      <c r="S1011" s="203"/>
      <c r="T1011" s="310"/>
      <c r="U1011" s="289"/>
      <c r="V1011" s="57"/>
      <c r="W1011" s="288"/>
      <c r="X1011" s="288"/>
      <c r="Y1011" s="296"/>
      <c r="Z1011" s="57"/>
      <c r="AA1011" s="203"/>
      <c r="AB1011" s="288"/>
      <c r="AC1011" s="201"/>
      <c r="AD1011" s="298"/>
      <c r="AE1011" s="297"/>
      <c r="AF1011" s="58"/>
      <c r="AG1011" s="204"/>
      <c r="AH1011" s="57"/>
      <c r="AI1011" s="201"/>
      <c r="AJ1011" s="287"/>
      <c r="AK1011" s="452"/>
      <c r="AL1011" s="59"/>
      <c r="AM1011" s="60"/>
      <c r="AO1011" s="137" t="e">
        <f t="shared" si="130"/>
        <v>#N/A</v>
      </c>
      <c r="AP1011" s="138" t="e">
        <f t="shared" si="131"/>
        <v>#N/A</v>
      </c>
      <c r="AQ1011" s="138" t="e">
        <f t="shared" si="132"/>
        <v>#N/A</v>
      </c>
      <c r="AR1011" s="138" t="e">
        <f t="shared" si="133"/>
        <v>#N/A</v>
      </c>
      <c r="AS1011" s="138" t="e">
        <f t="shared" si="134"/>
        <v>#N/A</v>
      </c>
      <c r="AT1011" s="139" t="e">
        <f t="shared" si="135"/>
        <v>#N/A</v>
      </c>
    </row>
    <row r="1012" spans="1:46" ht="54" customHeight="1">
      <c r="A1012" s="428">
        <f t="shared" si="136"/>
        <v>1004</v>
      </c>
      <c r="B1012" s="294"/>
      <c r="C1012" s="201"/>
      <c r="D1012" s="290"/>
      <c r="E1012" s="301"/>
      <c r="F1012" s="301"/>
      <c r="G1012" s="290"/>
      <c r="H1012" s="291"/>
      <c r="I1012" s="292"/>
      <c r="J1012" s="61"/>
      <c r="K1012" s="57"/>
      <c r="L1012" s="303"/>
      <c r="M1012" s="201"/>
      <c r="N1012" s="84" t="str">
        <f>IF($AI1012&lt;&gt;"",Master!$N$37,IF($AC1012&lt;&gt;"",Master!$N$38,IF($S1012&lt;&gt;"",Master!$N$39,IF($C1012&lt;&gt;"",Master!$N$40,Master!$N$41))))</f>
        <v>起票</v>
      </c>
      <c r="O1012" s="202" t="str">
        <f>IF($N1012=Master!$N$37,MAX($S1012,$AC1012,$AI1012),"")</f>
        <v/>
      </c>
      <c r="P1012" s="65"/>
      <c r="Q1012" s="203"/>
      <c r="R1012" s="57"/>
      <c r="S1012" s="203"/>
      <c r="T1012" s="310"/>
      <c r="U1012" s="289"/>
      <c r="V1012" s="57"/>
      <c r="W1012" s="288"/>
      <c r="X1012" s="288"/>
      <c r="Y1012" s="296"/>
      <c r="Z1012" s="57"/>
      <c r="AA1012" s="203"/>
      <c r="AB1012" s="288"/>
      <c r="AC1012" s="201"/>
      <c r="AD1012" s="298"/>
      <c r="AE1012" s="297"/>
      <c r="AF1012" s="58"/>
      <c r="AG1012" s="204"/>
      <c r="AH1012" s="57"/>
      <c r="AI1012" s="201"/>
      <c r="AJ1012" s="287"/>
      <c r="AK1012" s="452"/>
      <c r="AL1012" s="59"/>
      <c r="AM1012" s="60"/>
      <c r="AO1012" s="137" t="e">
        <f t="shared" si="130"/>
        <v>#N/A</v>
      </c>
      <c r="AP1012" s="138" t="e">
        <f t="shared" si="131"/>
        <v>#N/A</v>
      </c>
      <c r="AQ1012" s="138" t="e">
        <f t="shared" si="132"/>
        <v>#N/A</v>
      </c>
      <c r="AR1012" s="138" t="e">
        <f t="shared" si="133"/>
        <v>#N/A</v>
      </c>
      <c r="AS1012" s="138" t="e">
        <f t="shared" si="134"/>
        <v>#N/A</v>
      </c>
      <c r="AT1012" s="139" t="e">
        <f t="shared" si="135"/>
        <v>#N/A</v>
      </c>
    </row>
    <row r="1013" spans="1:46" ht="54" customHeight="1">
      <c r="A1013" s="428">
        <f t="shared" si="136"/>
        <v>1005</v>
      </c>
      <c r="B1013" s="403"/>
      <c r="C1013" s="404"/>
      <c r="D1013" s="405"/>
      <c r="E1013" s="405"/>
      <c r="F1013" s="405"/>
      <c r="G1013" s="405"/>
      <c r="H1013" s="406"/>
      <c r="I1013" s="407"/>
      <c r="J1013" s="408"/>
      <c r="K1013" s="409"/>
      <c r="L1013" s="410"/>
      <c r="M1013" s="404"/>
      <c r="N1013" s="411" t="str">
        <f>IF($AI1013&lt;&gt;"",Master!$N$37,IF($AC1013&lt;&gt;"",Master!$N$38,IF($S1013&lt;&gt;"",Master!$N$39,IF($C1013&lt;&gt;"",Master!$N$40,Master!$N$41))))</f>
        <v>起票</v>
      </c>
      <c r="O1013" s="412" t="str">
        <f>IF($N1013=Master!$N$37,MAX($S1013,$AC1013,$AI1013),"")</f>
        <v/>
      </c>
      <c r="P1013" s="413"/>
      <c r="Q1013" s="414"/>
      <c r="R1013" s="409"/>
      <c r="S1013" s="404"/>
      <c r="T1013" s="418"/>
      <c r="U1013" s="415"/>
      <c r="V1013" s="409"/>
      <c r="W1013" s="419"/>
      <c r="X1013" s="419"/>
      <c r="Y1013" s="416"/>
      <c r="Z1013" s="417"/>
      <c r="AA1013" s="418"/>
      <c r="AB1013" s="419"/>
      <c r="AC1013" s="404"/>
      <c r="AD1013" s="404"/>
      <c r="AE1013" s="420"/>
      <c r="AF1013" s="421"/>
      <c r="AG1013" s="418"/>
      <c r="AH1013" s="409"/>
      <c r="AI1013" s="404"/>
      <c r="AJ1013" s="416"/>
      <c r="AK1013" s="453"/>
      <c r="AL1013" s="422"/>
      <c r="AM1013" s="423"/>
      <c r="AO1013" s="137" t="e">
        <f t="shared" si="130"/>
        <v>#N/A</v>
      </c>
      <c r="AP1013" s="138" t="e">
        <f t="shared" si="131"/>
        <v>#N/A</v>
      </c>
      <c r="AQ1013" s="138" t="e">
        <f t="shared" si="132"/>
        <v>#N/A</v>
      </c>
      <c r="AR1013" s="138" t="e">
        <f t="shared" si="133"/>
        <v>#N/A</v>
      </c>
      <c r="AS1013" s="138" t="e">
        <f t="shared" si="134"/>
        <v>#N/A</v>
      </c>
      <c r="AT1013" s="139" t="e">
        <f t="shared" si="135"/>
        <v>#N/A</v>
      </c>
    </row>
    <row r="1014" spans="1:46" ht="54" customHeight="1">
      <c r="A1014" s="428">
        <f t="shared" si="136"/>
        <v>1006</v>
      </c>
      <c r="B1014" s="403"/>
      <c r="C1014" s="404"/>
      <c r="D1014" s="405"/>
      <c r="E1014" s="405"/>
      <c r="F1014" s="405"/>
      <c r="G1014" s="405"/>
      <c r="H1014" s="406"/>
      <c r="I1014" s="407"/>
      <c r="J1014" s="408"/>
      <c r="K1014" s="409"/>
      <c r="L1014" s="410"/>
      <c r="M1014" s="404"/>
      <c r="N1014" s="411" t="str">
        <f>IF($AI1014&lt;&gt;"",Master!$N$37,IF($AC1014&lt;&gt;"",Master!$N$38,IF($S1014&lt;&gt;"",Master!$N$39,IF($C1014&lt;&gt;"",Master!$N$40,Master!$N$41))))</f>
        <v>起票</v>
      </c>
      <c r="O1014" s="412" t="str">
        <f>IF($N1014=Master!$N$37,MAX($S1014,$AC1014,$AI1014),"")</f>
        <v/>
      </c>
      <c r="P1014" s="413"/>
      <c r="Q1014" s="414"/>
      <c r="R1014" s="409"/>
      <c r="S1014" s="404"/>
      <c r="T1014" s="418"/>
      <c r="U1014" s="415"/>
      <c r="V1014" s="409"/>
      <c r="W1014" s="419"/>
      <c r="X1014" s="419"/>
      <c r="Y1014" s="416"/>
      <c r="Z1014" s="417"/>
      <c r="AA1014" s="418"/>
      <c r="AB1014" s="419"/>
      <c r="AC1014" s="404"/>
      <c r="AD1014" s="404"/>
      <c r="AE1014" s="420"/>
      <c r="AF1014" s="421"/>
      <c r="AG1014" s="418"/>
      <c r="AH1014" s="409"/>
      <c r="AI1014" s="404"/>
      <c r="AJ1014" s="416"/>
      <c r="AK1014" s="453"/>
      <c r="AL1014" s="422"/>
      <c r="AM1014" s="423"/>
      <c r="AO1014" s="137" t="e">
        <f t="shared" si="130"/>
        <v>#N/A</v>
      </c>
      <c r="AP1014" s="138" t="e">
        <f t="shared" si="131"/>
        <v>#N/A</v>
      </c>
      <c r="AQ1014" s="138" t="e">
        <f t="shared" si="132"/>
        <v>#N/A</v>
      </c>
      <c r="AR1014" s="138" t="e">
        <f t="shared" si="133"/>
        <v>#N/A</v>
      </c>
      <c r="AS1014" s="138" t="e">
        <f t="shared" si="134"/>
        <v>#N/A</v>
      </c>
      <c r="AT1014" s="139" t="e">
        <f t="shared" si="135"/>
        <v>#N/A</v>
      </c>
    </row>
    <row r="1015" spans="1:46" ht="54" customHeight="1">
      <c r="A1015" s="428">
        <f t="shared" si="136"/>
        <v>1007</v>
      </c>
      <c r="B1015" s="403"/>
      <c r="C1015" s="404"/>
      <c r="D1015" s="405"/>
      <c r="E1015" s="405"/>
      <c r="F1015" s="405"/>
      <c r="G1015" s="405"/>
      <c r="H1015" s="406"/>
      <c r="I1015" s="407"/>
      <c r="J1015" s="408"/>
      <c r="K1015" s="409"/>
      <c r="L1015" s="410"/>
      <c r="M1015" s="404"/>
      <c r="N1015" s="411" t="str">
        <f>IF($AI1015&lt;&gt;"",Master!$N$37,IF($AC1015&lt;&gt;"",Master!$N$38,IF($S1015&lt;&gt;"",Master!$N$39,IF($C1015&lt;&gt;"",Master!$N$40,Master!$N$41))))</f>
        <v>起票</v>
      </c>
      <c r="O1015" s="412" t="str">
        <f>IF($N1015=Master!$N$37,MAX($S1015,$AC1015,$AI1015),"")</f>
        <v/>
      </c>
      <c r="P1015" s="413"/>
      <c r="Q1015" s="414"/>
      <c r="R1015" s="409"/>
      <c r="S1015" s="404"/>
      <c r="T1015" s="418"/>
      <c r="U1015" s="415"/>
      <c r="V1015" s="409"/>
      <c r="W1015" s="419"/>
      <c r="X1015" s="419"/>
      <c r="Y1015" s="416"/>
      <c r="Z1015" s="417"/>
      <c r="AA1015" s="418"/>
      <c r="AB1015" s="419"/>
      <c r="AC1015" s="404"/>
      <c r="AD1015" s="404"/>
      <c r="AE1015" s="420"/>
      <c r="AF1015" s="421"/>
      <c r="AG1015" s="418"/>
      <c r="AH1015" s="409"/>
      <c r="AI1015" s="404"/>
      <c r="AJ1015" s="416"/>
      <c r="AK1015" s="453"/>
      <c r="AL1015" s="422"/>
      <c r="AM1015" s="423"/>
      <c r="AO1015" s="137" t="e">
        <f t="shared" si="130"/>
        <v>#N/A</v>
      </c>
      <c r="AP1015" s="138" t="e">
        <f t="shared" si="131"/>
        <v>#N/A</v>
      </c>
      <c r="AQ1015" s="138" t="e">
        <f t="shared" si="132"/>
        <v>#N/A</v>
      </c>
      <c r="AR1015" s="138" t="e">
        <f t="shared" si="133"/>
        <v>#N/A</v>
      </c>
      <c r="AS1015" s="138" t="e">
        <f t="shared" si="134"/>
        <v>#N/A</v>
      </c>
      <c r="AT1015" s="139" t="e">
        <f t="shared" si="135"/>
        <v>#N/A</v>
      </c>
    </row>
    <row r="1016" spans="1:46" ht="54" customHeight="1">
      <c r="A1016" s="428">
        <f t="shared" si="136"/>
        <v>1008</v>
      </c>
      <c r="B1016" s="294"/>
      <c r="C1016" s="201"/>
      <c r="D1016" s="290"/>
      <c r="E1016" s="301"/>
      <c r="F1016" s="301"/>
      <c r="G1016" s="290"/>
      <c r="H1016" s="291"/>
      <c r="I1016" s="292"/>
      <c r="J1016" s="61"/>
      <c r="K1016" s="57"/>
      <c r="L1016" s="303"/>
      <c r="M1016" s="201"/>
      <c r="N1016" s="84" t="str">
        <f>IF($AI1016&lt;&gt;"",Master!$N$37,IF($AC1016&lt;&gt;"",Master!$N$38,IF($S1016&lt;&gt;"",Master!$N$39,IF($C1016&lt;&gt;"",Master!$N$40,Master!$N$41))))</f>
        <v>起票</v>
      </c>
      <c r="O1016" s="202" t="str">
        <f>IF($N1016=Master!$N$37,MAX($S1016,$AC1016,$AI1016),"")</f>
        <v/>
      </c>
      <c r="P1016" s="65"/>
      <c r="Q1016" s="203"/>
      <c r="R1016" s="57"/>
      <c r="S1016" s="203"/>
      <c r="T1016" s="310"/>
      <c r="U1016" s="289"/>
      <c r="V1016" s="57"/>
      <c r="W1016" s="288"/>
      <c r="X1016" s="288"/>
      <c r="Y1016" s="296"/>
      <c r="Z1016" s="57"/>
      <c r="AA1016" s="203"/>
      <c r="AB1016" s="288"/>
      <c r="AC1016" s="201"/>
      <c r="AD1016" s="298"/>
      <c r="AE1016" s="297"/>
      <c r="AF1016" s="58"/>
      <c r="AG1016" s="204"/>
      <c r="AH1016" s="57"/>
      <c r="AI1016" s="201"/>
      <c r="AJ1016" s="287"/>
      <c r="AK1016" s="452"/>
      <c r="AL1016" s="59"/>
      <c r="AM1016" s="60"/>
      <c r="AO1016" s="137" t="e">
        <f t="shared" si="130"/>
        <v>#N/A</v>
      </c>
      <c r="AP1016" s="138" t="e">
        <f t="shared" si="131"/>
        <v>#N/A</v>
      </c>
      <c r="AQ1016" s="138" t="e">
        <f t="shared" si="132"/>
        <v>#N/A</v>
      </c>
      <c r="AR1016" s="138" t="e">
        <f t="shared" si="133"/>
        <v>#N/A</v>
      </c>
      <c r="AS1016" s="138" t="e">
        <f t="shared" si="134"/>
        <v>#N/A</v>
      </c>
      <c r="AT1016" s="139" t="e">
        <f t="shared" si="135"/>
        <v>#N/A</v>
      </c>
    </row>
    <row r="1017" spans="1:46" ht="54" customHeight="1">
      <c r="A1017" s="428">
        <f t="shared" si="136"/>
        <v>1009</v>
      </c>
      <c r="B1017" s="294"/>
      <c r="C1017" s="201"/>
      <c r="D1017" s="290"/>
      <c r="E1017" s="301"/>
      <c r="F1017" s="301"/>
      <c r="G1017" s="290"/>
      <c r="H1017" s="291"/>
      <c r="I1017" s="292"/>
      <c r="J1017" s="61"/>
      <c r="K1017" s="57"/>
      <c r="L1017" s="303"/>
      <c r="M1017" s="201"/>
      <c r="N1017" s="84" t="str">
        <f>IF($AI1017&lt;&gt;"",Master!$N$37,IF($AC1017&lt;&gt;"",Master!$N$38,IF($S1017&lt;&gt;"",Master!$N$39,IF($C1017&lt;&gt;"",Master!$N$40,Master!$N$41))))</f>
        <v>起票</v>
      </c>
      <c r="O1017" s="202" t="str">
        <f>IF($N1017=Master!$N$37,MAX($S1017,$AC1017,$AI1017),"")</f>
        <v/>
      </c>
      <c r="P1017" s="65"/>
      <c r="Q1017" s="203"/>
      <c r="R1017" s="57"/>
      <c r="S1017" s="203"/>
      <c r="T1017" s="310"/>
      <c r="U1017" s="289"/>
      <c r="V1017" s="57"/>
      <c r="W1017" s="288"/>
      <c r="X1017" s="288"/>
      <c r="Y1017" s="296"/>
      <c r="Z1017" s="57"/>
      <c r="AA1017" s="203"/>
      <c r="AB1017" s="288"/>
      <c r="AC1017" s="201"/>
      <c r="AD1017" s="298"/>
      <c r="AE1017" s="297"/>
      <c r="AF1017" s="58"/>
      <c r="AG1017" s="204"/>
      <c r="AH1017" s="57"/>
      <c r="AI1017" s="201"/>
      <c r="AJ1017" s="287"/>
      <c r="AK1017" s="452"/>
      <c r="AL1017" s="59"/>
      <c r="AM1017" s="60"/>
      <c r="AO1017" s="137" t="e">
        <f t="shared" si="130"/>
        <v>#N/A</v>
      </c>
      <c r="AP1017" s="138" t="e">
        <f t="shared" si="131"/>
        <v>#N/A</v>
      </c>
      <c r="AQ1017" s="138" t="e">
        <f t="shared" si="132"/>
        <v>#N/A</v>
      </c>
      <c r="AR1017" s="138" t="e">
        <f t="shared" si="133"/>
        <v>#N/A</v>
      </c>
      <c r="AS1017" s="138" t="e">
        <f t="shared" si="134"/>
        <v>#N/A</v>
      </c>
      <c r="AT1017" s="139" t="e">
        <f t="shared" si="135"/>
        <v>#N/A</v>
      </c>
    </row>
    <row r="1018" spans="1:46" ht="54" customHeight="1">
      <c r="A1018" s="428">
        <f t="shared" si="136"/>
        <v>1010</v>
      </c>
      <c r="B1018" s="403"/>
      <c r="C1018" s="404"/>
      <c r="D1018" s="405"/>
      <c r="E1018" s="405"/>
      <c r="F1018" s="405"/>
      <c r="G1018" s="405"/>
      <c r="H1018" s="406"/>
      <c r="I1018" s="407"/>
      <c r="J1018" s="408"/>
      <c r="K1018" s="409"/>
      <c r="L1018" s="410"/>
      <c r="M1018" s="404"/>
      <c r="N1018" s="411" t="str">
        <f>IF($AI1018&lt;&gt;"",Master!$N$37,IF($AC1018&lt;&gt;"",Master!$N$38,IF($S1018&lt;&gt;"",Master!$N$39,IF($C1018&lt;&gt;"",Master!$N$40,Master!$N$41))))</f>
        <v>起票</v>
      </c>
      <c r="O1018" s="412" t="str">
        <f>IF($N1018=Master!$N$37,MAX($S1018,$AC1018,$AI1018),"")</f>
        <v/>
      </c>
      <c r="P1018" s="413"/>
      <c r="Q1018" s="414"/>
      <c r="R1018" s="409"/>
      <c r="S1018" s="404"/>
      <c r="T1018" s="418"/>
      <c r="U1018" s="415"/>
      <c r="V1018" s="409"/>
      <c r="W1018" s="419"/>
      <c r="X1018" s="419"/>
      <c r="Y1018" s="416"/>
      <c r="Z1018" s="417"/>
      <c r="AA1018" s="418"/>
      <c r="AB1018" s="419"/>
      <c r="AC1018" s="404"/>
      <c r="AD1018" s="404"/>
      <c r="AE1018" s="420"/>
      <c r="AF1018" s="421"/>
      <c r="AG1018" s="418"/>
      <c r="AH1018" s="409"/>
      <c r="AI1018" s="404"/>
      <c r="AJ1018" s="416"/>
      <c r="AK1018" s="453"/>
      <c r="AL1018" s="422"/>
      <c r="AM1018" s="423"/>
      <c r="AO1018" s="137" t="e">
        <f t="shared" ref="AO1018:AO1081" si="137">IF(AND(C1018&lt;&gt;"",C1018&lt;=$AI$3),IF(E1018="","",E1018),NA())</f>
        <v>#N/A</v>
      </c>
      <c r="AP1018" s="138" t="e">
        <f t="shared" ref="AP1018:AP1081" si="138">IF(AND(C1018&lt;&gt;"",C1018&lt;=$AI$3),IF(F1018="","",F1018),NA())</f>
        <v>#N/A</v>
      </c>
      <c r="AQ1018" s="138" t="e">
        <f t="shared" ref="AQ1018:AQ1081" si="139">IF(AND(C1018&lt;&gt;"",C1018&lt;=$AI$3),IF(H1018="","",H1018),NA())</f>
        <v>#N/A</v>
      </c>
      <c r="AR1018" s="138" t="e">
        <f t="shared" ref="AR1018:AR1081" si="140">IF(AND(C1018&lt;&gt;"",C1018&lt;=$AI$3),IF(U1018="","",U1018),NA())</f>
        <v>#N/A</v>
      </c>
      <c r="AS1018" s="138" t="e">
        <f t="shared" ref="AS1018:AS1081" si="141">IF(AND(C1018&lt;&gt;"",C1018&lt;=$AI$3),IF(V1018="","",V1018),NA())</f>
        <v>#N/A</v>
      </c>
      <c r="AT1018" s="139" t="e">
        <f t="shared" ref="AT1018:AT1081" si="142">IF(AND(C1018&lt;&gt;"",C1018&lt;=$AI$3),IF(AB1018="","",AB1018),NA())</f>
        <v>#N/A</v>
      </c>
    </row>
    <row r="1019" spans="1:46" ht="54" customHeight="1">
      <c r="A1019" s="428">
        <f t="shared" si="136"/>
        <v>1011</v>
      </c>
      <c r="B1019" s="403"/>
      <c r="C1019" s="404"/>
      <c r="D1019" s="405"/>
      <c r="E1019" s="405"/>
      <c r="F1019" s="405"/>
      <c r="G1019" s="405"/>
      <c r="H1019" s="406"/>
      <c r="I1019" s="407"/>
      <c r="J1019" s="408"/>
      <c r="K1019" s="409"/>
      <c r="L1019" s="410"/>
      <c r="M1019" s="404"/>
      <c r="N1019" s="411" t="str">
        <f>IF($AI1019&lt;&gt;"",Master!$N$37,IF($AC1019&lt;&gt;"",Master!$N$38,IF($S1019&lt;&gt;"",Master!$N$39,IF($C1019&lt;&gt;"",Master!$N$40,Master!$N$41))))</f>
        <v>起票</v>
      </c>
      <c r="O1019" s="412" t="str">
        <f>IF($N1019=Master!$N$37,MAX($S1019,$AC1019,$AI1019),"")</f>
        <v/>
      </c>
      <c r="P1019" s="413"/>
      <c r="Q1019" s="414"/>
      <c r="R1019" s="409"/>
      <c r="S1019" s="404"/>
      <c r="T1019" s="418"/>
      <c r="U1019" s="415"/>
      <c r="V1019" s="409"/>
      <c r="W1019" s="419"/>
      <c r="X1019" s="419"/>
      <c r="Y1019" s="416"/>
      <c r="Z1019" s="417"/>
      <c r="AA1019" s="418"/>
      <c r="AB1019" s="419"/>
      <c r="AC1019" s="404"/>
      <c r="AD1019" s="404"/>
      <c r="AE1019" s="420"/>
      <c r="AF1019" s="421"/>
      <c r="AG1019" s="418"/>
      <c r="AH1019" s="409"/>
      <c r="AI1019" s="404"/>
      <c r="AJ1019" s="416"/>
      <c r="AK1019" s="453"/>
      <c r="AL1019" s="422"/>
      <c r="AM1019" s="423"/>
      <c r="AO1019" s="137" t="e">
        <f t="shared" si="137"/>
        <v>#N/A</v>
      </c>
      <c r="AP1019" s="138" t="e">
        <f t="shared" si="138"/>
        <v>#N/A</v>
      </c>
      <c r="AQ1019" s="138" t="e">
        <f t="shared" si="139"/>
        <v>#N/A</v>
      </c>
      <c r="AR1019" s="138" t="e">
        <f t="shared" si="140"/>
        <v>#N/A</v>
      </c>
      <c r="AS1019" s="138" t="e">
        <f t="shared" si="141"/>
        <v>#N/A</v>
      </c>
      <c r="AT1019" s="139" t="e">
        <f t="shared" si="142"/>
        <v>#N/A</v>
      </c>
    </row>
    <row r="1020" spans="1:46" ht="54" customHeight="1">
      <c r="A1020" s="428">
        <f t="shared" si="136"/>
        <v>1012</v>
      </c>
      <c r="B1020" s="403"/>
      <c r="C1020" s="404"/>
      <c r="D1020" s="405"/>
      <c r="E1020" s="405"/>
      <c r="F1020" s="405"/>
      <c r="G1020" s="405"/>
      <c r="H1020" s="406"/>
      <c r="I1020" s="407"/>
      <c r="J1020" s="408"/>
      <c r="K1020" s="409"/>
      <c r="L1020" s="410"/>
      <c r="M1020" s="404"/>
      <c r="N1020" s="411" t="str">
        <f>IF($AI1020&lt;&gt;"",Master!$N$37,IF($AC1020&lt;&gt;"",Master!$N$38,IF($S1020&lt;&gt;"",Master!$N$39,IF($C1020&lt;&gt;"",Master!$N$40,Master!$N$41))))</f>
        <v>起票</v>
      </c>
      <c r="O1020" s="412" t="str">
        <f>IF($N1020=Master!$N$37,MAX($S1020,$AC1020,$AI1020),"")</f>
        <v/>
      </c>
      <c r="P1020" s="413"/>
      <c r="Q1020" s="414"/>
      <c r="R1020" s="409"/>
      <c r="S1020" s="404"/>
      <c r="T1020" s="418"/>
      <c r="U1020" s="415"/>
      <c r="V1020" s="409"/>
      <c r="W1020" s="419"/>
      <c r="X1020" s="419"/>
      <c r="Y1020" s="416"/>
      <c r="Z1020" s="417"/>
      <c r="AA1020" s="418"/>
      <c r="AB1020" s="419"/>
      <c r="AC1020" s="404"/>
      <c r="AD1020" s="404"/>
      <c r="AE1020" s="420"/>
      <c r="AF1020" s="421"/>
      <c r="AG1020" s="418"/>
      <c r="AH1020" s="409"/>
      <c r="AI1020" s="404"/>
      <c r="AJ1020" s="416"/>
      <c r="AK1020" s="453"/>
      <c r="AL1020" s="422"/>
      <c r="AM1020" s="423"/>
      <c r="AO1020" s="137" t="e">
        <f t="shared" si="137"/>
        <v>#N/A</v>
      </c>
      <c r="AP1020" s="138" t="e">
        <f t="shared" si="138"/>
        <v>#N/A</v>
      </c>
      <c r="AQ1020" s="138" t="e">
        <f t="shared" si="139"/>
        <v>#N/A</v>
      </c>
      <c r="AR1020" s="138" t="e">
        <f t="shared" si="140"/>
        <v>#N/A</v>
      </c>
      <c r="AS1020" s="138" t="e">
        <f t="shared" si="141"/>
        <v>#N/A</v>
      </c>
      <c r="AT1020" s="139" t="e">
        <f t="shared" si="142"/>
        <v>#N/A</v>
      </c>
    </row>
    <row r="1021" spans="1:46" ht="54" customHeight="1">
      <c r="A1021" s="428">
        <f t="shared" si="136"/>
        <v>1013</v>
      </c>
      <c r="B1021" s="294"/>
      <c r="C1021" s="201"/>
      <c r="D1021" s="290"/>
      <c r="E1021" s="301"/>
      <c r="F1021" s="301"/>
      <c r="G1021" s="290"/>
      <c r="H1021" s="291"/>
      <c r="I1021" s="292"/>
      <c r="J1021" s="61"/>
      <c r="K1021" s="57"/>
      <c r="L1021" s="303"/>
      <c r="M1021" s="201"/>
      <c r="N1021" s="84" t="str">
        <f>IF($AI1021&lt;&gt;"",Master!$N$37,IF($AC1021&lt;&gt;"",Master!$N$38,IF($S1021&lt;&gt;"",Master!$N$39,IF($C1021&lt;&gt;"",Master!$N$40,Master!$N$41))))</f>
        <v>起票</v>
      </c>
      <c r="O1021" s="202" t="str">
        <f>IF($N1021=Master!$N$37,MAX($S1021,$AC1021,$AI1021),"")</f>
        <v/>
      </c>
      <c r="P1021" s="65"/>
      <c r="Q1021" s="203"/>
      <c r="R1021" s="57"/>
      <c r="S1021" s="203"/>
      <c r="T1021" s="310"/>
      <c r="U1021" s="289"/>
      <c r="V1021" s="57"/>
      <c r="W1021" s="288"/>
      <c r="X1021" s="288"/>
      <c r="Y1021" s="296"/>
      <c r="Z1021" s="57"/>
      <c r="AA1021" s="203"/>
      <c r="AB1021" s="288"/>
      <c r="AC1021" s="201"/>
      <c r="AD1021" s="298"/>
      <c r="AE1021" s="297"/>
      <c r="AF1021" s="58"/>
      <c r="AG1021" s="204"/>
      <c r="AH1021" s="57"/>
      <c r="AI1021" s="201"/>
      <c r="AJ1021" s="287"/>
      <c r="AK1021" s="452"/>
      <c r="AL1021" s="59"/>
      <c r="AM1021" s="60"/>
      <c r="AO1021" s="137" t="e">
        <f t="shared" si="137"/>
        <v>#N/A</v>
      </c>
      <c r="AP1021" s="138" t="e">
        <f t="shared" si="138"/>
        <v>#N/A</v>
      </c>
      <c r="AQ1021" s="138" t="e">
        <f t="shared" si="139"/>
        <v>#N/A</v>
      </c>
      <c r="AR1021" s="138" t="e">
        <f t="shared" si="140"/>
        <v>#N/A</v>
      </c>
      <c r="AS1021" s="138" t="e">
        <f t="shared" si="141"/>
        <v>#N/A</v>
      </c>
      <c r="AT1021" s="139" t="e">
        <f t="shared" si="142"/>
        <v>#N/A</v>
      </c>
    </row>
    <row r="1022" spans="1:46" ht="54" customHeight="1">
      <c r="A1022" s="428">
        <f t="shared" si="136"/>
        <v>1014</v>
      </c>
      <c r="B1022" s="294"/>
      <c r="C1022" s="201"/>
      <c r="D1022" s="290"/>
      <c r="E1022" s="301"/>
      <c r="F1022" s="301"/>
      <c r="G1022" s="290"/>
      <c r="H1022" s="291"/>
      <c r="I1022" s="292"/>
      <c r="J1022" s="61"/>
      <c r="K1022" s="57"/>
      <c r="L1022" s="303"/>
      <c r="M1022" s="201"/>
      <c r="N1022" s="84" t="str">
        <f>IF($AI1022&lt;&gt;"",Master!$N$37,IF($AC1022&lt;&gt;"",Master!$N$38,IF($S1022&lt;&gt;"",Master!$N$39,IF($C1022&lt;&gt;"",Master!$N$40,Master!$N$41))))</f>
        <v>起票</v>
      </c>
      <c r="O1022" s="202" t="str">
        <f>IF($N1022=Master!$N$37,MAX($S1022,$AC1022,$AI1022),"")</f>
        <v/>
      </c>
      <c r="P1022" s="65"/>
      <c r="Q1022" s="203"/>
      <c r="R1022" s="57"/>
      <c r="S1022" s="203"/>
      <c r="T1022" s="310"/>
      <c r="U1022" s="289"/>
      <c r="V1022" s="57"/>
      <c r="W1022" s="288"/>
      <c r="X1022" s="288"/>
      <c r="Y1022" s="296"/>
      <c r="Z1022" s="57"/>
      <c r="AA1022" s="203"/>
      <c r="AB1022" s="288"/>
      <c r="AC1022" s="201"/>
      <c r="AD1022" s="298"/>
      <c r="AE1022" s="297"/>
      <c r="AF1022" s="58"/>
      <c r="AG1022" s="204"/>
      <c r="AH1022" s="57"/>
      <c r="AI1022" s="201"/>
      <c r="AJ1022" s="287"/>
      <c r="AK1022" s="452"/>
      <c r="AL1022" s="59"/>
      <c r="AM1022" s="60"/>
      <c r="AO1022" s="137" t="e">
        <f t="shared" si="137"/>
        <v>#N/A</v>
      </c>
      <c r="AP1022" s="138" t="e">
        <f t="shared" si="138"/>
        <v>#N/A</v>
      </c>
      <c r="AQ1022" s="138" t="e">
        <f t="shared" si="139"/>
        <v>#N/A</v>
      </c>
      <c r="AR1022" s="138" t="e">
        <f t="shared" si="140"/>
        <v>#N/A</v>
      </c>
      <c r="AS1022" s="138" t="e">
        <f t="shared" si="141"/>
        <v>#N/A</v>
      </c>
      <c r="AT1022" s="139" t="e">
        <f t="shared" si="142"/>
        <v>#N/A</v>
      </c>
    </row>
    <row r="1023" spans="1:46" ht="54" customHeight="1">
      <c r="A1023" s="428">
        <f t="shared" si="136"/>
        <v>1015</v>
      </c>
      <c r="B1023" s="403"/>
      <c r="C1023" s="404"/>
      <c r="D1023" s="405"/>
      <c r="E1023" s="405"/>
      <c r="F1023" s="405"/>
      <c r="G1023" s="405"/>
      <c r="H1023" s="406"/>
      <c r="I1023" s="407"/>
      <c r="J1023" s="408"/>
      <c r="K1023" s="409"/>
      <c r="L1023" s="410"/>
      <c r="M1023" s="404"/>
      <c r="N1023" s="411" t="str">
        <f>IF($AI1023&lt;&gt;"",Master!$N$37,IF($AC1023&lt;&gt;"",Master!$N$38,IF($S1023&lt;&gt;"",Master!$N$39,IF($C1023&lt;&gt;"",Master!$N$40,Master!$N$41))))</f>
        <v>起票</v>
      </c>
      <c r="O1023" s="412" t="str">
        <f>IF($N1023=Master!$N$37,MAX($S1023,$AC1023,$AI1023),"")</f>
        <v/>
      </c>
      <c r="P1023" s="413"/>
      <c r="Q1023" s="414"/>
      <c r="R1023" s="409"/>
      <c r="S1023" s="404"/>
      <c r="T1023" s="418"/>
      <c r="U1023" s="415"/>
      <c r="V1023" s="409"/>
      <c r="W1023" s="419"/>
      <c r="X1023" s="419"/>
      <c r="Y1023" s="416"/>
      <c r="Z1023" s="417"/>
      <c r="AA1023" s="418"/>
      <c r="AB1023" s="419"/>
      <c r="AC1023" s="404"/>
      <c r="AD1023" s="404"/>
      <c r="AE1023" s="420"/>
      <c r="AF1023" s="421"/>
      <c r="AG1023" s="418"/>
      <c r="AH1023" s="409"/>
      <c r="AI1023" s="404"/>
      <c r="AJ1023" s="416"/>
      <c r="AK1023" s="453"/>
      <c r="AL1023" s="422"/>
      <c r="AM1023" s="423"/>
      <c r="AO1023" s="137" t="e">
        <f t="shared" si="137"/>
        <v>#N/A</v>
      </c>
      <c r="AP1023" s="138" t="e">
        <f t="shared" si="138"/>
        <v>#N/A</v>
      </c>
      <c r="AQ1023" s="138" t="e">
        <f t="shared" si="139"/>
        <v>#N/A</v>
      </c>
      <c r="AR1023" s="138" t="e">
        <f t="shared" si="140"/>
        <v>#N/A</v>
      </c>
      <c r="AS1023" s="138" t="e">
        <f t="shared" si="141"/>
        <v>#N/A</v>
      </c>
      <c r="AT1023" s="139" t="e">
        <f t="shared" si="142"/>
        <v>#N/A</v>
      </c>
    </row>
    <row r="1024" spans="1:46" ht="54" customHeight="1">
      <c r="A1024" s="428">
        <f t="shared" si="136"/>
        <v>1016</v>
      </c>
      <c r="B1024" s="403"/>
      <c r="C1024" s="404"/>
      <c r="D1024" s="405"/>
      <c r="E1024" s="405"/>
      <c r="F1024" s="405"/>
      <c r="G1024" s="405"/>
      <c r="H1024" s="406"/>
      <c r="I1024" s="407"/>
      <c r="J1024" s="408"/>
      <c r="K1024" s="409"/>
      <c r="L1024" s="410"/>
      <c r="M1024" s="404"/>
      <c r="N1024" s="411" t="str">
        <f>IF($AI1024&lt;&gt;"",Master!$N$37,IF($AC1024&lt;&gt;"",Master!$N$38,IF($S1024&lt;&gt;"",Master!$N$39,IF($C1024&lt;&gt;"",Master!$N$40,Master!$N$41))))</f>
        <v>起票</v>
      </c>
      <c r="O1024" s="412" t="str">
        <f>IF($N1024=Master!$N$37,MAX($S1024,$AC1024,$AI1024),"")</f>
        <v/>
      </c>
      <c r="P1024" s="413"/>
      <c r="Q1024" s="414"/>
      <c r="R1024" s="409"/>
      <c r="S1024" s="404"/>
      <c r="T1024" s="418"/>
      <c r="U1024" s="415"/>
      <c r="V1024" s="409"/>
      <c r="W1024" s="419"/>
      <c r="X1024" s="419"/>
      <c r="Y1024" s="416"/>
      <c r="Z1024" s="417"/>
      <c r="AA1024" s="418"/>
      <c r="AB1024" s="419"/>
      <c r="AC1024" s="404"/>
      <c r="AD1024" s="404"/>
      <c r="AE1024" s="420"/>
      <c r="AF1024" s="421"/>
      <c r="AG1024" s="418"/>
      <c r="AH1024" s="409"/>
      <c r="AI1024" s="404"/>
      <c r="AJ1024" s="416"/>
      <c r="AK1024" s="453"/>
      <c r="AL1024" s="422"/>
      <c r="AM1024" s="423"/>
      <c r="AO1024" s="137" t="e">
        <f t="shared" si="137"/>
        <v>#N/A</v>
      </c>
      <c r="AP1024" s="138" t="e">
        <f t="shared" si="138"/>
        <v>#N/A</v>
      </c>
      <c r="AQ1024" s="138" t="e">
        <f t="shared" si="139"/>
        <v>#N/A</v>
      </c>
      <c r="AR1024" s="138" t="e">
        <f t="shared" si="140"/>
        <v>#N/A</v>
      </c>
      <c r="AS1024" s="138" t="e">
        <f t="shared" si="141"/>
        <v>#N/A</v>
      </c>
      <c r="AT1024" s="139" t="e">
        <f t="shared" si="142"/>
        <v>#N/A</v>
      </c>
    </row>
    <row r="1025" spans="1:46" ht="54" customHeight="1">
      <c r="A1025" s="428">
        <f t="shared" si="136"/>
        <v>1017</v>
      </c>
      <c r="B1025" s="403"/>
      <c r="C1025" s="404"/>
      <c r="D1025" s="405"/>
      <c r="E1025" s="405"/>
      <c r="F1025" s="405"/>
      <c r="G1025" s="405"/>
      <c r="H1025" s="406"/>
      <c r="I1025" s="407"/>
      <c r="J1025" s="408"/>
      <c r="K1025" s="409"/>
      <c r="L1025" s="410"/>
      <c r="M1025" s="404"/>
      <c r="N1025" s="411" t="str">
        <f>IF($AI1025&lt;&gt;"",Master!$N$37,IF($AC1025&lt;&gt;"",Master!$N$38,IF($S1025&lt;&gt;"",Master!$N$39,IF($C1025&lt;&gt;"",Master!$N$40,Master!$N$41))))</f>
        <v>起票</v>
      </c>
      <c r="O1025" s="412" t="str">
        <f>IF($N1025=Master!$N$37,MAX($S1025,$AC1025,$AI1025),"")</f>
        <v/>
      </c>
      <c r="P1025" s="413"/>
      <c r="Q1025" s="414"/>
      <c r="R1025" s="409"/>
      <c r="S1025" s="404"/>
      <c r="T1025" s="418"/>
      <c r="U1025" s="415"/>
      <c r="V1025" s="409"/>
      <c r="W1025" s="419"/>
      <c r="X1025" s="419"/>
      <c r="Y1025" s="416"/>
      <c r="Z1025" s="417"/>
      <c r="AA1025" s="418"/>
      <c r="AB1025" s="419"/>
      <c r="AC1025" s="404"/>
      <c r="AD1025" s="404"/>
      <c r="AE1025" s="420"/>
      <c r="AF1025" s="421"/>
      <c r="AG1025" s="418"/>
      <c r="AH1025" s="409"/>
      <c r="AI1025" s="404"/>
      <c r="AJ1025" s="416"/>
      <c r="AK1025" s="453"/>
      <c r="AL1025" s="422"/>
      <c r="AM1025" s="423"/>
      <c r="AO1025" s="137" t="e">
        <f t="shared" si="137"/>
        <v>#N/A</v>
      </c>
      <c r="AP1025" s="138" t="e">
        <f t="shared" si="138"/>
        <v>#N/A</v>
      </c>
      <c r="AQ1025" s="138" t="e">
        <f t="shared" si="139"/>
        <v>#N/A</v>
      </c>
      <c r="AR1025" s="138" t="e">
        <f t="shared" si="140"/>
        <v>#N/A</v>
      </c>
      <c r="AS1025" s="138" t="e">
        <f t="shared" si="141"/>
        <v>#N/A</v>
      </c>
      <c r="AT1025" s="139" t="e">
        <f t="shared" si="142"/>
        <v>#N/A</v>
      </c>
    </row>
    <row r="1026" spans="1:46" ht="54" customHeight="1">
      <c r="A1026" s="428">
        <f t="shared" si="136"/>
        <v>1018</v>
      </c>
      <c r="B1026" s="294"/>
      <c r="C1026" s="201"/>
      <c r="D1026" s="290"/>
      <c r="E1026" s="301"/>
      <c r="F1026" s="301"/>
      <c r="G1026" s="290"/>
      <c r="H1026" s="291"/>
      <c r="I1026" s="292"/>
      <c r="J1026" s="61"/>
      <c r="K1026" s="57"/>
      <c r="L1026" s="303"/>
      <c r="M1026" s="201"/>
      <c r="N1026" s="84" t="str">
        <f>IF($AI1026&lt;&gt;"",Master!$N$37,IF($AC1026&lt;&gt;"",Master!$N$38,IF($S1026&lt;&gt;"",Master!$N$39,IF($C1026&lt;&gt;"",Master!$N$40,Master!$N$41))))</f>
        <v>起票</v>
      </c>
      <c r="O1026" s="202" t="str">
        <f>IF($N1026=Master!$N$37,MAX($S1026,$AC1026,$AI1026),"")</f>
        <v/>
      </c>
      <c r="P1026" s="65"/>
      <c r="Q1026" s="203"/>
      <c r="R1026" s="57"/>
      <c r="S1026" s="203"/>
      <c r="T1026" s="310"/>
      <c r="U1026" s="289"/>
      <c r="V1026" s="57"/>
      <c r="W1026" s="288"/>
      <c r="X1026" s="288"/>
      <c r="Y1026" s="296"/>
      <c r="Z1026" s="57"/>
      <c r="AA1026" s="203"/>
      <c r="AB1026" s="288"/>
      <c r="AC1026" s="201"/>
      <c r="AD1026" s="298"/>
      <c r="AE1026" s="297"/>
      <c r="AF1026" s="58"/>
      <c r="AG1026" s="204"/>
      <c r="AH1026" s="57"/>
      <c r="AI1026" s="201"/>
      <c r="AJ1026" s="287"/>
      <c r="AK1026" s="452"/>
      <c r="AL1026" s="59"/>
      <c r="AM1026" s="60"/>
      <c r="AO1026" s="137" t="e">
        <f t="shared" si="137"/>
        <v>#N/A</v>
      </c>
      <c r="AP1026" s="138" t="e">
        <f t="shared" si="138"/>
        <v>#N/A</v>
      </c>
      <c r="AQ1026" s="138" t="e">
        <f t="shared" si="139"/>
        <v>#N/A</v>
      </c>
      <c r="AR1026" s="138" t="e">
        <f t="shared" si="140"/>
        <v>#N/A</v>
      </c>
      <c r="AS1026" s="138" t="e">
        <f t="shared" si="141"/>
        <v>#N/A</v>
      </c>
      <c r="AT1026" s="139" t="e">
        <f t="shared" si="142"/>
        <v>#N/A</v>
      </c>
    </row>
    <row r="1027" spans="1:46" ht="54" customHeight="1">
      <c r="A1027" s="428">
        <f t="shared" si="136"/>
        <v>1019</v>
      </c>
      <c r="B1027" s="294"/>
      <c r="C1027" s="201"/>
      <c r="D1027" s="290"/>
      <c r="E1027" s="301"/>
      <c r="F1027" s="301"/>
      <c r="G1027" s="290"/>
      <c r="H1027" s="291"/>
      <c r="I1027" s="292"/>
      <c r="J1027" s="61"/>
      <c r="K1027" s="57"/>
      <c r="L1027" s="303"/>
      <c r="M1027" s="201"/>
      <c r="N1027" s="84" t="str">
        <f>IF($AI1027&lt;&gt;"",Master!$N$37,IF($AC1027&lt;&gt;"",Master!$N$38,IF($S1027&lt;&gt;"",Master!$N$39,IF($C1027&lt;&gt;"",Master!$N$40,Master!$N$41))))</f>
        <v>起票</v>
      </c>
      <c r="O1027" s="202" t="str">
        <f>IF($N1027=Master!$N$37,MAX($S1027,$AC1027,$AI1027),"")</f>
        <v/>
      </c>
      <c r="P1027" s="65"/>
      <c r="Q1027" s="203"/>
      <c r="R1027" s="57"/>
      <c r="S1027" s="203"/>
      <c r="T1027" s="310"/>
      <c r="U1027" s="289"/>
      <c r="V1027" s="57"/>
      <c r="W1027" s="288"/>
      <c r="X1027" s="288"/>
      <c r="Y1027" s="296"/>
      <c r="Z1027" s="57"/>
      <c r="AA1027" s="203"/>
      <c r="AB1027" s="288"/>
      <c r="AC1027" s="201"/>
      <c r="AD1027" s="298"/>
      <c r="AE1027" s="297"/>
      <c r="AF1027" s="58"/>
      <c r="AG1027" s="204"/>
      <c r="AH1027" s="57"/>
      <c r="AI1027" s="201"/>
      <c r="AJ1027" s="287"/>
      <c r="AK1027" s="452"/>
      <c r="AL1027" s="59"/>
      <c r="AM1027" s="60"/>
      <c r="AO1027" s="137" t="e">
        <f t="shared" si="137"/>
        <v>#N/A</v>
      </c>
      <c r="AP1027" s="138" t="e">
        <f t="shared" si="138"/>
        <v>#N/A</v>
      </c>
      <c r="AQ1027" s="138" t="e">
        <f t="shared" si="139"/>
        <v>#N/A</v>
      </c>
      <c r="AR1027" s="138" t="e">
        <f t="shared" si="140"/>
        <v>#N/A</v>
      </c>
      <c r="AS1027" s="138" t="e">
        <f t="shared" si="141"/>
        <v>#N/A</v>
      </c>
      <c r="AT1027" s="139" t="e">
        <f t="shared" si="142"/>
        <v>#N/A</v>
      </c>
    </row>
    <row r="1028" spans="1:46" ht="54" customHeight="1">
      <c r="A1028" s="428">
        <f t="shared" si="136"/>
        <v>1020</v>
      </c>
      <c r="B1028" s="403"/>
      <c r="C1028" s="404"/>
      <c r="D1028" s="405"/>
      <c r="E1028" s="405"/>
      <c r="F1028" s="405"/>
      <c r="G1028" s="405"/>
      <c r="H1028" s="406"/>
      <c r="I1028" s="407"/>
      <c r="J1028" s="408"/>
      <c r="K1028" s="409"/>
      <c r="L1028" s="410"/>
      <c r="M1028" s="404"/>
      <c r="N1028" s="411" t="str">
        <f>IF($AI1028&lt;&gt;"",Master!$N$37,IF($AC1028&lt;&gt;"",Master!$N$38,IF($S1028&lt;&gt;"",Master!$N$39,IF($C1028&lt;&gt;"",Master!$N$40,Master!$N$41))))</f>
        <v>起票</v>
      </c>
      <c r="O1028" s="412" t="str">
        <f>IF($N1028=Master!$N$37,MAX($S1028,$AC1028,$AI1028),"")</f>
        <v/>
      </c>
      <c r="P1028" s="413"/>
      <c r="Q1028" s="414"/>
      <c r="R1028" s="409"/>
      <c r="S1028" s="404"/>
      <c r="T1028" s="418"/>
      <c r="U1028" s="415"/>
      <c r="V1028" s="409"/>
      <c r="W1028" s="419"/>
      <c r="X1028" s="419"/>
      <c r="Y1028" s="416"/>
      <c r="Z1028" s="417"/>
      <c r="AA1028" s="418"/>
      <c r="AB1028" s="419"/>
      <c r="AC1028" s="404"/>
      <c r="AD1028" s="404"/>
      <c r="AE1028" s="420"/>
      <c r="AF1028" s="421"/>
      <c r="AG1028" s="418"/>
      <c r="AH1028" s="409"/>
      <c r="AI1028" s="404"/>
      <c r="AJ1028" s="416"/>
      <c r="AK1028" s="453"/>
      <c r="AL1028" s="422"/>
      <c r="AM1028" s="423"/>
      <c r="AO1028" s="137" t="e">
        <f t="shared" si="137"/>
        <v>#N/A</v>
      </c>
      <c r="AP1028" s="138" t="e">
        <f t="shared" si="138"/>
        <v>#N/A</v>
      </c>
      <c r="AQ1028" s="138" t="e">
        <f t="shared" si="139"/>
        <v>#N/A</v>
      </c>
      <c r="AR1028" s="138" t="e">
        <f t="shared" si="140"/>
        <v>#N/A</v>
      </c>
      <c r="AS1028" s="138" t="e">
        <f t="shared" si="141"/>
        <v>#N/A</v>
      </c>
      <c r="AT1028" s="139" t="e">
        <f t="shared" si="142"/>
        <v>#N/A</v>
      </c>
    </row>
    <row r="1029" spans="1:46" ht="54" customHeight="1">
      <c r="A1029" s="428">
        <f t="shared" si="136"/>
        <v>1021</v>
      </c>
      <c r="B1029" s="403"/>
      <c r="C1029" s="404"/>
      <c r="D1029" s="405"/>
      <c r="E1029" s="405"/>
      <c r="F1029" s="405"/>
      <c r="G1029" s="405"/>
      <c r="H1029" s="406"/>
      <c r="I1029" s="407"/>
      <c r="J1029" s="408"/>
      <c r="K1029" s="409"/>
      <c r="L1029" s="410"/>
      <c r="M1029" s="404"/>
      <c r="N1029" s="411" t="str">
        <f>IF($AI1029&lt;&gt;"",Master!$N$37,IF($AC1029&lt;&gt;"",Master!$N$38,IF($S1029&lt;&gt;"",Master!$N$39,IF($C1029&lt;&gt;"",Master!$N$40,Master!$N$41))))</f>
        <v>起票</v>
      </c>
      <c r="O1029" s="412" t="str">
        <f>IF($N1029=Master!$N$37,MAX($S1029,$AC1029,$AI1029),"")</f>
        <v/>
      </c>
      <c r="P1029" s="413"/>
      <c r="Q1029" s="414"/>
      <c r="R1029" s="409"/>
      <c r="S1029" s="404"/>
      <c r="T1029" s="418"/>
      <c r="U1029" s="415"/>
      <c r="V1029" s="409"/>
      <c r="W1029" s="419"/>
      <c r="X1029" s="419"/>
      <c r="Y1029" s="416"/>
      <c r="Z1029" s="417"/>
      <c r="AA1029" s="418"/>
      <c r="AB1029" s="419"/>
      <c r="AC1029" s="404"/>
      <c r="AD1029" s="404"/>
      <c r="AE1029" s="420"/>
      <c r="AF1029" s="421"/>
      <c r="AG1029" s="418"/>
      <c r="AH1029" s="409"/>
      <c r="AI1029" s="404"/>
      <c r="AJ1029" s="416"/>
      <c r="AK1029" s="453"/>
      <c r="AL1029" s="422"/>
      <c r="AM1029" s="423"/>
      <c r="AO1029" s="137" t="e">
        <f t="shared" si="137"/>
        <v>#N/A</v>
      </c>
      <c r="AP1029" s="138" t="e">
        <f t="shared" si="138"/>
        <v>#N/A</v>
      </c>
      <c r="AQ1029" s="138" t="e">
        <f t="shared" si="139"/>
        <v>#N/A</v>
      </c>
      <c r="AR1029" s="138" t="e">
        <f t="shared" si="140"/>
        <v>#N/A</v>
      </c>
      <c r="AS1029" s="138" t="e">
        <f t="shared" si="141"/>
        <v>#N/A</v>
      </c>
      <c r="AT1029" s="139" t="e">
        <f t="shared" si="142"/>
        <v>#N/A</v>
      </c>
    </row>
    <row r="1030" spans="1:46" ht="54" customHeight="1">
      <c r="A1030" s="428">
        <f t="shared" si="136"/>
        <v>1022</v>
      </c>
      <c r="B1030" s="403"/>
      <c r="C1030" s="404"/>
      <c r="D1030" s="405"/>
      <c r="E1030" s="405"/>
      <c r="F1030" s="405"/>
      <c r="G1030" s="405"/>
      <c r="H1030" s="406"/>
      <c r="I1030" s="407"/>
      <c r="J1030" s="408"/>
      <c r="K1030" s="409"/>
      <c r="L1030" s="410"/>
      <c r="M1030" s="404"/>
      <c r="N1030" s="411" t="str">
        <f>IF($AI1030&lt;&gt;"",Master!$N$37,IF($AC1030&lt;&gt;"",Master!$N$38,IF($S1030&lt;&gt;"",Master!$N$39,IF($C1030&lt;&gt;"",Master!$N$40,Master!$N$41))))</f>
        <v>起票</v>
      </c>
      <c r="O1030" s="412" t="str">
        <f>IF($N1030=Master!$N$37,MAX($S1030,$AC1030,$AI1030),"")</f>
        <v/>
      </c>
      <c r="P1030" s="413"/>
      <c r="Q1030" s="414"/>
      <c r="R1030" s="409"/>
      <c r="S1030" s="404"/>
      <c r="T1030" s="418"/>
      <c r="U1030" s="415"/>
      <c r="V1030" s="409"/>
      <c r="W1030" s="419"/>
      <c r="X1030" s="419"/>
      <c r="Y1030" s="416"/>
      <c r="Z1030" s="417"/>
      <c r="AA1030" s="418"/>
      <c r="AB1030" s="419"/>
      <c r="AC1030" s="404"/>
      <c r="AD1030" s="404"/>
      <c r="AE1030" s="420"/>
      <c r="AF1030" s="421"/>
      <c r="AG1030" s="418"/>
      <c r="AH1030" s="409"/>
      <c r="AI1030" s="404"/>
      <c r="AJ1030" s="416"/>
      <c r="AK1030" s="453"/>
      <c r="AL1030" s="422"/>
      <c r="AM1030" s="423"/>
      <c r="AO1030" s="137" t="e">
        <f t="shared" si="137"/>
        <v>#N/A</v>
      </c>
      <c r="AP1030" s="138" t="e">
        <f t="shared" si="138"/>
        <v>#N/A</v>
      </c>
      <c r="AQ1030" s="138" t="e">
        <f t="shared" si="139"/>
        <v>#N/A</v>
      </c>
      <c r="AR1030" s="138" t="e">
        <f t="shared" si="140"/>
        <v>#N/A</v>
      </c>
      <c r="AS1030" s="138" t="e">
        <f t="shared" si="141"/>
        <v>#N/A</v>
      </c>
      <c r="AT1030" s="139" t="e">
        <f t="shared" si="142"/>
        <v>#N/A</v>
      </c>
    </row>
    <row r="1031" spans="1:46" ht="54" customHeight="1">
      <c r="A1031" s="428">
        <f t="shared" si="136"/>
        <v>1023</v>
      </c>
      <c r="B1031" s="403"/>
      <c r="C1031" s="404"/>
      <c r="D1031" s="405"/>
      <c r="E1031" s="405"/>
      <c r="F1031" s="405"/>
      <c r="G1031" s="405"/>
      <c r="H1031" s="406"/>
      <c r="I1031" s="407"/>
      <c r="J1031" s="408"/>
      <c r="K1031" s="409"/>
      <c r="L1031" s="410"/>
      <c r="M1031" s="404"/>
      <c r="N1031" s="411" t="str">
        <f>IF($AI1031&lt;&gt;"",Master!$N$37,IF($AC1031&lt;&gt;"",Master!$N$38,IF($S1031&lt;&gt;"",Master!$N$39,IF($C1031&lt;&gt;"",Master!$N$40,Master!$N$41))))</f>
        <v>起票</v>
      </c>
      <c r="O1031" s="412" t="str">
        <f>IF($N1031=Master!$N$37,MAX($S1031,$AC1031,$AI1031),"")</f>
        <v/>
      </c>
      <c r="P1031" s="413"/>
      <c r="Q1031" s="414"/>
      <c r="R1031" s="409"/>
      <c r="S1031" s="404"/>
      <c r="T1031" s="418"/>
      <c r="U1031" s="415"/>
      <c r="V1031" s="409"/>
      <c r="W1031" s="419"/>
      <c r="X1031" s="419"/>
      <c r="Y1031" s="416"/>
      <c r="Z1031" s="417"/>
      <c r="AA1031" s="418"/>
      <c r="AB1031" s="419"/>
      <c r="AC1031" s="404"/>
      <c r="AD1031" s="404"/>
      <c r="AE1031" s="420"/>
      <c r="AF1031" s="421"/>
      <c r="AG1031" s="418"/>
      <c r="AH1031" s="409"/>
      <c r="AI1031" s="404"/>
      <c r="AJ1031" s="416"/>
      <c r="AK1031" s="453"/>
      <c r="AL1031" s="422"/>
      <c r="AM1031" s="423"/>
      <c r="AO1031" s="137" t="e">
        <f t="shared" si="137"/>
        <v>#N/A</v>
      </c>
      <c r="AP1031" s="138" t="e">
        <f t="shared" si="138"/>
        <v>#N/A</v>
      </c>
      <c r="AQ1031" s="138" t="e">
        <f t="shared" si="139"/>
        <v>#N/A</v>
      </c>
      <c r="AR1031" s="138" t="e">
        <f t="shared" si="140"/>
        <v>#N/A</v>
      </c>
      <c r="AS1031" s="138" t="e">
        <f t="shared" si="141"/>
        <v>#N/A</v>
      </c>
      <c r="AT1031" s="139" t="e">
        <f t="shared" si="142"/>
        <v>#N/A</v>
      </c>
    </row>
    <row r="1032" spans="1:46" ht="54" customHeight="1">
      <c r="A1032" s="428">
        <f t="shared" si="136"/>
        <v>1024</v>
      </c>
      <c r="B1032" s="294"/>
      <c r="C1032" s="201"/>
      <c r="D1032" s="290"/>
      <c r="E1032" s="301"/>
      <c r="F1032" s="301"/>
      <c r="G1032" s="290"/>
      <c r="H1032" s="291"/>
      <c r="I1032" s="292"/>
      <c r="J1032" s="61"/>
      <c r="K1032" s="57"/>
      <c r="L1032" s="303"/>
      <c r="M1032" s="201"/>
      <c r="N1032" s="84" t="str">
        <f>IF($AI1032&lt;&gt;"",Master!$N$37,IF($AC1032&lt;&gt;"",Master!$N$38,IF($S1032&lt;&gt;"",Master!$N$39,IF($C1032&lt;&gt;"",Master!$N$40,Master!$N$41))))</f>
        <v>起票</v>
      </c>
      <c r="O1032" s="202" t="str">
        <f>IF($N1032=Master!$N$37,MAX($S1032,$AC1032,$AI1032),"")</f>
        <v/>
      </c>
      <c r="P1032" s="65"/>
      <c r="Q1032" s="203"/>
      <c r="R1032" s="57"/>
      <c r="S1032" s="203"/>
      <c r="T1032" s="310"/>
      <c r="U1032" s="289"/>
      <c r="V1032" s="57"/>
      <c r="W1032" s="288"/>
      <c r="X1032" s="288"/>
      <c r="Y1032" s="296"/>
      <c r="Z1032" s="57"/>
      <c r="AA1032" s="203"/>
      <c r="AB1032" s="288"/>
      <c r="AC1032" s="201"/>
      <c r="AD1032" s="298"/>
      <c r="AE1032" s="297"/>
      <c r="AF1032" s="58"/>
      <c r="AG1032" s="204"/>
      <c r="AH1032" s="57"/>
      <c r="AI1032" s="201"/>
      <c r="AJ1032" s="287"/>
      <c r="AK1032" s="452"/>
      <c r="AL1032" s="59"/>
      <c r="AM1032" s="60"/>
      <c r="AO1032" s="137" t="e">
        <f t="shared" si="137"/>
        <v>#N/A</v>
      </c>
      <c r="AP1032" s="138" t="e">
        <f t="shared" si="138"/>
        <v>#N/A</v>
      </c>
      <c r="AQ1032" s="138" t="e">
        <f t="shared" si="139"/>
        <v>#N/A</v>
      </c>
      <c r="AR1032" s="138" t="e">
        <f t="shared" si="140"/>
        <v>#N/A</v>
      </c>
      <c r="AS1032" s="138" t="e">
        <f t="shared" si="141"/>
        <v>#N/A</v>
      </c>
      <c r="AT1032" s="139" t="e">
        <f t="shared" si="142"/>
        <v>#N/A</v>
      </c>
    </row>
    <row r="1033" spans="1:46" ht="54" customHeight="1">
      <c r="A1033" s="428">
        <f t="shared" si="136"/>
        <v>1025</v>
      </c>
      <c r="B1033" s="294"/>
      <c r="C1033" s="201"/>
      <c r="D1033" s="290"/>
      <c r="E1033" s="301"/>
      <c r="F1033" s="301"/>
      <c r="G1033" s="290"/>
      <c r="H1033" s="291"/>
      <c r="I1033" s="292"/>
      <c r="J1033" s="61"/>
      <c r="K1033" s="57"/>
      <c r="L1033" s="303"/>
      <c r="M1033" s="201"/>
      <c r="N1033" s="84" t="str">
        <f>IF($AI1033&lt;&gt;"",Master!$N$37,IF($AC1033&lt;&gt;"",Master!$N$38,IF($S1033&lt;&gt;"",Master!$N$39,IF($C1033&lt;&gt;"",Master!$N$40,Master!$N$41))))</f>
        <v>起票</v>
      </c>
      <c r="O1033" s="202" t="str">
        <f>IF($N1033=Master!$N$37,MAX($S1033,$AC1033,$AI1033),"")</f>
        <v/>
      </c>
      <c r="P1033" s="65"/>
      <c r="Q1033" s="203"/>
      <c r="R1033" s="57"/>
      <c r="S1033" s="203"/>
      <c r="T1033" s="310"/>
      <c r="U1033" s="289"/>
      <c r="V1033" s="57"/>
      <c r="W1033" s="288"/>
      <c r="X1033" s="288"/>
      <c r="Y1033" s="296"/>
      <c r="Z1033" s="57"/>
      <c r="AA1033" s="203"/>
      <c r="AB1033" s="288"/>
      <c r="AC1033" s="201"/>
      <c r="AD1033" s="298"/>
      <c r="AE1033" s="297"/>
      <c r="AF1033" s="58"/>
      <c r="AG1033" s="204"/>
      <c r="AH1033" s="57"/>
      <c r="AI1033" s="201"/>
      <c r="AJ1033" s="287"/>
      <c r="AK1033" s="452"/>
      <c r="AL1033" s="59"/>
      <c r="AM1033" s="60"/>
      <c r="AO1033" s="137" t="e">
        <f t="shared" si="137"/>
        <v>#N/A</v>
      </c>
      <c r="AP1033" s="138" t="e">
        <f t="shared" si="138"/>
        <v>#N/A</v>
      </c>
      <c r="AQ1033" s="138" t="e">
        <f t="shared" si="139"/>
        <v>#N/A</v>
      </c>
      <c r="AR1033" s="138" t="e">
        <f t="shared" si="140"/>
        <v>#N/A</v>
      </c>
      <c r="AS1033" s="138" t="e">
        <f t="shared" si="141"/>
        <v>#N/A</v>
      </c>
      <c r="AT1033" s="139" t="e">
        <f t="shared" si="142"/>
        <v>#N/A</v>
      </c>
    </row>
    <row r="1034" spans="1:46" ht="54" customHeight="1">
      <c r="A1034" s="428">
        <f t="shared" si="136"/>
        <v>1026</v>
      </c>
      <c r="B1034" s="403"/>
      <c r="C1034" s="404"/>
      <c r="D1034" s="405"/>
      <c r="E1034" s="405"/>
      <c r="F1034" s="405"/>
      <c r="G1034" s="405"/>
      <c r="H1034" s="406"/>
      <c r="I1034" s="407"/>
      <c r="J1034" s="408"/>
      <c r="K1034" s="409"/>
      <c r="L1034" s="410"/>
      <c r="M1034" s="404"/>
      <c r="N1034" s="411" t="str">
        <f>IF($AI1034&lt;&gt;"",Master!$N$37,IF($AC1034&lt;&gt;"",Master!$N$38,IF($S1034&lt;&gt;"",Master!$N$39,IF($C1034&lt;&gt;"",Master!$N$40,Master!$N$41))))</f>
        <v>起票</v>
      </c>
      <c r="O1034" s="412" t="str">
        <f>IF($N1034=Master!$N$37,MAX($S1034,$AC1034,$AI1034),"")</f>
        <v/>
      </c>
      <c r="P1034" s="413"/>
      <c r="Q1034" s="414"/>
      <c r="R1034" s="409"/>
      <c r="S1034" s="404"/>
      <c r="T1034" s="418"/>
      <c r="U1034" s="415"/>
      <c r="V1034" s="409"/>
      <c r="W1034" s="419"/>
      <c r="X1034" s="419"/>
      <c r="Y1034" s="416"/>
      <c r="Z1034" s="417"/>
      <c r="AA1034" s="418"/>
      <c r="AB1034" s="419"/>
      <c r="AC1034" s="404"/>
      <c r="AD1034" s="404"/>
      <c r="AE1034" s="420"/>
      <c r="AF1034" s="421"/>
      <c r="AG1034" s="418"/>
      <c r="AH1034" s="409"/>
      <c r="AI1034" s="404"/>
      <c r="AJ1034" s="416"/>
      <c r="AK1034" s="453"/>
      <c r="AL1034" s="422"/>
      <c r="AM1034" s="423"/>
      <c r="AO1034" s="137" t="e">
        <f t="shared" si="137"/>
        <v>#N/A</v>
      </c>
      <c r="AP1034" s="138" t="e">
        <f t="shared" si="138"/>
        <v>#N/A</v>
      </c>
      <c r="AQ1034" s="138" t="e">
        <f t="shared" si="139"/>
        <v>#N/A</v>
      </c>
      <c r="AR1034" s="138" t="e">
        <f t="shared" si="140"/>
        <v>#N/A</v>
      </c>
      <c r="AS1034" s="138" t="e">
        <f t="shared" si="141"/>
        <v>#N/A</v>
      </c>
      <c r="AT1034" s="139" t="e">
        <f t="shared" si="142"/>
        <v>#N/A</v>
      </c>
    </row>
    <row r="1035" spans="1:46" ht="54" customHeight="1">
      <c r="A1035" s="428">
        <f t="shared" si="136"/>
        <v>1027</v>
      </c>
      <c r="B1035" s="403"/>
      <c r="C1035" s="404"/>
      <c r="D1035" s="405"/>
      <c r="E1035" s="405"/>
      <c r="F1035" s="405"/>
      <c r="G1035" s="405"/>
      <c r="H1035" s="406"/>
      <c r="I1035" s="407"/>
      <c r="J1035" s="408"/>
      <c r="K1035" s="409"/>
      <c r="L1035" s="410"/>
      <c r="M1035" s="404"/>
      <c r="N1035" s="411" t="str">
        <f>IF($AI1035&lt;&gt;"",Master!$N$37,IF($AC1035&lt;&gt;"",Master!$N$38,IF($S1035&lt;&gt;"",Master!$N$39,IF($C1035&lt;&gt;"",Master!$N$40,Master!$N$41))))</f>
        <v>起票</v>
      </c>
      <c r="O1035" s="412" t="str">
        <f>IF($N1035=Master!$N$37,MAX($S1035,$AC1035,$AI1035),"")</f>
        <v/>
      </c>
      <c r="P1035" s="413"/>
      <c r="Q1035" s="414"/>
      <c r="R1035" s="409"/>
      <c r="S1035" s="404"/>
      <c r="T1035" s="418"/>
      <c r="U1035" s="415"/>
      <c r="V1035" s="409"/>
      <c r="W1035" s="419"/>
      <c r="X1035" s="419"/>
      <c r="Y1035" s="416"/>
      <c r="Z1035" s="417"/>
      <c r="AA1035" s="418"/>
      <c r="AB1035" s="419"/>
      <c r="AC1035" s="404"/>
      <c r="AD1035" s="404"/>
      <c r="AE1035" s="420"/>
      <c r="AF1035" s="421"/>
      <c r="AG1035" s="418"/>
      <c r="AH1035" s="409"/>
      <c r="AI1035" s="404"/>
      <c r="AJ1035" s="416"/>
      <c r="AK1035" s="453"/>
      <c r="AL1035" s="422"/>
      <c r="AM1035" s="423"/>
      <c r="AO1035" s="137" t="e">
        <f t="shared" si="137"/>
        <v>#N/A</v>
      </c>
      <c r="AP1035" s="138" t="e">
        <f t="shared" si="138"/>
        <v>#N/A</v>
      </c>
      <c r="AQ1035" s="138" t="e">
        <f t="shared" si="139"/>
        <v>#N/A</v>
      </c>
      <c r="AR1035" s="138" t="e">
        <f t="shared" si="140"/>
        <v>#N/A</v>
      </c>
      <c r="AS1035" s="138" t="e">
        <f t="shared" si="141"/>
        <v>#N/A</v>
      </c>
      <c r="AT1035" s="139" t="e">
        <f t="shared" si="142"/>
        <v>#N/A</v>
      </c>
    </row>
    <row r="1036" spans="1:46" ht="54" customHeight="1">
      <c r="A1036" s="428">
        <f t="shared" ref="A1036:A1099" si="143">A1035+1</f>
        <v>1028</v>
      </c>
      <c r="B1036" s="403"/>
      <c r="C1036" s="404"/>
      <c r="D1036" s="405"/>
      <c r="E1036" s="405"/>
      <c r="F1036" s="405"/>
      <c r="G1036" s="405"/>
      <c r="H1036" s="406"/>
      <c r="I1036" s="407"/>
      <c r="J1036" s="408"/>
      <c r="K1036" s="409"/>
      <c r="L1036" s="410"/>
      <c r="M1036" s="404"/>
      <c r="N1036" s="411" t="str">
        <f>IF($AI1036&lt;&gt;"",Master!$N$37,IF($AC1036&lt;&gt;"",Master!$N$38,IF($S1036&lt;&gt;"",Master!$N$39,IF($C1036&lt;&gt;"",Master!$N$40,Master!$N$41))))</f>
        <v>起票</v>
      </c>
      <c r="O1036" s="412" t="str">
        <f>IF($N1036=Master!$N$37,MAX($S1036,$AC1036,$AI1036),"")</f>
        <v/>
      </c>
      <c r="P1036" s="413"/>
      <c r="Q1036" s="414"/>
      <c r="R1036" s="409"/>
      <c r="S1036" s="404"/>
      <c r="T1036" s="418"/>
      <c r="U1036" s="415"/>
      <c r="V1036" s="409"/>
      <c r="W1036" s="419"/>
      <c r="X1036" s="419"/>
      <c r="Y1036" s="416"/>
      <c r="Z1036" s="417"/>
      <c r="AA1036" s="418"/>
      <c r="AB1036" s="419"/>
      <c r="AC1036" s="404"/>
      <c r="AD1036" s="404"/>
      <c r="AE1036" s="420"/>
      <c r="AF1036" s="421"/>
      <c r="AG1036" s="418"/>
      <c r="AH1036" s="409"/>
      <c r="AI1036" s="404"/>
      <c r="AJ1036" s="416"/>
      <c r="AK1036" s="453"/>
      <c r="AL1036" s="422"/>
      <c r="AM1036" s="423"/>
      <c r="AO1036" s="137" t="e">
        <f t="shared" si="137"/>
        <v>#N/A</v>
      </c>
      <c r="AP1036" s="138" t="e">
        <f t="shared" si="138"/>
        <v>#N/A</v>
      </c>
      <c r="AQ1036" s="138" t="e">
        <f t="shared" si="139"/>
        <v>#N/A</v>
      </c>
      <c r="AR1036" s="138" t="e">
        <f t="shared" si="140"/>
        <v>#N/A</v>
      </c>
      <c r="AS1036" s="138" t="e">
        <f t="shared" si="141"/>
        <v>#N/A</v>
      </c>
      <c r="AT1036" s="139" t="e">
        <f t="shared" si="142"/>
        <v>#N/A</v>
      </c>
    </row>
    <row r="1037" spans="1:46" ht="54" customHeight="1">
      <c r="A1037" s="428">
        <f t="shared" si="143"/>
        <v>1029</v>
      </c>
      <c r="B1037" s="294"/>
      <c r="C1037" s="201"/>
      <c r="D1037" s="290"/>
      <c r="E1037" s="301"/>
      <c r="F1037" s="301"/>
      <c r="G1037" s="290"/>
      <c r="H1037" s="291"/>
      <c r="I1037" s="292"/>
      <c r="J1037" s="61"/>
      <c r="K1037" s="57"/>
      <c r="L1037" s="303"/>
      <c r="M1037" s="201"/>
      <c r="N1037" s="84" t="str">
        <f>IF($AI1037&lt;&gt;"",Master!$N$37,IF($AC1037&lt;&gt;"",Master!$N$38,IF($S1037&lt;&gt;"",Master!$N$39,IF($C1037&lt;&gt;"",Master!$N$40,Master!$N$41))))</f>
        <v>起票</v>
      </c>
      <c r="O1037" s="202" t="str">
        <f>IF($N1037=Master!$N$37,MAX($S1037,$AC1037,$AI1037),"")</f>
        <v/>
      </c>
      <c r="P1037" s="65"/>
      <c r="Q1037" s="203"/>
      <c r="R1037" s="57"/>
      <c r="S1037" s="203"/>
      <c r="T1037" s="310"/>
      <c r="U1037" s="289"/>
      <c r="V1037" s="57"/>
      <c r="W1037" s="288"/>
      <c r="X1037" s="288"/>
      <c r="Y1037" s="296"/>
      <c r="Z1037" s="57"/>
      <c r="AA1037" s="203"/>
      <c r="AB1037" s="288"/>
      <c r="AC1037" s="201"/>
      <c r="AD1037" s="298"/>
      <c r="AE1037" s="297"/>
      <c r="AF1037" s="58"/>
      <c r="AG1037" s="204"/>
      <c r="AH1037" s="57"/>
      <c r="AI1037" s="201"/>
      <c r="AJ1037" s="287"/>
      <c r="AK1037" s="452"/>
      <c r="AL1037" s="59"/>
      <c r="AM1037" s="60"/>
      <c r="AO1037" s="137" t="e">
        <f t="shared" si="137"/>
        <v>#N/A</v>
      </c>
      <c r="AP1037" s="138" t="e">
        <f t="shared" si="138"/>
        <v>#N/A</v>
      </c>
      <c r="AQ1037" s="138" t="e">
        <f t="shared" si="139"/>
        <v>#N/A</v>
      </c>
      <c r="AR1037" s="138" t="e">
        <f t="shared" si="140"/>
        <v>#N/A</v>
      </c>
      <c r="AS1037" s="138" t="e">
        <f t="shared" si="141"/>
        <v>#N/A</v>
      </c>
      <c r="AT1037" s="139" t="e">
        <f t="shared" si="142"/>
        <v>#N/A</v>
      </c>
    </row>
    <row r="1038" spans="1:46" ht="54" customHeight="1">
      <c r="A1038" s="428">
        <f t="shared" si="143"/>
        <v>1030</v>
      </c>
      <c r="B1038" s="294"/>
      <c r="C1038" s="201"/>
      <c r="D1038" s="290"/>
      <c r="E1038" s="301"/>
      <c r="F1038" s="301"/>
      <c r="G1038" s="290"/>
      <c r="H1038" s="291"/>
      <c r="I1038" s="292"/>
      <c r="J1038" s="61"/>
      <c r="K1038" s="57"/>
      <c r="L1038" s="303"/>
      <c r="M1038" s="201"/>
      <c r="N1038" s="84" t="str">
        <f>IF($AI1038&lt;&gt;"",Master!$N$37,IF($AC1038&lt;&gt;"",Master!$N$38,IF($S1038&lt;&gt;"",Master!$N$39,IF($C1038&lt;&gt;"",Master!$N$40,Master!$N$41))))</f>
        <v>起票</v>
      </c>
      <c r="O1038" s="202" t="str">
        <f>IF($N1038=Master!$N$37,MAX($S1038,$AC1038,$AI1038),"")</f>
        <v/>
      </c>
      <c r="P1038" s="65"/>
      <c r="Q1038" s="203"/>
      <c r="R1038" s="57"/>
      <c r="S1038" s="203"/>
      <c r="T1038" s="310"/>
      <c r="U1038" s="289"/>
      <c r="V1038" s="57"/>
      <c r="W1038" s="288"/>
      <c r="X1038" s="288"/>
      <c r="Y1038" s="296"/>
      <c r="Z1038" s="57"/>
      <c r="AA1038" s="203"/>
      <c r="AB1038" s="288"/>
      <c r="AC1038" s="201"/>
      <c r="AD1038" s="298"/>
      <c r="AE1038" s="297"/>
      <c r="AF1038" s="58"/>
      <c r="AG1038" s="204"/>
      <c r="AH1038" s="57"/>
      <c r="AI1038" s="201"/>
      <c r="AJ1038" s="287"/>
      <c r="AK1038" s="452"/>
      <c r="AL1038" s="59"/>
      <c r="AM1038" s="60"/>
      <c r="AO1038" s="137" t="e">
        <f t="shared" si="137"/>
        <v>#N/A</v>
      </c>
      <c r="AP1038" s="138" t="e">
        <f t="shared" si="138"/>
        <v>#N/A</v>
      </c>
      <c r="AQ1038" s="138" t="e">
        <f t="shared" si="139"/>
        <v>#N/A</v>
      </c>
      <c r="AR1038" s="138" t="e">
        <f t="shared" si="140"/>
        <v>#N/A</v>
      </c>
      <c r="AS1038" s="138" t="e">
        <f t="shared" si="141"/>
        <v>#N/A</v>
      </c>
      <c r="AT1038" s="139" t="e">
        <f t="shared" si="142"/>
        <v>#N/A</v>
      </c>
    </row>
    <row r="1039" spans="1:46" ht="54" customHeight="1">
      <c r="A1039" s="428">
        <f t="shared" si="143"/>
        <v>1031</v>
      </c>
      <c r="B1039" s="403"/>
      <c r="C1039" s="404"/>
      <c r="D1039" s="405"/>
      <c r="E1039" s="405"/>
      <c r="F1039" s="405"/>
      <c r="G1039" s="405"/>
      <c r="H1039" s="406"/>
      <c r="I1039" s="407"/>
      <c r="J1039" s="408"/>
      <c r="K1039" s="409"/>
      <c r="L1039" s="410"/>
      <c r="M1039" s="404"/>
      <c r="N1039" s="411" t="str">
        <f>IF($AI1039&lt;&gt;"",Master!$N$37,IF($AC1039&lt;&gt;"",Master!$N$38,IF($S1039&lt;&gt;"",Master!$N$39,IF($C1039&lt;&gt;"",Master!$N$40,Master!$N$41))))</f>
        <v>起票</v>
      </c>
      <c r="O1039" s="412" t="str">
        <f>IF($N1039=Master!$N$37,MAX($S1039,$AC1039,$AI1039),"")</f>
        <v/>
      </c>
      <c r="P1039" s="413"/>
      <c r="Q1039" s="414"/>
      <c r="R1039" s="409"/>
      <c r="S1039" s="404"/>
      <c r="T1039" s="418"/>
      <c r="U1039" s="415"/>
      <c r="V1039" s="409"/>
      <c r="W1039" s="419"/>
      <c r="X1039" s="419"/>
      <c r="Y1039" s="416"/>
      <c r="Z1039" s="417"/>
      <c r="AA1039" s="418"/>
      <c r="AB1039" s="419"/>
      <c r="AC1039" s="404"/>
      <c r="AD1039" s="404"/>
      <c r="AE1039" s="420"/>
      <c r="AF1039" s="421"/>
      <c r="AG1039" s="418"/>
      <c r="AH1039" s="409"/>
      <c r="AI1039" s="404"/>
      <c r="AJ1039" s="416"/>
      <c r="AK1039" s="453"/>
      <c r="AL1039" s="422"/>
      <c r="AM1039" s="423"/>
      <c r="AO1039" s="137" t="e">
        <f t="shared" si="137"/>
        <v>#N/A</v>
      </c>
      <c r="AP1039" s="138" t="e">
        <f t="shared" si="138"/>
        <v>#N/A</v>
      </c>
      <c r="AQ1039" s="138" t="e">
        <f t="shared" si="139"/>
        <v>#N/A</v>
      </c>
      <c r="AR1039" s="138" t="e">
        <f t="shared" si="140"/>
        <v>#N/A</v>
      </c>
      <c r="AS1039" s="138" t="e">
        <f t="shared" si="141"/>
        <v>#N/A</v>
      </c>
      <c r="AT1039" s="139" t="e">
        <f t="shared" si="142"/>
        <v>#N/A</v>
      </c>
    </row>
    <row r="1040" spans="1:46" ht="54" customHeight="1">
      <c r="A1040" s="428">
        <f t="shared" si="143"/>
        <v>1032</v>
      </c>
      <c r="B1040" s="403"/>
      <c r="C1040" s="404"/>
      <c r="D1040" s="405"/>
      <c r="E1040" s="405"/>
      <c r="F1040" s="405"/>
      <c r="G1040" s="405"/>
      <c r="H1040" s="406"/>
      <c r="I1040" s="407"/>
      <c r="J1040" s="408"/>
      <c r="K1040" s="409"/>
      <c r="L1040" s="410"/>
      <c r="M1040" s="404"/>
      <c r="N1040" s="411" t="str">
        <f>IF($AI1040&lt;&gt;"",Master!$N$37,IF($AC1040&lt;&gt;"",Master!$N$38,IF($S1040&lt;&gt;"",Master!$N$39,IF($C1040&lt;&gt;"",Master!$N$40,Master!$N$41))))</f>
        <v>起票</v>
      </c>
      <c r="O1040" s="412" t="str">
        <f>IF($N1040=Master!$N$37,MAX($S1040,$AC1040,$AI1040),"")</f>
        <v/>
      </c>
      <c r="P1040" s="413"/>
      <c r="Q1040" s="414"/>
      <c r="R1040" s="409"/>
      <c r="S1040" s="404"/>
      <c r="T1040" s="418"/>
      <c r="U1040" s="415"/>
      <c r="V1040" s="409"/>
      <c r="W1040" s="419"/>
      <c r="X1040" s="419"/>
      <c r="Y1040" s="416"/>
      <c r="Z1040" s="417"/>
      <c r="AA1040" s="418"/>
      <c r="AB1040" s="419"/>
      <c r="AC1040" s="404"/>
      <c r="AD1040" s="404"/>
      <c r="AE1040" s="420"/>
      <c r="AF1040" s="421"/>
      <c r="AG1040" s="418"/>
      <c r="AH1040" s="409"/>
      <c r="AI1040" s="404"/>
      <c r="AJ1040" s="416"/>
      <c r="AK1040" s="453"/>
      <c r="AL1040" s="422"/>
      <c r="AM1040" s="423"/>
      <c r="AO1040" s="137" t="e">
        <f t="shared" si="137"/>
        <v>#N/A</v>
      </c>
      <c r="AP1040" s="138" t="e">
        <f t="shared" si="138"/>
        <v>#N/A</v>
      </c>
      <c r="AQ1040" s="138" t="e">
        <f t="shared" si="139"/>
        <v>#N/A</v>
      </c>
      <c r="AR1040" s="138" t="e">
        <f t="shared" si="140"/>
        <v>#N/A</v>
      </c>
      <c r="AS1040" s="138" t="e">
        <f t="shared" si="141"/>
        <v>#N/A</v>
      </c>
      <c r="AT1040" s="139" t="e">
        <f t="shared" si="142"/>
        <v>#N/A</v>
      </c>
    </row>
    <row r="1041" spans="1:46" ht="54" customHeight="1">
      <c r="A1041" s="428">
        <f t="shared" si="143"/>
        <v>1033</v>
      </c>
      <c r="B1041" s="403"/>
      <c r="C1041" s="404"/>
      <c r="D1041" s="405"/>
      <c r="E1041" s="405"/>
      <c r="F1041" s="405"/>
      <c r="G1041" s="405"/>
      <c r="H1041" s="406"/>
      <c r="I1041" s="407"/>
      <c r="J1041" s="408"/>
      <c r="K1041" s="409"/>
      <c r="L1041" s="410"/>
      <c r="M1041" s="404"/>
      <c r="N1041" s="411" t="str">
        <f>IF($AI1041&lt;&gt;"",Master!$N$37,IF($AC1041&lt;&gt;"",Master!$N$38,IF($S1041&lt;&gt;"",Master!$N$39,IF($C1041&lt;&gt;"",Master!$N$40,Master!$N$41))))</f>
        <v>起票</v>
      </c>
      <c r="O1041" s="412" t="str">
        <f>IF($N1041=Master!$N$37,MAX($S1041,$AC1041,$AI1041),"")</f>
        <v/>
      </c>
      <c r="P1041" s="413"/>
      <c r="Q1041" s="414"/>
      <c r="R1041" s="409"/>
      <c r="S1041" s="404"/>
      <c r="T1041" s="418"/>
      <c r="U1041" s="415"/>
      <c r="V1041" s="409"/>
      <c r="W1041" s="419"/>
      <c r="X1041" s="419"/>
      <c r="Y1041" s="416"/>
      <c r="Z1041" s="417"/>
      <c r="AA1041" s="418"/>
      <c r="AB1041" s="419"/>
      <c r="AC1041" s="404"/>
      <c r="AD1041" s="404"/>
      <c r="AE1041" s="420"/>
      <c r="AF1041" s="421"/>
      <c r="AG1041" s="418"/>
      <c r="AH1041" s="409"/>
      <c r="AI1041" s="404"/>
      <c r="AJ1041" s="416"/>
      <c r="AK1041" s="453"/>
      <c r="AL1041" s="422"/>
      <c r="AM1041" s="423"/>
      <c r="AO1041" s="137" t="e">
        <f t="shared" si="137"/>
        <v>#N/A</v>
      </c>
      <c r="AP1041" s="138" t="e">
        <f t="shared" si="138"/>
        <v>#N/A</v>
      </c>
      <c r="AQ1041" s="138" t="e">
        <f t="shared" si="139"/>
        <v>#N/A</v>
      </c>
      <c r="AR1041" s="138" t="e">
        <f t="shared" si="140"/>
        <v>#N/A</v>
      </c>
      <c r="AS1041" s="138" t="e">
        <f t="shared" si="141"/>
        <v>#N/A</v>
      </c>
      <c r="AT1041" s="139" t="e">
        <f t="shared" si="142"/>
        <v>#N/A</v>
      </c>
    </row>
    <row r="1042" spans="1:46" ht="54" customHeight="1">
      <c r="A1042" s="428">
        <f t="shared" si="143"/>
        <v>1034</v>
      </c>
      <c r="B1042" s="294"/>
      <c r="C1042" s="201"/>
      <c r="D1042" s="290"/>
      <c r="E1042" s="301"/>
      <c r="F1042" s="301"/>
      <c r="G1042" s="290"/>
      <c r="H1042" s="291"/>
      <c r="I1042" s="292"/>
      <c r="J1042" s="61"/>
      <c r="K1042" s="57"/>
      <c r="L1042" s="303"/>
      <c r="M1042" s="201"/>
      <c r="N1042" s="84" t="str">
        <f>IF($AI1042&lt;&gt;"",Master!$N$37,IF($AC1042&lt;&gt;"",Master!$N$38,IF($S1042&lt;&gt;"",Master!$N$39,IF($C1042&lt;&gt;"",Master!$N$40,Master!$N$41))))</f>
        <v>起票</v>
      </c>
      <c r="O1042" s="202" t="str">
        <f>IF($N1042=Master!$N$37,MAX($S1042,$AC1042,$AI1042),"")</f>
        <v/>
      </c>
      <c r="P1042" s="65"/>
      <c r="Q1042" s="203"/>
      <c r="R1042" s="57"/>
      <c r="S1042" s="203"/>
      <c r="T1042" s="310"/>
      <c r="U1042" s="289"/>
      <c r="V1042" s="57"/>
      <c r="W1042" s="288"/>
      <c r="X1042" s="288"/>
      <c r="Y1042" s="296"/>
      <c r="Z1042" s="57"/>
      <c r="AA1042" s="203"/>
      <c r="AB1042" s="288"/>
      <c r="AC1042" s="201"/>
      <c r="AD1042" s="298"/>
      <c r="AE1042" s="297"/>
      <c r="AF1042" s="58"/>
      <c r="AG1042" s="204"/>
      <c r="AH1042" s="57"/>
      <c r="AI1042" s="201"/>
      <c r="AJ1042" s="287"/>
      <c r="AK1042" s="452"/>
      <c r="AL1042" s="59"/>
      <c r="AM1042" s="60"/>
      <c r="AO1042" s="137" t="e">
        <f t="shared" si="137"/>
        <v>#N/A</v>
      </c>
      <c r="AP1042" s="138" t="e">
        <f t="shared" si="138"/>
        <v>#N/A</v>
      </c>
      <c r="AQ1042" s="138" t="e">
        <f t="shared" si="139"/>
        <v>#N/A</v>
      </c>
      <c r="AR1042" s="138" t="e">
        <f t="shared" si="140"/>
        <v>#N/A</v>
      </c>
      <c r="AS1042" s="138" t="e">
        <f t="shared" si="141"/>
        <v>#N/A</v>
      </c>
      <c r="AT1042" s="139" t="e">
        <f t="shared" si="142"/>
        <v>#N/A</v>
      </c>
    </row>
    <row r="1043" spans="1:46" ht="54" customHeight="1">
      <c r="A1043" s="428">
        <f t="shared" si="143"/>
        <v>1035</v>
      </c>
      <c r="B1043" s="294"/>
      <c r="C1043" s="201"/>
      <c r="D1043" s="290"/>
      <c r="E1043" s="301"/>
      <c r="F1043" s="301"/>
      <c r="G1043" s="290"/>
      <c r="H1043" s="291"/>
      <c r="I1043" s="292"/>
      <c r="J1043" s="61"/>
      <c r="K1043" s="57"/>
      <c r="L1043" s="303"/>
      <c r="M1043" s="201"/>
      <c r="N1043" s="84" t="str">
        <f>IF($AI1043&lt;&gt;"",Master!$N$37,IF($AC1043&lt;&gt;"",Master!$N$38,IF($S1043&lt;&gt;"",Master!$N$39,IF($C1043&lt;&gt;"",Master!$N$40,Master!$N$41))))</f>
        <v>起票</v>
      </c>
      <c r="O1043" s="202" t="str">
        <f>IF($N1043=Master!$N$37,MAX($S1043,$AC1043,$AI1043),"")</f>
        <v/>
      </c>
      <c r="P1043" s="65"/>
      <c r="Q1043" s="203"/>
      <c r="R1043" s="57"/>
      <c r="S1043" s="203"/>
      <c r="T1043" s="310"/>
      <c r="U1043" s="289"/>
      <c r="V1043" s="57"/>
      <c r="W1043" s="288"/>
      <c r="X1043" s="288"/>
      <c r="Y1043" s="296"/>
      <c r="Z1043" s="57"/>
      <c r="AA1043" s="203"/>
      <c r="AB1043" s="288"/>
      <c r="AC1043" s="201"/>
      <c r="AD1043" s="298"/>
      <c r="AE1043" s="297"/>
      <c r="AF1043" s="58"/>
      <c r="AG1043" s="204"/>
      <c r="AH1043" s="57"/>
      <c r="AI1043" s="201"/>
      <c r="AJ1043" s="287"/>
      <c r="AK1043" s="452"/>
      <c r="AL1043" s="59"/>
      <c r="AM1043" s="60"/>
      <c r="AO1043" s="137" t="e">
        <f t="shared" si="137"/>
        <v>#N/A</v>
      </c>
      <c r="AP1043" s="138" t="e">
        <f t="shared" si="138"/>
        <v>#N/A</v>
      </c>
      <c r="AQ1043" s="138" t="e">
        <f t="shared" si="139"/>
        <v>#N/A</v>
      </c>
      <c r="AR1043" s="138" t="e">
        <f t="shared" si="140"/>
        <v>#N/A</v>
      </c>
      <c r="AS1043" s="138" t="e">
        <f t="shared" si="141"/>
        <v>#N/A</v>
      </c>
      <c r="AT1043" s="139" t="e">
        <f t="shared" si="142"/>
        <v>#N/A</v>
      </c>
    </row>
    <row r="1044" spans="1:46" ht="54" customHeight="1">
      <c r="A1044" s="428">
        <f t="shared" si="143"/>
        <v>1036</v>
      </c>
      <c r="B1044" s="403"/>
      <c r="C1044" s="404"/>
      <c r="D1044" s="405"/>
      <c r="E1044" s="405"/>
      <c r="F1044" s="405"/>
      <c r="G1044" s="405"/>
      <c r="H1044" s="406"/>
      <c r="I1044" s="407"/>
      <c r="J1044" s="408"/>
      <c r="K1044" s="409"/>
      <c r="L1044" s="410"/>
      <c r="M1044" s="404"/>
      <c r="N1044" s="411" t="str">
        <f>IF($AI1044&lt;&gt;"",Master!$N$37,IF($AC1044&lt;&gt;"",Master!$N$38,IF($S1044&lt;&gt;"",Master!$N$39,IF($C1044&lt;&gt;"",Master!$N$40,Master!$N$41))))</f>
        <v>起票</v>
      </c>
      <c r="O1044" s="412" t="str">
        <f>IF($N1044=Master!$N$37,MAX($S1044,$AC1044,$AI1044),"")</f>
        <v/>
      </c>
      <c r="P1044" s="413"/>
      <c r="Q1044" s="414"/>
      <c r="R1044" s="409"/>
      <c r="S1044" s="404"/>
      <c r="T1044" s="418"/>
      <c r="U1044" s="415"/>
      <c r="V1044" s="409"/>
      <c r="W1044" s="419"/>
      <c r="X1044" s="419"/>
      <c r="Y1044" s="416"/>
      <c r="Z1044" s="417"/>
      <c r="AA1044" s="418"/>
      <c r="AB1044" s="419"/>
      <c r="AC1044" s="404"/>
      <c r="AD1044" s="404"/>
      <c r="AE1044" s="420"/>
      <c r="AF1044" s="421"/>
      <c r="AG1044" s="418"/>
      <c r="AH1044" s="409"/>
      <c r="AI1044" s="404"/>
      <c r="AJ1044" s="416"/>
      <c r="AK1044" s="453"/>
      <c r="AL1044" s="422"/>
      <c r="AM1044" s="423"/>
      <c r="AO1044" s="137" t="e">
        <f t="shared" si="137"/>
        <v>#N/A</v>
      </c>
      <c r="AP1044" s="138" t="e">
        <f t="shared" si="138"/>
        <v>#N/A</v>
      </c>
      <c r="AQ1044" s="138" t="e">
        <f t="shared" si="139"/>
        <v>#N/A</v>
      </c>
      <c r="AR1044" s="138" t="e">
        <f t="shared" si="140"/>
        <v>#N/A</v>
      </c>
      <c r="AS1044" s="138" t="e">
        <f t="shared" si="141"/>
        <v>#N/A</v>
      </c>
      <c r="AT1044" s="139" t="e">
        <f t="shared" si="142"/>
        <v>#N/A</v>
      </c>
    </row>
    <row r="1045" spans="1:46" ht="54" customHeight="1">
      <c r="A1045" s="428">
        <f t="shared" si="143"/>
        <v>1037</v>
      </c>
      <c r="B1045" s="403"/>
      <c r="C1045" s="404"/>
      <c r="D1045" s="405"/>
      <c r="E1045" s="405"/>
      <c r="F1045" s="405"/>
      <c r="G1045" s="405"/>
      <c r="H1045" s="406"/>
      <c r="I1045" s="407"/>
      <c r="J1045" s="408"/>
      <c r="K1045" s="409"/>
      <c r="L1045" s="410"/>
      <c r="M1045" s="404"/>
      <c r="N1045" s="411" t="str">
        <f>IF($AI1045&lt;&gt;"",Master!$N$37,IF($AC1045&lt;&gt;"",Master!$N$38,IF($S1045&lt;&gt;"",Master!$N$39,IF($C1045&lt;&gt;"",Master!$N$40,Master!$N$41))))</f>
        <v>起票</v>
      </c>
      <c r="O1045" s="412" t="str">
        <f>IF($N1045=Master!$N$37,MAX($S1045,$AC1045,$AI1045),"")</f>
        <v/>
      </c>
      <c r="P1045" s="413"/>
      <c r="Q1045" s="414"/>
      <c r="R1045" s="409"/>
      <c r="S1045" s="404"/>
      <c r="T1045" s="418"/>
      <c r="U1045" s="415"/>
      <c r="V1045" s="409"/>
      <c r="W1045" s="419"/>
      <c r="X1045" s="419"/>
      <c r="Y1045" s="416"/>
      <c r="Z1045" s="417"/>
      <c r="AA1045" s="418"/>
      <c r="AB1045" s="419"/>
      <c r="AC1045" s="404"/>
      <c r="AD1045" s="404"/>
      <c r="AE1045" s="420"/>
      <c r="AF1045" s="421"/>
      <c r="AG1045" s="418"/>
      <c r="AH1045" s="409"/>
      <c r="AI1045" s="404"/>
      <c r="AJ1045" s="416"/>
      <c r="AK1045" s="453"/>
      <c r="AL1045" s="422"/>
      <c r="AM1045" s="423"/>
      <c r="AO1045" s="137" t="e">
        <f t="shared" si="137"/>
        <v>#N/A</v>
      </c>
      <c r="AP1045" s="138" t="e">
        <f t="shared" si="138"/>
        <v>#N/A</v>
      </c>
      <c r="AQ1045" s="138" t="e">
        <f t="shared" si="139"/>
        <v>#N/A</v>
      </c>
      <c r="AR1045" s="138" t="e">
        <f t="shared" si="140"/>
        <v>#N/A</v>
      </c>
      <c r="AS1045" s="138" t="e">
        <f t="shared" si="141"/>
        <v>#N/A</v>
      </c>
      <c r="AT1045" s="139" t="e">
        <f t="shared" si="142"/>
        <v>#N/A</v>
      </c>
    </row>
    <row r="1046" spans="1:46" ht="54" customHeight="1">
      <c r="A1046" s="428">
        <f t="shared" si="143"/>
        <v>1038</v>
      </c>
      <c r="B1046" s="403"/>
      <c r="C1046" s="404"/>
      <c r="D1046" s="405"/>
      <c r="E1046" s="405"/>
      <c r="F1046" s="405"/>
      <c r="G1046" s="405"/>
      <c r="H1046" s="406"/>
      <c r="I1046" s="407"/>
      <c r="J1046" s="408"/>
      <c r="K1046" s="409"/>
      <c r="L1046" s="410"/>
      <c r="M1046" s="404"/>
      <c r="N1046" s="411" t="str">
        <f>IF($AI1046&lt;&gt;"",Master!$N$37,IF($AC1046&lt;&gt;"",Master!$N$38,IF($S1046&lt;&gt;"",Master!$N$39,IF($C1046&lt;&gt;"",Master!$N$40,Master!$N$41))))</f>
        <v>起票</v>
      </c>
      <c r="O1046" s="412" t="str">
        <f>IF($N1046=Master!$N$37,MAX($S1046,$AC1046,$AI1046),"")</f>
        <v/>
      </c>
      <c r="P1046" s="413"/>
      <c r="Q1046" s="414"/>
      <c r="R1046" s="409"/>
      <c r="S1046" s="404"/>
      <c r="T1046" s="418"/>
      <c r="U1046" s="415"/>
      <c r="V1046" s="409"/>
      <c r="W1046" s="419"/>
      <c r="X1046" s="419"/>
      <c r="Y1046" s="416"/>
      <c r="Z1046" s="417"/>
      <c r="AA1046" s="418"/>
      <c r="AB1046" s="419"/>
      <c r="AC1046" s="404"/>
      <c r="AD1046" s="404"/>
      <c r="AE1046" s="420"/>
      <c r="AF1046" s="421"/>
      <c r="AG1046" s="418"/>
      <c r="AH1046" s="409"/>
      <c r="AI1046" s="404"/>
      <c r="AJ1046" s="416"/>
      <c r="AK1046" s="453"/>
      <c r="AL1046" s="422"/>
      <c r="AM1046" s="423"/>
      <c r="AO1046" s="137" t="e">
        <f t="shared" si="137"/>
        <v>#N/A</v>
      </c>
      <c r="AP1046" s="138" t="e">
        <f t="shared" si="138"/>
        <v>#N/A</v>
      </c>
      <c r="AQ1046" s="138" t="e">
        <f t="shared" si="139"/>
        <v>#N/A</v>
      </c>
      <c r="AR1046" s="138" t="e">
        <f t="shared" si="140"/>
        <v>#N/A</v>
      </c>
      <c r="AS1046" s="138" t="e">
        <f t="shared" si="141"/>
        <v>#N/A</v>
      </c>
      <c r="AT1046" s="139" t="e">
        <f t="shared" si="142"/>
        <v>#N/A</v>
      </c>
    </row>
    <row r="1047" spans="1:46" ht="54" customHeight="1">
      <c r="A1047" s="428">
        <f t="shared" si="143"/>
        <v>1039</v>
      </c>
      <c r="B1047" s="294"/>
      <c r="C1047" s="201"/>
      <c r="D1047" s="290"/>
      <c r="E1047" s="301"/>
      <c r="F1047" s="301"/>
      <c r="G1047" s="290"/>
      <c r="H1047" s="291"/>
      <c r="I1047" s="292"/>
      <c r="J1047" s="61"/>
      <c r="K1047" s="57"/>
      <c r="L1047" s="303"/>
      <c r="M1047" s="201"/>
      <c r="N1047" s="84" t="str">
        <f>IF($AI1047&lt;&gt;"",Master!$N$37,IF($AC1047&lt;&gt;"",Master!$N$38,IF($S1047&lt;&gt;"",Master!$N$39,IF($C1047&lt;&gt;"",Master!$N$40,Master!$N$41))))</f>
        <v>起票</v>
      </c>
      <c r="O1047" s="202" t="str">
        <f>IF($N1047=Master!$N$37,MAX($S1047,$AC1047,$AI1047),"")</f>
        <v/>
      </c>
      <c r="P1047" s="65"/>
      <c r="Q1047" s="203"/>
      <c r="R1047" s="57"/>
      <c r="S1047" s="203"/>
      <c r="T1047" s="310"/>
      <c r="U1047" s="289"/>
      <c r="V1047" s="57"/>
      <c r="W1047" s="288"/>
      <c r="X1047" s="288"/>
      <c r="Y1047" s="296"/>
      <c r="Z1047" s="57"/>
      <c r="AA1047" s="203"/>
      <c r="AB1047" s="288"/>
      <c r="AC1047" s="201"/>
      <c r="AD1047" s="298"/>
      <c r="AE1047" s="297"/>
      <c r="AF1047" s="58"/>
      <c r="AG1047" s="204"/>
      <c r="AH1047" s="57"/>
      <c r="AI1047" s="201"/>
      <c r="AJ1047" s="287"/>
      <c r="AK1047" s="452"/>
      <c r="AL1047" s="59"/>
      <c r="AM1047" s="60"/>
      <c r="AO1047" s="137" t="e">
        <f t="shared" si="137"/>
        <v>#N/A</v>
      </c>
      <c r="AP1047" s="138" t="e">
        <f t="shared" si="138"/>
        <v>#N/A</v>
      </c>
      <c r="AQ1047" s="138" t="e">
        <f t="shared" si="139"/>
        <v>#N/A</v>
      </c>
      <c r="AR1047" s="138" t="e">
        <f t="shared" si="140"/>
        <v>#N/A</v>
      </c>
      <c r="AS1047" s="138" t="e">
        <f t="shared" si="141"/>
        <v>#N/A</v>
      </c>
      <c r="AT1047" s="139" t="e">
        <f t="shared" si="142"/>
        <v>#N/A</v>
      </c>
    </row>
    <row r="1048" spans="1:46" ht="54" customHeight="1">
      <c r="A1048" s="428">
        <f t="shared" si="143"/>
        <v>1040</v>
      </c>
      <c r="B1048" s="294"/>
      <c r="C1048" s="201"/>
      <c r="D1048" s="290"/>
      <c r="E1048" s="301"/>
      <c r="F1048" s="301"/>
      <c r="G1048" s="290"/>
      <c r="H1048" s="291"/>
      <c r="I1048" s="292"/>
      <c r="J1048" s="61"/>
      <c r="K1048" s="57"/>
      <c r="L1048" s="303"/>
      <c r="M1048" s="201"/>
      <c r="N1048" s="84" t="str">
        <f>IF($AI1048&lt;&gt;"",Master!$N$37,IF($AC1048&lt;&gt;"",Master!$N$38,IF($S1048&lt;&gt;"",Master!$N$39,IF($C1048&lt;&gt;"",Master!$N$40,Master!$N$41))))</f>
        <v>起票</v>
      </c>
      <c r="O1048" s="202" t="str">
        <f>IF($N1048=Master!$N$37,MAX($S1048,$AC1048,$AI1048),"")</f>
        <v/>
      </c>
      <c r="P1048" s="65"/>
      <c r="Q1048" s="203"/>
      <c r="R1048" s="57"/>
      <c r="S1048" s="203"/>
      <c r="T1048" s="310"/>
      <c r="U1048" s="289"/>
      <c r="V1048" s="57"/>
      <c r="W1048" s="288"/>
      <c r="X1048" s="288"/>
      <c r="Y1048" s="296"/>
      <c r="Z1048" s="57"/>
      <c r="AA1048" s="203"/>
      <c r="AB1048" s="288"/>
      <c r="AC1048" s="201"/>
      <c r="AD1048" s="298"/>
      <c r="AE1048" s="297"/>
      <c r="AF1048" s="58"/>
      <c r="AG1048" s="204"/>
      <c r="AH1048" s="57"/>
      <c r="AI1048" s="201"/>
      <c r="AJ1048" s="287"/>
      <c r="AK1048" s="452"/>
      <c r="AL1048" s="59"/>
      <c r="AM1048" s="60"/>
      <c r="AO1048" s="137" t="e">
        <f t="shared" si="137"/>
        <v>#N/A</v>
      </c>
      <c r="AP1048" s="138" t="e">
        <f t="shared" si="138"/>
        <v>#N/A</v>
      </c>
      <c r="AQ1048" s="138" t="e">
        <f t="shared" si="139"/>
        <v>#N/A</v>
      </c>
      <c r="AR1048" s="138" t="e">
        <f t="shared" si="140"/>
        <v>#N/A</v>
      </c>
      <c r="AS1048" s="138" t="e">
        <f t="shared" si="141"/>
        <v>#N/A</v>
      </c>
      <c r="AT1048" s="139" t="e">
        <f t="shared" si="142"/>
        <v>#N/A</v>
      </c>
    </row>
    <row r="1049" spans="1:46" ht="54" customHeight="1">
      <c r="A1049" s="428">
        <f t="shared" si="143"/>
        <v>1041</v>
      </c>
      <c r="B1049" s="403"/>
      <c r="C1049" s="404"/>
      <c r="D1049" s="405"/>
      <c r="E1049" s="405"/>
      <c r="F1049" s="405"/>
      <c r="G1049" s="405"/>
      <c r="H1049" s="406"/>
      <c r="I1049" s="407"/>
      <c r="J1049" s="408"/>
      <c r="K1049" s="409"/>
      <c r="L1049" s="410"/>
      <c r="M1049" s="404"/>
      <c r="N1049" s="411" t="str">
        <f>IF($AI1049&lt;&gt;"",Master!$N$37,IF($AC1049&lt;&gt;"",Master!$N$38,IF($S1049&lt;&gt;"",Master!$N$39,IF($C1049&lt;&gt;"",Master!$N$40,Master!$N$41))))</f>
        <v>起票</v>
      </c>
      <c r="O1049" s="412" t="str">
        <f>IF($N1049=Master!$N$37,MAX($S1049,$AC1049,$AI1049),"")</f>
        <v/>
      </c>
      <c r="P1049" s="413"/>
      <c r="Q1049" s="414"/>
      <c r="R1049" s="409"/>
      <c r="S1049" s="404"/>
      <c r="T1049" s="418"/>
      <c r="U1049" s="415"/>
      <c r="V1049" s="409"/>
      <c r="W1049" s="419"/>
      <c r="X1049" s="419"/>
      <c r="Y1049" s="416"/>
      <c r="Z1049" s="417"/>
      <c r="AA1049" s="418"/>
      <c r="AB1049" s="419"/>
      <c r="AC1049" s="404"/>
      <c r="AD1049" s="404"/>
      <c r="AE1049" s="420"/>
      <c r="AF1049" s="421"/>
      <c r="AG1049" s="418"/>
      <c r="AH1049" s="409"/>
      <c r="AI1049" s="404"/>
      <c r="AJ1049" s="416"/>
      <c r="AK1049" s="453"/>
      <c r="AL1049" s="422"/>
      <c r="AM1049" s="423"/>
      <c r="AO1049" s="137" t="e">
        <f t="shared" si="137"/>
        <v>#N/A</v>
      </c>
      <c r="AP1049" s="138" t="e">
        <f t="shared" si="138"/>
        <v>#N/A</v>
      </c>
      <c r="AQ1049" s="138" t="e">
        <f t="shared" si="139"/>
        <v>#N/A</v>
      </c>
      <c r="AR1049" s="138" t="e">
        <f t="shared" si="140"/>
        <v>#N/A</v>
      </c>
      <c r="AS1049" s="138" t="e">
        <f t="shared" si="141"/>
        <v>#N/A</v>
      </c>
      <c r="AT1049" s="139" t="e">
        <f t="shared" si="142"/>
        <v>#N/A</v>
      </c>
    </row>
    <row r="1050" spans="1:46" ht="54" customHeight="1">
      <c r="A1050" s="428">
        <f t="shared" si="143"/>
        <v>1042</v>
      </c>
      <c r="B1050" s="403"/>
      <c r="C1050" s="404"/>
      <c r="D1050" s="405"/>
      <c r="E1050" s="405"/>
      <c r="F1050" s="405"/>
      <c r="G1050" s="405"/>
      <c r="H1050" s="406"/>
      <c r="I1050" s="407"/>
      <c r="J1050" s="408"/>
      <c r="K1050" s="409"/>
      <c r="L1050" s="410"/>
      <c r="M1050" s="404"/>
      <c r="N1050" s="411" t="str">
        <f>IF($AI1050&lt;&gt;"",Master!$N$37,IF($AC1050&lt;&gt;"",Master!$N$38,IF($S1050&lt;&gt;"",Master!$N$39,IF($C1050&lt;&gt;"",Master!$N$40,Master!$N$41))))</f>
        <v>起票</v>
      </c>
      <c r="O1050" s="412" t="str">
        <f>IF($N1050=Master!$N$37,MAX($S1050,$AC1050,$AI1050),"")</f>
        <v/>
      </c>
      <c r="P1050" s="413"/>
      <c r="Q1050" s="414"/>
      <c r="R1050" s="409"/>
      <c r="S1050" s="404"/>
      <c r="T1050" s="418"/>
      <c r="U1050" s="415"/>
      <c r="V1050" s="409"/>
      <c r="W1050" s="419"/>
      <c r="X1050" s="419"/>
      <c r="Y1050" s="416"/>
      <c r="Z1050" s="417"/>
      <c r="AA1050" s="418"/>
      <c r="AB1050" s="419"/>
      <c r="AC1050" s="404"/>
      <c r="AD1050" s="404"/>
      <c r="AE1050" s="420"/>
      <c r="AF1050" s="421"/>
      <c r="AG1050" s="418"/>
      <c r="AH1050" s="409"/>
      <c r="AI1050" s="404"/>
      <c r="AJ1050" s="416"/>
      <c r="AK1050" s="453"/>
      <c r="AL1050" s="422"/>
      <c r="AM1050" s="423"/>
      <c r="AO1050" s="137" t="e">
        <f t="shared" si="137"/>
        <v>#N/A</v>
      </c>
      <c r="AP1050" s="138" t="e">
        <f t="shared" si="138"/>
        <v>#N/A</v>
      </c>
      <c r="AQ1050" s="138" t="e">
        <f t="shared" si="139"/>
        <v>#N/A</v>
      </c>
      <c r="AR1050" s="138" t="e">
        <f t="shared" si="140"/>
        <v>#N/A</v>
      </c>
      <c r="AS1050" s="138" t="e">
        <f t="shared" si="141"/>
        <v>#N/A</v>
      </c>
      <c r="AT1050" s="139" t="e">
        <f t="shared" si="142"/>
        <v>#N/A</v>
      </c>
    </row>
    <row r="1051" spans="1:46" ht="54" customHeight="1">
      <c r="A1051" s="428">
        <f t="shared" si="143"/>
        <v>1043</v>
      </c>
      <c r="B1051" s="403"/>
      <c r="C1051" s="404"/>
      <c r="D1051" s="405"/>
      <c r="E1051" s="405"/>
      <c r="F1051" s="405"/>
      <c r="G1051" s="405"/>
      <c r="H1051" s="406"/>
      <c r="I1051" s="407"/>
      <c r="J1051" s="408"/>
      <c r="K1051" s="409"/>
      <c r="L1051" s="410"/>
      <c r="M1051" s="404"/>
      <c r="N1051" s="411" t="str">
        <f>IF($AI1051&lt;&gt;"",Master!$N$37,IF($AC1051&lt;&gt;"",Master!$N$38,IF($S1051&lt;&gt;"",Master!$N$39,IF($C1051&lt;&gt;"",Master!$N$40,Master!$N$41))))</f>
        <v>起票</v>
      </c>
      <c r="O1051" s="412" t="str">
        <f>IF($N1051=Master!$N$37,MAX($S1051,$AC1051,$AI1051),"")</f>
        <v/>
      </c>
      <c r="P1051" s="413"/>
      <c r="Q1051" s="414"/>
      <c r="R1051" s="409"/>
      <c r="S1051" s="404"/>
      <c r="T1051" s="418"/>
      <c r="U1051" s="415"/>
      <c r="V1051" s="409"/>
      <c r="W1051" s="419"/>
      <c r="X1051" s="419"/>
      <c r="Y1051" s="416"/>
      <c r="Z1051" s="417"/>
      <c r="AA1051" s="418"/>
      <c r="AB1051" s="419"/>
      <c r="AC1051" s="404"/>
      <c r="AD1051" s="404"/>
      <c r="AE1051" s="420"/>
      <c r="AF1051" s="421"/>
      <c r="AG1051" s="418"/>
      <c r="AH1051" s="409"/>
      <c r="AI1051" s="404"/>
      <c r="AJ1051" s="416"/>
      <c r="AK1051" s="453"/>
      <c r="AL1051" s="422"/>
      <c r="AM1051" s="423"/>
      <c r="AO1051" s="137" t="e">
        <f t="shared" si="137"/>
        <v>#N/A</v>
      </c>
      <c r="AP1051" s="138" t="e">
        <f t="shared" si="138"/>
        <v>#N/A</v>
      </c>
      <c r="AQ1051" s="138" t="e">
        <f t="shared" si="139"/>
        <v>#N/A</v>
      </c>
      <c r="AR1051" s="138" t="e">
        <f t="shared" si="140"/>
        <v>#N/A</v>
      </c>
      <c r="AS1051" s="138" t="e">
        <f t="shared" si="141"/>
        <v>#N/A</v>
      </c>
      <c r="AT1051" s="139" t="e">
        <f t="shared" si="142"/>
        <v>#N/A</v>
      </c>
    </row>
    <row r="1052" spans="1:46" ht="54" customHeight="1">
      <c r="A1052" s="428">
        <f t="shared" si="143"/>
        <v>1044</v>
      </c>
      <c r="B1052" s="294"/>
      <c r="C1052" s="201"/>
      <c r="D1052" s="290"/>
      <c r="E1052" s="301"/>
      <c r="F1052" s="301"/>
      <c r="G1052" s="290"/>
      <c r="H1052" s="291"/>
      <c r="I1052" s="292"/>
      <c r="J1052" s="61"/>
      <c r="K1052" s="57"/>
      <c r="L1052" s="303"/>
      <c r="M1052" s="201"/>
      <c r="N1052" s="84" t="str">
        <f>IF($AI1052&lt;&gt;"",Master!$N$37,IF($AC1052&lt;&gt;"",Master!$N$38,IF($S1052&lt;&gt;"",Master!$N$39,IF($C1052&lt;&gt;"",Master!$N$40,Master!$N$41))))</f>
        <v>起票</v>
      </c>
      <c r="O1052" s="202" t="str">
        <f>IF($N1052=Master!$N$37,MAX($S1052,$AC1052,$AI1052),"")</f>
        <v/>
      </c>
      <c r="P1052" s="65"/>
      <c r="Q1052" s="203"/>
      <c r="R1052" s="57"/>
      <c r="S1052" s="203"/>
      <c r="T1052" s="310"/>
      <c r="U1052" s="289"/>
      <c r="V1052" s="57"/>
      <c r="W1052" s="288"/>
      <c r="X1052" s="288"/>
      <c r="Y1052" s="296"/>
      <c r="Z1052" s="57"/>
      <c r="AA1052" s="203"/>
      <c r="AB1052" s="288"/>
      <c r="AC1052" s="201"/>
      <c r="AD1052" s="298"/>
      <c r="AE1052" s="297"/>
      <c r="AF1052" s="58"/>
      <c r="AG1052" s="204"/>
      <c r="AH1052" s="57"/>
      <c r="AI1052" s="201"/>
      <c r="AJ1052" s="287"/>
      <c r="AK1052" s="452"/>
      <c r="AL1052" s="59"/>
      <c r="AM1052" s="60"/>
      <c r="AO1052" s="137" t="e">
        <f t="shared" si="137"/>
        <v>#N/A</v>
      </c>
      <c r="AP1052" s="138" t="e">
        <f t="shared" si="138"/>
        <v>#N/A</v>
      </c>
      <c r="AQ1052" s="138" t="e">
        <f t="shared" si="139"/>
        <v>#N/A</v>
      </c>
      <c r="AR1052" s="138" t="e">
        <f t="shared" si="140"/>
        <v>#N/A</v>
      </c>
      <c r="AS1052" s="138" t="e">
        <f t="shared" si="141"/>
        <v>#N/A</v>
      </c>
      <c r="AT1052" s="139" t="e">
        <f t="shared" si="142"/>
        <v>#N/A</v>
      </c>
    </row>
    <row r="1053" spans="1:46" ht="54" customHeight="1">
      <c r="A1053" s="428">
        <f t="shared" si="143"/>
        <v>1045</v>
      </c>
      <c r="B1053" s="294"/>
      <c r="C1053" s="201"/>
      <c r="D1053" s="290"/>
      <c r="E1053" s="301"/>
      <c r="F1053" s="301"/>
      <c r="G1053" s="290"/>
      <c r="H1053" s="291"/>
      <c r="I1053" s="292"/>
      <c r="J1053" s="61"/>
      <c r="K1053" s="57"/>
      <c r="L1053" s="303"/>
      <c r="M1053" s="201"/>
      <c r="N1053" s="84" t="str">
        <f>IF($AI1053&lt;&gt;"",Master!$N$37,IF($AC1053&lt;&gt;"",Master!$N$38,IF($S1053&lt;&gt;"",Master!$N$39,IF($C1053&lt;&gt;"",Master!$N$40,Master!$N$41))))</f>
        <v>起票</v>
      </c>
      <c r="O1053" s="202" t="str">
        <f>IF($N1053=Master!$N$37,MAX($S1053,$AC1053,$AI1053),"")</f>
        <v/>
      </c>
      <c r="P1053" s="65"/>
      <c r="Q1053" s="203"/>
      <c r="R1053" s="57"/>
      <c r="S1053" s="203"/>
      <c r="T1053" s="310"/>
      <c r="U1053" s="289"/>
      <c r="V1053" s="57"/>
      <c r="W1053" s="288"/>
      <c r="X1053" s="288"/>
      <c r="Y1053" s="296"/>
      <c r="Z1053" s="57"/>
      <c r="AA1053" s="203"/>
      <c r="AB1053" s="288"/>
      <c r="AC1053" s="201"/>
      <c r="AD1053" s="298"/>
      <c r="AE1053" s="297"/>
      <c r="AF1053" s="58"/>
      <c r="AG1053" s="204"/>
      <c r="AH1053" s="57"/>
      <c r="AI1053" s="201"/>
      <c r="AJ1053" s="287"/>
      <c r="AK1053" s="452"/>
      <c r="AL1053" s="59"/>
      <c r="AM1053" s="60"/>
      <c r="AO1053" s="137" t="e">
        <f t="shared" si="137"/>
        <v>#N/A</v>
      </c>
      <c r="AP1053" s="138" t="e">
        <f t="shared" si="138"/>
        <v>#N/A</v>
      </c>
      <c r="AQ1053" s="138" t="e">
        <f t="shared" si="139"/>
        <v>#N/A</v>
      </c>
      <c r="AR1053" s="138" t="e">
        <f t="shared" si="140"/>
        <v>#N/A</v>
      </c>
      <c r="AS1053" s="138" t="e">
        <f t="shared" si="141"/>
        <v>#N/A</v>
      </c>
      <c r="AT1053" s="139" t="e">
        <f t="shared" si="142"/>
        <v>#N/A</v>
      </c>
    </row>
    <row r="1054" spans="1:46" ht="54" customHeight="1">
      <c r="A1054" s="428">
        <f t="shared" si="143"/>
        <v>1046</v>
      </c>
      <c r="B1054" s="403"/>
      <c r="C1054" s="404"/>
      <c r="D1054" s="405"/>
      <c r="E1054" s="405"/>
      <c r="F1054" s="405"/>
      <c r="G1054" s="405"/>
      <c r="H1054" s="406"/>
      <c r="I1054" s="407"/>
      <c r="J1054" s="408"/>
      <c r="K1054" s="409"/>
      <c r="L1054" s="410"/>
      <c r="M1054" s="404"/>
      <c r="N1054" s="411" t="str">
        <f>IF($AI1054&lt;&gt;"",Master!$N$37,IF($AC1054&lt;&gt;"",Master!$N$38,IF($S1054&lt;&gt;"",Master!$N$39,IF($C1054&lt;&gt;"",Master!$N$40,Master!$N$41))))</f>
        <v>起票</v>
      </c>
      <c r="O1054" s="412" t="str">
        <f>IF($N1054=Master!$N$37,MAX($S1054,$AC1054,$AI1054),"")</f>
        <v/>
      </c>
      <c r="P1054" s="413"/>
      <c r="Q1054" s="414"/>
      <c r="R1054" s="409"/>
      <c r="S1054" s="404"/>
      <c r="T1054" s="418"/>
      <c r="U1054" s="415"/>
      <c r="V1054" s="409"/>
      <c r="W1054" s="419"/>
      <c r="X1054" s="419"/>
      <c r="Y1054" s="416"/>
      <c r="Z1054" s="417"/>
      <c r="AA1054" s="418"/>
      <c r="AB1054" s="419"/>
      <c r="AC1054" s="404"/>
      <c r="AD1054" s="404"/>
      <c r="AE1054" s="420"/>
      <c r="AF1054" s="421"/>
      <c r="AG1054" s="418"/>
      <c r="AH1054" s="409"/>
      <c r="AI1054" s="404"/>
      <c r="AJ1054" s="416"/>
      <c r="AK1054" s="453"/>
      <c r="AL1054" s="422"/>
      <c r="AM1054" s="423"/>
      <c r="AO1054" s="137" t="e">
        <f t="shared" si="137"/>
        <v>#N/A</v>
      </c>
      <c r="AP1054" s="138" t="e">
        <f t="shared" si="138"/>
        <v>#N/A</v>
      </c>
      <c r="AQ1054" s="138" t="e">
        <f t="shared" si="139"/>
        <v>#N/A</v>
      </c>
      <c r="AR1054" s="138" t="e">
        <f t="shared" si="140"/>
        <v>#N/A</v>
      </c>
      <c r="AS1054" s="138" t="e">
        <f t="shared" si="141"/>
        <v>#N/A</v>
      </c>
      <c r="AT1054" s="139" t="e">
        <f t="shared" si="142"/>
        <v>#N/A</v>
      </c>
    </row>
    <row r="1055" spans="1:46" ht="54" customHeight="1">
      <c r="A1055" s="428">
        <f t="shared" si="143"/>
        <v>1047</v>
      </c>
      <c r="B1055" s="403"/>
      <c r="C1055" s="404"/>
      <c r="D1055" s="405"/>
      <c r="E1055" s="405"/>
      <c r="F1055" s="405"/>
      <c r="G1055" s="405"/>
      <c r="H1055" s="406"/>
      <c r="I1055" s="407"/>
      <c r="J1055" s="408"/>
      <c r="K1055" s="409"/>
      <c r="L1055" s="410"/>
      <c r="M1055" s="404"/>
      <c r="N1055" s="411" t="str">
        <f>IF($AI1055&lt;&gt;"",Master!$N$37,IF($AC1055&lt;&gt;"",Master!$N$38,IF($S1055&lt;&gt;"",Master!$N$39,IF($C1055&lt;&gt;"",Master!$N$40,Master!$N$41))))</f>
        <v>起票</v>
      </c>
      <c r="O1055" s="412" t="str">
        <f>IF($N1055=Master!$N$37,MAX($S1055,$AC1055,$AI1055),"")</f>
        <v/>
      </c>
      <c r="P1055" s="413"/>
      <c r="Q1055" s="414"/>
      <c r="R1055" s="409"/>
      <c r="S1055" s="404"/>
      <c r="T1055" s="418"/>
      <c r="U1055" s="415"/>
      <c r="V1055" s="409"/>
      <c r="W1055" s="419"/>
      <c r="X1055" s="419"/>
      <c r="Y1055" s="416"/>
      <c r="Z1055" s="417"/>
      <c r="AA1055" s="418"/>
      <c r="AB1055" s="419"/>
      <c r="AC1055" s="404"/>
      <c r="AD1055" s="404"/>
      <c r="AE1055" s="420"/>
      <c r="AF1055" s="421"/>
      <c r="AG1055" s="418"/>
      <c r="AH1055" s="409"/>
      <c r="AI1055" s="404"/>
      <c r="AJ1055" s="416"/>
      <c r="AK1055" s="453"/>
      <c r="AL1055" s="422"/>
      <c r="AM1055" s="423"/>
      <c r="AO1055" s="137" t="e">
        <f t="shared" si="137"/>
        <v>#N/A</v>
      </c>
      <c r="AP1055" s="138" t="e">
        <f t="shared" si="138"/>
        <v>#N/A</v>
      </c>
      <c r="AQ1055" s="138" t="e">
        <f t="shared" si="139"/>
        <v>#N/A</v>
      </c>
      <c r="AR1055" s="138" t="e">
        <f t="shared" si="140"/>
        <v>#N/A</v>
      </c>
      <c r="AS1055" s="138" t="e">
        <f t="shared" si="141"/>
        <v>#N/A</v>
      </c>
      <c r="AT1055" s="139" t="e">
        <f t="shared" si="142"/>
        <v>#N/A</v>
      </c>
    </row>
    <row r="1056" spans="1:46" ht="54" customHeight="1">
      <c r="A1056" s="428">
        <f t="shared" si="143"/>
        <v>1048</v>
      </c>
      <c r="B1056" s="403"/>
      <c r="C1056" s="404"/>
      <c r="D1056" s="405"/>
      <c r="E1056" s="405"/>
      <c r="F1056" s="405"/>
      <c r="G1056" s="405"/>
      <c r="H1056" s="406"/>
      <c r="I1056" s="407"/>
      <c r="J1056" s="408"/>
      <c r="K1056" s="409"/>
      <c r="L1056" s="410"/>
      <c r="M1056" s="404"/>
      <c r="N1056" s="411" t="str">
        <f>IF($AI1056&lt;&gt;"",Master!$N$37,IF($AC1056&lt;&gt;"",Master!$N$38,IF($S1056&lt;&gt;"",Master!$N$39,IF($C1056&lt;&gt;"",Master!$N$40,Master!$N$41))))</f>
        <v>起票</v>
      </c>
      <c r="O1056" s="412" t="str">
        <f>IF($N1056=Master!$N$37,MAX($S1056,$AC1056,$AI1056),"")</f>
        <v/>
      </c>
      <c r="P1056" s="413"/>
      <c r="Q1056" s="414"/>
      <c r="R1056" s="409"/>
      <c r="S1056" s="404"/>
      <c r="T1056" s="418"/>
      <c r="U1056" s="415"/>
      <c r="V1056" s="409"/>
      <c r="W1056" s="419"/>
      <c r="X1056" s="419"/>
      <c r="Y1056" s="416"/>
      <c r="Z1056" s="417"/>
      <c r="AA1056" s="418"/>
      <c r="AB1056" s="419"/>
      <c r="AC1056" s="404"/>
      <c r="AD1056" s="404"/>
      <c r="AE1056" s="420"/>
      <c r="AF1056" s="421"/>
      <c r="AG1056" s="418"/>
      <c r="AH1056" s="409"/>
      <c r="AI1056" s="404"/>
      <c r="AJ1056" s="416"/>
      <c r="AK1056" s="453"/>
      <c r="AL1056" s="422"/>
      <c r="AM1056" s="423"/>
      <c r="AO1056" s="137" t="e">
        <f t="shared" si="137"/>
        <v>#N/A</v>
      </c>
      <c r="AP1056" s="138" t="e">
        <f t="shared" si="138"/>
        <v>#N/A</v>
      </c>
      <c r="AQ1056" s="138" t="e">
        <f t="shared" si="139"/>
        <v>#N/A</v>
      </c>
      <c r="AR1056" s="138" t="e">
        <f t="shared" si="140"/>
        <v>#N/A</v>
      </c>
      <c r="AS1056" s="138" t="e">
        <f t="shared" si="141"/>
        <v>#N/A</v>
      </c>
      <c r="AT1056" s="139" t="e">
        <f t="shared" si="142"/>
        <v>#N/A</v>
      </c>
    </row>
    <row r="1057" spans="1:46" ht="54" customHeight="1">
      <c r="A1057" s="428">
        <f t="shared" si="143"/>
        <v>1049</v>
      </c>
      <c r="B1057" s="294"/>
      <c r="C1057" s="201"/>
      <c r="D1057" s="290"/>
      <c r="E1057" s="301"/>
      <c r="F1057" s="301"/>
      <c r="G1057" s="290"/>
      <c r="H1057" s="291"/>
      <c r="I1057" s="292"/>
      <c r="J1057" s="61"/>
      <c r="K1057" s="57"/>
      <c r="L1057" s="303"/>
      <c r="M1057" s="201"/>
      <c r="N1057" s="84" t="str">
        <f>IF($AI1057&lt;&gt;"",Master!$N$37,IF($AC1057&lt;&gt;"",Master!$N$38,IF($S1057&lt;&gt;"",Master!$N$39,IF($C1057&lt;&gt;"",Master!$N$40,Master!$N$41))))</f>
        <v>起票</v>
      </c>
      <c r="O1057" s="202" t="str">
        <f>IF($N1057=Master!$N$37,MAX($S1057,$AC1057,$AI1057),"")</f>
        <v/>
      </c>
      <c r="P1057" s="65"/>
      <c r="Q1057" s="203"/>
      <c r="R1057" s="57"/>
      <c r="S1057" s="203"/>
      <c r="T1057" s="310"/>
      <c r="U1057" s="289"/>
      <c r="V1057" s="57"/>
      <c r="W1057" s="288"/>
      <c r="X1057" s="288"/>
      <c r="Y1057" s="296"/>
      <c r="Z1057" s="57"/>
      <c r="AA1057" s="203"/>
      <c r="AB1057" s="288"/>
      <c r="AC1057" s="201"/>
      <c r="AD1057" s="298"/>
      <c r="AE1057" s="297"/>
      <c r="AF1057" s="58"/>
      <c r="AG1057" s="204"/>
      <c r="AH1057" s="57"/>
      <c r="AI1057" s="201"/>
      <c r="AJ1057" s="287"/>
      <c r="AK1057" s="452"/>
      <c r="AL1057" s="59"/>
      <c r="AM1057" s="60"/>
      <c r="AO1057" s="137" t="e">
        <f t="shared" si="137"/>
        <v>#N/A</v>
      </c>
      <c r="AP1057" s="138" t="e">
        <f t="shared" si="138"/>
        <v>#N/A</v>
      </c>
      <c r="AQ1057" s="138" t="e">
        <f t="shared" si="139"/>
        <v>#N/A</v>
      </c>
      <c r="AR1057" s="138" t="e">
        <f t="shared" si="140"/>
        <v>#N/A</v>
      </c>
      <c r="AS1057" s="138" t="e">
        <f t="shared" si="141"/>
        <v>#N/A</v>
      </c>
      <c r="AT1057" s="139" t="e">
        <f t="shared" si="142"/>
        <v>#N/A</v>
      </c>
    </row>
    <row r="1058" spans="1:46" ht="54" customHeight="1">
      <c r="A1058" s="428">
        <f t="shared" si="143"/>
        <v>1050</v>
      </c>
      <c r="B1058" s="294"/>
      <c r="C1058" s="201"/>
      <c r="D1058" s="290"/>
      <c r="E1058" s="301"/>
      <c r="F1058" s="301"/>
      <c r="G1058" s="290"/>
      <c r="H1058" s="291"/>
      <c r="I1058" s="292"/>
      <c r="J1058" s="61"/>
      <c r="K1058" s="57"/>
      <c r="L1058" s="303"/>
      <c r="M1058" s="201"/>
      <c r="N1058" s="84" t="str">
        <f>IF($AI1058&lt;&gt;"",Master!$N$37,IF($AC1058&lt;&gt;"",Master!$N$38,IF($S1058&lt;&gt;"",Master!$N$39,IF($C1058&lt;&gt;"",Master!$N$40,Master!$N$41))))</f>
        <v>起票</v>
      </c>
      <c r="O1058" s="202" t="str">
        <f>IF($N1058=Master!$N$37,MAX($S1058,$AC1058,$AI1058),"")</f>
        <v/>
      </c>
      <c r="P1058" s="65"/>
      <c r="Q1058" s="203"/>
      <c r="R1058" s="57"/>
      <c r="S1058" s="203"/>
      <c r="T1058" s="310"/>
      <c r="U1058" s="289"/>
      <c r="V1058" s="57"/>
      <c r="W1058" s="288"/>
      <c r="X1058" s="288"/>
      <c r="Y1058" s="296"/>
      <c r="Z1058" s="57"/>
      <c r="AA1058" s="203"/>
      <c r="AB1058" s="288"/>
      <c r="AC1058" s="201"/>
      <c r="AD1058" s="298"/>
      <c r="AE1058" s="297"/>
      <c r="AF1058" s="58"/>
      <c r="AG1058" s="204"/>
      <c r="AH1058" s="57"/>
      <c r="AI1058" s="201"/>
      <c r="AJ1058" s="287"/>
      <c r="AK1058" s="452"/>
      <c r="AL1058" s="59"/>
      <c r="AM1058" s="60"/>
      <c r="AO1058" s="137" t="e">
        <f t="shared" si="137"/>
        <v>#N/A</v>
      </c>
      <c r="AP1058" s="138" t="e">
        <f t="shared" si="138"/>
        <v>#N/A</v>
      </c>
      <c r="AQ1058" s="138" t="e">
        <f t="shared" si="139"/>
        <v>#N/A</v>
      </c>
      <c r="AR1058" s="138" t="e">
        <f t="shared" si="140"/>
        <v>#N/A</v>
      </c>
      <c r="AS1058" s="138" t="e">
        <f t="shared" si="141"/>
        <v>#N/A</v>
      </c>
      <c r="AT1058" s="139" t="e">
        <f t="shared" si="142"/>
        <v>#N/A</v>
      </c>
    </row>
    <row r="1059" spans="1:46" ht="54" customHeight="1">
      <c r="A1059" s="428">
        <f t="shared" si="143"/>
        <v>1051</v>
      </c>
      <c r="B1059" s="403"/>
      <c r="C1059" s="404"/>
      <c r="D1059" s="405"/>
      <c r="E1059" s="405"/>
      <c r="F1059" s="405"/>
      <c r="G1059" s="405"/>
      <c r="H1059" s="406"/>
      <c r="I1059" s="407"/>
      <c r="J1059" s="408"/>
      <c r="K1059" s="409"/>
      <c r="L1059" s="410"/>
      <c r="M1059" s="404"/>
      <c r="N1059" s="411" t="str">
        <f>IF($AI1059&lt;&gt;"",Master!$N$37,IF($AC1059&lt;&gt;"",Master!$N$38,IF($S1059&lt;&gt;"",Master!$N$39,IF($C1059&lt;&gt;"",Master!$N$40,Master!$N$41))))</f>
        <v>起票</v>
      </c>
      <c r="O1059" s="412" t="str">
        <f>IF($N1059=Master!$N$37,MAX($S1059,$AC1059,$AI1059),"")</f>
        <v/>
      </c>
      <c r="P1059" s="413"/>
      <c r="Q1059" s="414"/>
      <c r="R1059" s="409"/>
      <c r="S1059" s="404"/>
      <c r="T1059" s="418"/>
      <c r="U1059" s="415"/>
      <c r="V1059" s="409"/>
      <c r="W1059" s="419"/>
      <c r="X1059" s="419"/>
      <c r="Y1059" s="416"/>
      <c r="Z1059" s="417"/>
      <c r="AA1059" s="418"/>
      <c r="AB1059" s="419"/>
      <c r="AC1059" s="404"/>
      <c r="AD1059" s="404"/>
      <c r="AE1059" s="420"/>
      <c r="AF1059" s="421"/>
      <c r="AG1059" s="418"/>
      <c r="AH1059" s="409"/>
      <c r="AI1059" s="404"/>
      <c r="AJ1059" s="416"/>
      <c r="AK1059" s="453"/>
      <c r="AL1059" s="422"/>
      <c r="AM1059" s="423"/>
      <c r="AO1059" s="137" t="e">
        <f t="shared" si="137"/>
        <v>#N/A</v>
      </c>
      <c r="AP1059" s="138" t="e">
        <f t="shared" si="138"/>
        <v>#N/A</v>
      </c>
      <c r="AQ1059" s="138" t="e">
        <f t="shared" si="139"/>
        <v>#N/A</v>
      </c>
      <c r="AR1059" s="138" t="e">
        <f t="shared" si="140"/>
        <v>#N/A</v>
      </c>
      <c r="AS1059" s="138" t="e">
        <f t="shared" si="141"/>
        <v>#N/A</v>
      </c>
      <c r="AT1059" s="139" t="e">
        <f t="shared" si="142"/>
        <v>#N/A</v>
      </c>
    </row>
    <row r="1060" spans="1:46" ht="54" customHeight="1">
      <c r="A1060" s="428">
        <f t="shared" si="143"/>
        <v>1052</v>
      </c>
      <c r="B1060" s="403"/>
      <c r="C1060" s="404"/>
      <c r="D1060" s="405"/>
      <c r="E1060" s="405"/>
      <c r="F1060" s="405"/>
      <c r="G1060" s="405"/>
      <c r="H1060" s="406"/>
      <c r="I1060" s="407"/>
      <c r="J1060" s="408"/>
      <c r="K1060" s="409"/>
      <c r="L1060" s="410"/>
      <c r="M1060" s="404"/>
      <c r="N1060" s="411" t="str">
        <f>IF($AI1060&lt;&gt;"",Master!$N$37,IF($AC1060&lt;&gt;"",Master!$N$38,IF($S1060&lt;&gt;"",Master!$N$39,IF($C1060&lt;&gt;"",Master!$N$40,Master!$N$41))))</f>
        <v>起票</v>
      </c>
      <c r="O1060" s="412" t="str">
        <f>IF($N1060=Master!$N$37,MAX($S1060,$AC1060,$AI1060),"")</f>
        <v/>
      </c>
      <c r="P1060" s="413"/>
      <c r="Q1060" s="414"/>
      <c r="R1060" s="409"/>
      <c r="S1060" s="404"/>
      <c r="T1060" s="418"/>
      <c r="U1060" s="415"/>
      <c r="V1060" s="409"/>
      <c r="W1060" s="419"/>
      <c r="X1060" s="419"/>
      <c r="Y1060" s="416"/>
      <c r="Z1060" s="417"/>
      <c r="AA1060" s="418"/>
      <c r="AB1060" s="419"/>
      <c r="AC1060" s="404"/>
      <c r="AD1060" s="404"/>
      <c r="AE1060" s="420"/>
      <c r="AF1060" s="421"/>
      <c r="AG1060" s="418"/>
      <c r="AH1060" s="409"/>
      <c r="AI1060" s="404"/>
      <c r="AJ1060" s="416"/>
      <c r="AK1060" s="453"/>
      <c r="AL1060" s="422"/>
      <c r="AM1060" s="423"/>
      <c r="AO1060" s="137" t="e">
        <f t="shared" si="137"/>
        <v>#N/A</v>
      </c>
      <c r="AP1060" s="138" t="e">
        <f t="shared" si="138"/>
        <v>#N/A</v>
      </c>
      <c r="AQ1060" s="138" t="e">
        <f t="shared" si="139"/>
        <v>#N/A</v>
      </c>
      <c r="AR1060" s="138" t="e">
        <f t="shared" si="140"/>
        <v>#N/A</v>
      </c>
      <c r="AS1060" s="138" t="e">
        <f t="shared" si="141"/>
        <v>#N/A</v>
      </c>
      <c r="AT1060" s="139" t="e">
        <f t="shared" si="142"/>
        <v>#N/A</v>
      </c>
    </row>
    <row r="1061" spans="1:46" ht="54" customHeight="1">
      <c r="A1061" s="428">
        <f t="shared" si="143"/>
        <v>1053</v>
      </c>
      <c r="B1061" s="403"/>
      <c r="C1061" s="404"/>
      <c r="D1061" s="405"/>
      <c r="E1061" s="405"/>
      <c r="F1061" s="405"/>
      <c r="G1061" s="405"/>
      <c r="H1061" s="406"/>
      <c r="I1061" s="407"/>
      <c r="J1061" s="408"/>
      <c r="K1061" s="409"/>
      <c r="L1061" s="410"/>
      <c r="M1061" s="404"/>
      <c r="N1061" s="411" t="str">
        <f>IF($AI1061&lt;&gt;"",Master!$N$37,IF($AC1061&lt;&gt;"",Master!$N$38,IF($S1061&lt;&gt;"",Master!$N$39,IF($C1061&lt;&gt;"",Master!$N$40,Master!$N$41))))</f>
        <v>起票</v>
      </c>
      <c r="O1061" s="412" t="str">
        <f>IF($N1061=Master!$N$37,MAX($S1061,$AC1061,$AI1061),"")</f>
        <v/>
      </c>
      <c r="P1061" s="413"/>
      <c r="Q1061" s="414"/>
      <c r="R1061" s="409"/>
      <c r="S1061" s="404"/>
      <c r="T1061" s="418"/>
      <c r="U1061" s="415"/>
      <c r="V1061" s="409"/>
      <c r="W1061" s="419"/>
      <c r="X1061" s="419"/>
      <c r="Y1061" s="416"/>
      <c r="Z1061" s="417"/>
      <c r="AA1061" s="418"/>
      <c r="AB1061" s="419"/>
      <c r="AC1061" s="404"/>
      <c r="AD1061" s="404"/>
      <c r="AE1061" s="420"/>
      <c r="AF1061" s="421"/>
      <c r="AG1061" s="418"/>
      <c r="AH1061" s="409"/>
      <c r="AI1061" s="404"/>
      <c r="AJ1061" s="416"/>
      <c r="AK1061" s="453"/>
      <c r="AL1061" s="422"/>
      <c r="AM1061" s="423"/>
      <c r="AO1061" s="137" t="e">
        <f t="shared" si="137"/>
        <v>#N/A</v>
      </c>
      <c r="AP1061" s="138" t="e">
        <f t="shared" si="138"/>
        <v>#N/A</v>
      </c>
      <c r="AQ1061" s="138" t="e">
        <f t="shared" si="139"/>
        <v>#N/A</v>
      </c>
      <c r="AR1061" s="138" t="e">
        <f t="shared" si="140"/>
        <v>#N/A</v>
      </c>
      <c r="AS1061" s="138" t="e">
        <f t="shared" si="141"/>
        <v>#N/A</v>
      </c>
      <c r="AT1061" s="139" t="e">
        <f t="shared" si="142"/>
        <v>#N/A</v>
      </c>
    </row>
    <row r="1062" spans="1:46" ht="54" customHeight="1">
      <c r="A1062" s="428">
        <f t="shared" si="143"/>
        <v>1054</v>
      </c>
      <c r="B1062" s="294"/>
      <c r="C1062" s="201"/>
      <c r="D1062" s="290"/>
      <c r="E1062" s="301"/>
      <c r="F1062" s="301"/>
      <c r="G1062" s="290"/>
      <c r="H1062" s="291"/>
      <c r="I1062" s="292"/>
      <c r="J1062" s="61"/>
      <c r="K1062" s="57"/>
      <c r="L1062" s="303"/>
      <c r="M1062" s="201"/>
      <c r="N1062" s="84" t="str">
        <f>IF($AI1062&lt;&gt;"",Master!$N$37,IF($AC1062&lt;&gt;"",Master!$N$38,IF($S1062&lt;&gt;"",Master!$N$39,IF($C1062&lt;&gt;"",Master!$N$40,Master!$N$41))))</f>
        <v>起票</v>
      </c>
      <c r="O1062" s="202" t="str">
        <f>IF($N1062=Master!$N$37,MAX($S1062,$AC1062,$AI1062),"")</f>
        <v/>
      </c>
      <c r="P1062" s="65"/>
      <c r="Q1062" s="203"/>
      <c r="R1062" s="57"/>
      <c r="S1062" s="203"/>
      <c r="T1062" s="310"/>
      <c r="U1062" s="289"/>
      <c r="V1062" s="57"/>
      <c r="W1062" s="288"/>
      <c r="X1062" s="288"/>
      <c r="Y1062" s="296"/>
      <c r="Z1062" s="57"/>
      <c r="AA1062" s="203"/>
      <c r="AB1062" s="288"/>
      <c r="AC1062" s="201"/>
      <c r="AD1062" s="298"/>
      <c r="AE1062" s="297"/>
      <c r="AF1062" s="58"/>
      <c r="AG1062" s="204"/>
      <c r="AH1062" s="57"/>
      <c r="AI1062" s="201"/>
      <c r="AJ1062" s="287"/>
      <c r="AK1062" s="452"/>
      <c r="AL1062" s="59"/>
      <c r="AM1062" s="60"/>
      <c r="AO1062" s="137" t="e">
        <f t="shared" si="137"/>
        <v>#N/A</v>
      </c>
      <c r="AP1062" s="138" t="e">
        <f t="shared" si="138"/>
        <v>#N/A</v>
      </c>
      <c r="AQ1062" s="138" t="e">
        <f t="shared" si="139"/>
        <v>#N/A</v>
      </c>
      <c r="AR1062" s="138" t="e">
        <f t="shared" si="140"/>
        <v>#N/A</v>
      </c>
      <c r="AS1062" s="138" t="e">
        <f t="shared" si="141"/>
        <v>#N/A</v>
      </c>
      <c r="AT1062" s="139" t="e">
        <f t="shared" si="142"/>
        <v>#N/A</v>
      </c>
    </row>
    <row r="1063" spans="1:46" ht="54" customHeight="1">
      <c r="A1063" s="428">
        <f t="shared" si="143"/>
        <v>1055</v>
      </c>
      <c r="B1063" s="294"/>
      <c r="C1063" s="201"/>
      <c r="D1063" s="290"/>
      <c r="E1063" s="301"/>
      <c r="F1063" s="301"/>
      <c r="G1063" s="290"/>
      <c r="H1063" s="291"/>
      <c r="I1063" s="292"/>
      <c r="J1063" s="61"/>
      <c r="K1063" s="57"/>
      <c r="L1063" s="303"/>
      <c r="M1063" s="201"/>
      <c r="N1063" s="84" t="str">
        <f>IF($AI1063&lt;&gt;"",Master!$N$37,IF($AC1063&lt;&gt;"",Master!$N$38,IF($S1063&lt;&gt;"",Master!$N$39,IF($C1063&lt;&gt;"",Master!$N$40,Master!$N$41))))</f>
        <v>起票</v>
      </c>
      <c r="O1063" s="202" t="str">
        <f>IF($N1063=Master!$N$37,MAX($S1063,$AC1063,$AI1063),"")</f>
        <v/>
      </c>
      <c r="P1063" s="65"/>
      <c r="Q1063" s="203"/>
      <c r="R1063" s="57"/>
      <c r="S1063" s="203"/>
      <c r="T1063" s="310"/>
      <c r="U1063" s="289"/>
      <c r="V1063" s="57"/>
      <c r="W1063" s="288"/>
      <c r="X1063" s="288"/>
      <c r="Y1063" s="296"/>
      <c r="Z1063" s="57"/>
      <c r="AA1063" s="203"/>
      <c r="AB1063" s="288"/>
      <c r="AC1063" s="201"/>
      <c r="AD1063" s="298"/>
      <c r="AE1063" s="297"/>
      <c r="AF1063" s="58"/>
      <c r="AG1063" s="204"/>
      <c r="AH1063" s="57"/>
      <c r="AI1063" s="201"/>
      <c r="AJ1063" s="287"/>
      <c r="AK1063" s="452"/>
      <c r="AL1063" s="59"/>
      <c r="AM1063" s="60"/>
      <c r="AO1063" s="137" t="e">
        <f t="shared" si="137"/>
        <v>#N/A</v>
      </c>
      <c r="AP1063" s="138" t="e">
        <f t="shared" si="138"/>
        <v>#N/A</v>
      </c>
      <c r="AQ1063" s="138" t="e">
        <f t="shared" si="139"/>
        <v>#N/A</v>
      </c>
      <c r="AR1063" s="138" t="e">
        <f t="shared" si="140"/>
        <v>#N/A</v>
      </c>
      <c r="AS1063" s="138" t="e">
        <f t="shared" si="141"/>
        <v>#N/A</v>
      </c>
      <c r="AT1063" s="139" t="e">
        <f t="shared" si="142"/>
        <v>#N/A</v>
      </c>
    </row>
    <row r="1064" spans="1:46" ht="54" customHeight="1">
      <c r="A1064" s="428">
        <f t="shared" si="143"/>
        <v>1056</v>
      </c>
      <c r="B1064" s="403"/>
      <c r="C1064" s="404"/>
      <c r="D1064" s="405"/>
      <c r="E1064" s="405"/>
      <c r="F1064" s="405"/>
      <c r="G1064" s="405"/>
      <c r="H1064" s="406"/>
      <c r="I1064" s="407"/>
      <c r="J1064" s="408"/>
      <c r="K1064" s="409"/>
      <c r="L1064" s="410"/>
      <c r="M1064" s="404"/>
      <c r="N1064" s="411" t="str">
        <f>IF($AI1064&lt;&gt;"",Master!$N$37,IF($AC1064&lt;&gt;"",Master!$N$38,IF($S1064&lt;&gt;"",Master!$N$39,IF($C1064&lt;&gt;"",Master!$N$40,Master!$N$41))))</f>
        <v>起票</v>
      </c>
      <c r="O1064" s="412" t="str">
        <f>IF($N1064=Master!$N$37,MAX($S1064,$AC1064,$AI1064),"")</f>
        <v/>
      </c>
      <c r="P1064" s="413"/>
      <c r="Q1064" s="414"/>
      <c r="R1064" s="409"/>
      <c r="S1064" s="404"/>
      <c r="T1064" s="418"/>
      <c r="U1064" s="415"/>
      <c r="V1064" s="409"/>
      <c r="W1064" s="419"/>
      <c r="X1064" s="419"/>
      <c r="Y1064" s="416"/>
      <c r="Z1064" s="417"/>
      <c r="AA1064" s="418"/>
      <c r="AB1064" s="419"/>
      <c r="AC1064" s="404"/>
      <c r="AD1064" s="404"/>
      <c r="AE1064" s="420"/>
      <c r="AF1064" s="421"/>
      <c r="AG1064" s="418"/>
      <c r="AH1064" s="409"/>
      <c r="AI1064" s="404"/>
      <c r="AJ1064" s="416"/>
      <c r="AK1064" s="453"/>
      <c r="AL1064" s="422"/>
      <c r="AM1064" s="423"/>
      <c r="AO1064" s="137" t="e">
        <f t="shared" si="137"/>
        <v>#N/A</v>
      </c>
      <c r="AP1064" s="138" t="e">
        <f t="shared" si="138"/>
        <v>#N/A</v>
      </c>
      <c r="AQ1064" s="138" t="e">
        <f t="shared" si="139"/>
        <v>#N/A</v>
      </c>
      <c r="AR1064" s="138" t="e">
        <f t="shared" si="140"/>
        <v>#N/A</v>
      </c>
      <c r="AS1064" s="138" t="e">
        <f t="shared" si="141"/>
        <v>#N/A</v>
      </c>
      <c r="AT1064" s="139" t="e">
        <f t="shared" si="142"/>
        <v>#N/A</v>
      </c>
    </row>
    <row r="1065" spans="1:46" ht="54" customHeight="1">
      <c r="A1065" s="428">
        <f t="shared" si="143"/>
        <v>1057</v>
      </c>
      <c r="B1065" s="403"/>
      <c r="C1065" s="404"/>
      <c r="D1065" s="405"/>
      <c r="E1065" s="405"/>
      <c r="F1065" s="405"/>
      <c r="G1065" s="405"/>
      <c r="H1065" s="406"/>
      <c r="I1065" s="407"/>
      <c r="J1065" s="408"/>
      <c r="K1065" s="409"/>
      <c r="L1065" s="410"/>
      <c r="M1065" s="404"/>
      <c r="N1065" s="411" t="str">
        <f>IF($AI1065&lt;&gt;"",Master!$N$37,IF($AC1065&lt;&gt;"",Master!$N$38,IF($S1065&lt;&gt;"",Master!$N$39,IF($C1065&lt;&gt;"",Master!$N$40,Master!$N$41))))</f>
        <v>起票</v>
      </c>
      <c r="O1065" s="412" t="str">
        <f>IF($N1065=Master!$N$37,MAX($S1065,$AC1065,$AI1065),"")</f>
        <v/>
      </c>
      <c r="P1065" s="413"/>
      <c r="Q1065" s="414"/>
      <c r="R1065" s="409"/>
      <c r="S1065" s="404"/>
      <c r="T1065" s="418"/>
      <c r="U1065" s="415"/>
      <c r="V1065" s="409"/>
      <c r="W1065" s="419"/>
      <c r="X1065" s="419"/>
      <c r="Y1065" s="416"/>
      <c r="Z1065" s="417"/>
      <c r="AA1065" s="418"/>
      <c r="AB1065" s="419"/>
      <c r="AC1065" s="404"/>
      <c r="AD1065" s="404"/>
      <c r="AE1065" s="420"/>
      <c r="AF1065" s="421"/>
      <c r="AG1065" s="418"/>
      <c r="AH1065" s="409"/>
      <c r="AI1065" s="404"/>
      <c r="AJ1065" s="416"/>
      <c r="AK1065" s="453"/>
      <c r="AL1065" s="422"/>
      <c r="AM1065" s="423"/>
      <c r="AO1065" s="137" t="e">
        <f t="shared" si="137"/>
        <v>#N/A</v>
      </c>
      <c r="AP1065" s="138" t="e">
        <f t="shared" si="138"/>
        <v>#N/A</v>
      </c>
      <c r="AQ1065" s="138" t="e">
        <f t="shared" si="139"/>
        <v>#N/A</v>
      </c>
      <c r="AR1065" s="138" t="e">
        <f t="shared" si="140"/>
        <v>#N/A</v>
      </c>
      <c r="AS1065" s="138" t="e">
        <f t="shared" si="141"/>
        <v>#N/A</v>
      </c>
      <c r="AT1065" s="139" t="e">
        <f t="shared" si="142"/>
        <v>#N/A</v>
      </c>
    </row>
    <row r="1066" spans="1:46" ht="54" customHeight="1">
      <c r="A1066" s="428">
        <f t="shared" si="143"/>
        <v>1058</v>
      </c>
      <c r="B1066" s="403"/>
      <c r="C1066" s="404"/>
      <c r="D1066" s="405"/>
      <c r="E1066" s="405"/>
      <c r="F1066" s="405"/>
      <c r="G1066" s="405"/>
      <c r="H1066" s="406"/>
      <c r="I1066" s="407"/>
      <c r="J1066" s="408"/>
      <c r="K1066" s="409"/>
      <c r="L1066" s="410"/>
      <c r="M1066" s="404"/>
      <c r="N1066" s="411" t="str">
        <f>IF($AI1066&lt;&gt;"",Master!$N$37,IF($AC1066&lt;&gt;"",Master!$N$38,IF($S1066&lt;&gt;"",Master!$N$39,IF($C1066&lt;&gt;"",Master!$N$40,Master!$N$41))))</f>
        <v>起票</v>
      </c>
      <c r="O1066" s="412" t="str">
        <f>IF($N1066=Master!$N$37,MAX($S1066,$AC1066,$AI1066),"")</f>
        <v/>
      </c>
      <c r="P1066" s="413"/>
      <c r="Q1066" s="414"/>
      <c r="R1066" s="409"/>
      <c r="S1066" s="404"/>
      <c r="T1066" s="418"/>
      <c r="U1066" s="415"/>
      <c r="V1066" s="409"/>
      <c r="W1066" s="419"/>
      <c r="X1066" s="419"/>
      <c r="Y1066" s="416"/>
      <c r="Z1066" s="417"/>
      <c r="AA1066" s="418"/>
      <c r="AB1066" s="419"/>
      <c r="AC1066" s="404"/>
      <c r="AD1066" s="404"/>
      <c r="AE1066" s="420"/>
      <c r="AF1066" s="421"/>
      <c r="AG1066" s="418"/>
      <c r="AH1066" s="409"/>
      <c r="AI1066" s="404"/>
      <c r="AJ1066" s="416"/>
      <c r="AK1066" s="453"/>
      <c r="AL1066" s="422"/>
      <c r="AM1066" s="423"/>
      <c r="AO1066" s="137" t="e">
        <f t="shared" si="137"/>
        <v>#N/A</v>
      </c>
      <c r="AP1066" s="138" t="e">
        <f t="shared" si="138"/>
        <v>#N/A</v>
      </c>
      <c r="AQ1066" s="138" t="e">
        <f t="shared" si="139"/>
        <v>#N/A</v>
      </c>
      <c r="AR1066" s="138" t="e">
        <f t="shared" si="140"/>
        <v>#N/A</v>
      </c>
      <c r="AS1066" s="138" t="e">
        <f t="shared" si="141"/>
        <v>#N/A</v>
      </c>
      <c r="AT1066" s="139" t="e">
        <f t="shared" si="142"/>
        <v>#N/A</v>
      </c>
    </row>
    <row r="1067" spans="1:46" ht="54" customHeight="1">
      <c r="A1067" s="428">
        <f t="shared" si="143"/>
        <v>1059</v>
      </c>
      <c r="B1067" s="294"/>
      <c r="C1067" s="201"/>
      <c r="D1067" s="290"/>
      <c r="E1067" s="301"/>
      <c r="F1067" s="301"/>
      <c r="G1067" s="290"/>
      <c r="H1067" s="291"/>
      <c r="I1067" s="292"/>
      <c r="J1067" s="61"/>
      <c r="K1067" s="57"/>
      <c r="L1067" s="303"/>
      <c r="M1067" s="201"/>
      <c r="N1067" s="84" t="str">
        <f>IF($AI1067&lt;&gt;"",Master!$N$37,IF($AC1067&lt;&gt;"",Master!$N$38,IF($S1067&lt;&gt;"",Master!$N$39,IF($C1067&lt;&gt;"",Master!$N$40,Master!$N$41))))</f>
        <v>起票</v>
      </c>
      <c r="O1067" s="202" t="str">
        <f>IF($N1067=Master!$N$37,MAX($S1067,$AC1067,$AI1067),"")</f>
        <v/>
      </c>
      <c r="P1067" s="65"/>
      <c r="Q1067" s="203"/>
      <c r="R1067" s="57"/>
      <c r="S1067" s="203"/>
      <c r="T1067" s="310"/>
      <c r="U1067" s="289"/>
      <c r="V1067" s="57"/>
      <c r="W1067" s="288"/>
      <c r="X1067" s="288"/>
      <c r="Y1067" s="296"/>
      <c r="Z1067" s="57"/>
      <c r="AA1067" s="203"/>
      <c r="AB1067" s="288"/>
      <c r="AC1067" s="201"/>
      <c r="AD1067" s="298"/>
      <c r="AE1067" s="297"/>
      <c r="AF1067" s="58"/>
      <c r="AG1067" s="204"/>
      <c r="AH1067" s="57"/>
      <c r="AI1067" s="201"/>
      <c r="AJ1067" s="287"/>
      <c r="AK1067" s="452"/>
      <c r="AL1067" s="59"/>
      <c r="AM1067" s="60"/>
      <c r="AO1067" s="137" t="e">
        <f t="shared" si="137"/>
        <v>#N/A</v>
      </c>
      <c r="AP1067" s="138" t="e">
        <f t="shared" si="138"/>
        <v>#N/A</v>
      </c>
      <c r="AQ1067" s="138" t="e">
        <f t="shared" si="139"/>
        <v>#N/A</v>
      </c>
      <c r="AR1067" s="138" t="e">
        <f t="shared" si="140"/>
        <v>#N/A</v>
      </c>
      <c r="AS1067" s="138" t="e">
        <f t="shared" si="141"/>
        <v>#N/A</v>
      </c>
      <c r="AT1067" s="139" t="e">
        <f t="shared" si="142"/>
        <v>#N/A</v>
      </c>
    </row>
    <row r="1068" spans="1:46" ht="54" customHeight="1">
      <c r="A1068" s="428">
        <f t="shared" si="143"/>
        <v>1060</v>
      </c>
      <c r="B1068" s="294"/>
      <c r="C1068" s="201"/>
      <c r="D1068" s="290"/>
      <c r="E1068" s="301"/>
      <c r="F1068" s="301"/>
      <c r="G1068" s="290"/>
      <c r="H1068" s="291"/>
      <c r="I1068" s="292"/>
      <c r="J1068" s="61"/>
      <c r="K1068" s="57"/>
      <c r="L1068" s="303"/>
      <c r="M1068" s="201"/>
      <c r="N1068" s="84" t="str">
        <f>IF($AI1068&lt;&gt;"",Master!$N$37,IF($AC1068&lt;&gt;"",Master!$N$38,IF($S1068&lt;&gt;"",Master!$N$39,IF($C1068&lt;&gt;"",Master!$N$40,Master!$N$41))))</f>
        <v>起票</v>
      </c>
      <c r="O1068" s="202" t="str">
        <f>IF($N1068=Master!$N$37,MAX($S1068,$AC1068,$AI1068),"")</f>
        <v/>
      </c>
      <c r="P1068" s="65"/>
      <c r="Q1068" s="203"/>
      <c r="R1068" s="57"/>
      <c r="S1068" s="203"/>
      <c r="T1068" s="310"/>
      <c r="U1068" s="289"/>
      <c r="V1068" s="57"/>
      <c r="W1068" s="288"/>
      <c r="X1068" s="288"/>
      <c r="Y1068" s="296"/>
      <c r="Z1068" s="57"/>
      <c r="AA1068" s="203"/>
      <c r="AB1068" s="288"/>
      <c r="AC1068" s="201"/>
      <c r="AD1068" s="298"/>
      <c r="AE1068" s="297"/>
      <c r="AF1068" s="58"/>
      <c r="AG1068" s="204"/>
      <c r="AH1068" s="57"/>
      <c r="AI1068" s="201"/>
      <c r="AJ1068" s="287"/>
      <c r="AK1068" s="452"/>
      <c r="AL1068" s="59"/>
      <c r="AM1068" s="60"/>
      <c r="AO1068" s="137" t="e">
        <f t="shared" si="137"/>
        <v>#N/A</v>
      </c>
      <c r="AP1068" s="138" t="e">
        <f t="shared" si="138"/>
        <v>#N/A</v>
      </c>
      <c r="AQ1068" s="138" t="e">
        <f t="shared" si="139"/>
        <v>#N/A</v>
      </c>
      <c r="AR1068" s="138" t="e">
        <f t="shared" si="140"/>
        <v>#N/A</v>
      </c>
      <c r="AS1068" s="138" t="e">
        <f t="shared" si="141"/>
        <v>#N/A</v>
      </c>
      <c r="AT1068" s="139" t="e">
        <f t="shared" si="142"/>
        <v>#N/A</v>
      </c>
    </row>
    <row r="1069" spans="1:46" ht="54" customHeight="1">
      <c r="A1069" s="428">
        <f t="shared" si="143"/>
        <v>1061</v>
      </c>
      <c r="B1069" s="403"/>
      <c r="C1069" s="404"/>
      <c r="D1069" s="405"/>
      <c r="E1069" s="405"/>
      <c r="F1069" s="405"/>
      <c r="G1069" s="405"/>
      <c r="H1069" s="406"/>
      <c r="I1069" s="407"/>
      <c r="J1069" s="408"/>
      <c r="K1069" s="409"/>
      <c r="L1069" s="410"/>
      <c r="M1069" s="404"/>
      <c r="N1069" s="411" t="str">
        <f>IF($AI1069&lt;&gt;"",Master!$N$37,IF($AC1069&lt;&gt;"",Master!$N$38,IF($S1069&lt;&gt;"",Master!$N$39,IF($C1069&lt;&gt;"",Master!$N$40,Master!$N$41))))</f>
        <v>起票</v>
      </c>
      <c r="O1069" s="412" t="str">
        <f>IF($N1069=Master!$N$37,MAX($S1069,$AC1069,$AI1069),"")</f>
        <v/>
      </c>
      <c r="P1069" s="413"/>
      <c r="Q1069" s="414"/>
      <c r="R1069" s="409"/>
      <c r="S1069" s="404"/>
      <c r="T1069" s="418"/>
      <c r="U1069" s="415"/>
      <c r="V1069" s="409"/>
      <c r="W1069" s="419"/>
      <c r="X1069" s="419"/>
      <c r="Y1069" s="416"/>
      <c r="Z1069" s="417"/>
      <c r="AA1069" s="418"/>
      <c r="AB1069" s="419"/>
      <c r="AC1069" s="404"/>
      <c r="AD1069" s="404"/>
      <c r="AE1069" s="420"/>
      <c r="AF1069" s="421"/>
      <c r="AG1069" s="418"/>
      <c r="AH1069" s="409"/>
      <c r="AI1069" s="404"/>
      <c r="AJ1069" s="416"/>
      <c r="AK1069" s="453"/>
      <c r="AL1069" s="422"/>
      <c r="AM1069" s="423"/>
      <c r="AO1069" s="137" t="e">
        <f t="shared" si="137"/>
        <v>#N/A</v>
      </c>
      <c r="AP1069" s="138" t="e">
        <f t="shared" si="138"/>
        <v>#N/A</v>
      </c>
      <c r="AQ1069" s="138" t="e">
        <f t="shared" si="139"/>
        <v>#N/A</v>
      </c>
      <c r="AR1069" s="138" t="e">
        <f t="shared" si="140"/>
        <v>#N/A</v>
      </c>
      <c r="AS1069" s="138" t="e">
        <f t="shared" si="141"/>
        <v>#N/A</v>
      </c>
      <c r="AT1069" s="139" t="e">
        <f t="shared" si="142"/>
        <v>#N/A</v>
      </c>
    </row>
    <row r="1070" spans="1:46" ht="54" customHeight="1">
      <c r="A1070" s="428">
        <f t="shared" si="143"/>
        <v>1062</v>
      </c>
      <c r="B1070" s="403"/>
      <c r="C1070" s="404"/>
      <c r="D1070" s="405"/>
      <c r="E1070" s="405"/>
      <c r="F1070" s="405"/>
      <c r="G1070" s="405"/>
      <c r="H1070" s="406"/>
      <c r="I1070" s="407"/>
      <c r="J1070" s="408"/>
      <c r="K1070" s="409"/>
      <c r="L1070" s="410"/>
      <c r="M1070" s="404"/>
      <c r="N1070" s="411" t="str">
        <f>IF($AI1070&lt;&gt;"",Master!$N$37,IF($AC1070&lt;&gt;"",Master!$N$38,IF($S1070&lt;&gt;"",Master!$N$39,IF($C1070&lt;&gt;"",Master!$N$40,Master!$N$41))))</f>
        <v>起票</v>
      </c>
      <c r="O1070" s="412" t="str">
        <f>IF($N1070=Master!$N$37,MAX($S1070,$AC1070,$AI1070),"")</f>
        <v/>
      </c>
      <c r="P1070" s="413"/>
      <c r="Q1070" s="414"/>
      <c r="R1070" s="409"/>
      <c r="S1070" s="404"/>
      <c r="T1070" s="418"/>
      <c r="U1070" s="415"/>
      <c r="V1070" s="409"/>
      <c r="W1070" s="419"/>
      <c r="X1070" s="419"/>
      <c r="Y1070" s="416"/>
      <c r="Z1070" s="417"/>
      <c r="AA1070" s="418"/>
      <c r="AB1070" s="419"/>
      <c r="AC1070" s="404"/>
      <c r="AD1070" s="404"/>
      <c r="AE1070" s="420"/>
      <c r="AF1070" s="421"/>
      <c r="AG1070" s="418"/>
      <c r="AH1070" s="409"/>
      <c r="AI1070" s="404"/>
      <c r="AJ1070" s="416"/>
      <c r="AK1070" s="453"/>
      <c r="AL1070" s="422"/>
      <c r="AM1070" s="423"/>
      <c r="AO1070" s="137" t="e">
        <f t="shared" si="137"/>
        <v>#N/A</v>
      </c>
      <c r="AP1070" s="138" t="e">
        <f t="shared" si="138"/>
        <v>#N/A</v>
      </c>
      <c r="AQ1070" s="138" t="e">
        <f t="shared" si="139"/>
        <v>#N/A</v>
      </c>
      <c r="AR1070" s="138" t="e">
        <f t="shared" si="140"/>
        <v>#N/A</v>
      </c>
      <c r="AS1070" s="138" t="e">
        <f t="shared" si="141"/>
        <v>#N/A</v>
      </c>
      <c r="AT1070" s="139" t="e">
        <f t="shared" si="142"/>
        <v>#N/A</v>
      </c>
    </row>
    <row r="1071" spans="1:46" ht="54" customHeight="1">
      <c r="A1071" s="428">
        <f t="shared" si="143"/>
        <v>1063</v>
      </c>
      <c r="B1071" s="403"/>
      <c r="C1071" s="404"/>
      <c r="D1071" s="405"/>
      <c r="E1071" s="405"/>
      <c r="F1071" s="405"/>
      <c r="G1071" s="405"/>
      <c r="H1071" s="406"/>
      <c r="I1071" s="407"/>
      <c r="J1071" s="408"/>
      <c r="K1071" s="409"/>
      <c r="L1071" s="410"/>
      <c r="M1071" s="404"/>
      <c r="N1071" s="411" t="str">
        <f>IF($AI1071&lt;&gt;"",Master!$N$37,IF($AC1071&lt;&gt;"",Master!$N$38,IF($S1071&lt;&gt;"",Master!$N$39,IF($C1071&lt;&gt;"",Master!$N$40,Master!$N$41))))</f>
        <v>起票</v>
      </c>
      <c r="O1071" s="412" t="str">
        <f>IF($N1071=Master!$N$37,MAX($S1071,$AC1071,$AI1071),"")</f>
        <v/>
      </c>
      <c r="P1071" s="413"/>
      <c r="Q1071" s="414"/>
      <c r="R1071" s="409"/>
      <c r="S1071" s="404"/>
      <c r="T1071" s="418"/>
      <c r="U1071" s="415"/>
      <c r="V1071" s="409"/>
      <c r="W1071" s="419"/>
      <c r="X1071" s="419"/>
      <c r="Y1071" s="416"/>
      <c r="Z1071" s="417"/>
      <c r="AA1071" s="418"/>
      <c r="AB1071" s="419"/>
      <c r="AC1071" s="404"/>
      <c r="AD1071" s="404"/>
      <c r="AE1071" s="420"/>
      <c r="AF1071" s="421"/>
      <c r="AG1071" s="418"/>
      <c r="AH1071" s="409"/>
      <c r="AI1071" s="404"/>
      <c r="AJ1071" s="416"/>
      <c r="AK1071" s="453"/>
      <c r="AL1071" s="422"/>
      <c r="AM1071" s="423"/>
      <c r="AO1071" s="137" t="e">
        <f t="shared" si="137"/>
        <v>#N/A</v>
      </c>
      <c r="AP1071" s="138" t="e">
        <f t="shared" si="138"/>
        <v>#N/A</v>
      </c>
      <c r="AQ1071" s="138" t="e">
        <f t="shared" si="139"/>
        <v>#N/A</v>
      </c>
      <c r="AR1071" s="138" t="e">
        <f t="shared" si="140"/>
        <v>#N/A</v>
      </c>
      <c r="AS1071" s="138" t="e">
        <f t="shared" si="141"/>
        <v>#N/A</v>
      </c>
      <c r="AT1071" s="139" t="e">
        <f t="shared" si="142"/>
        <v>#N/A</v>
      </c>
    </row>
    <row r="1072" spans="1:46" ht="54" customHeight="1">
      <c r="A1072" s="428">
        <f t="shared" si="143"/>
        <v>1064</v>
      </c>
      <c r="B1072" s="294"/>
      <c r="C1072" s="201"/>
      <c r="D1072" s="290"/>
      <c r="E1072" s="301"/>
      <c r="F1072" s="301"/>
      <c r="G1072" s="290"/>
      <c r="H1072" s="291"/>
      <c r="I1072" s="292"/>
      <c r="J1072" s="61"/>
      <c r="K1072" s="57"/>
      <c r="L1072" s="303"/>
      <c r="M1072" s="201"/>
      <c r="N1072" s="84" t="str">
        <f>IF($AI1072&lt;&gt;"",Master!$N$37,IF($AC1072&lt;&gt;"",Master!$N$38,IF($S1072&lt;&gt;"",Master!$N$39,IF($C1072&lt;&gt;"",Master!$N$40,Master!$N$41))))</f>
        <v>起票</v>
      </c>
      <c r="O1072" s="202" t="str">
        <f>IF($N1072=Master!$N$37,MAX($S1072,$AC1072,$AI1072),"")</f>
        <v/>
      </c>
      <c r="P1072" s="65"/>
      <c r="Q1072" s="203"/>
      <c r="R1072" s="57"/>
      <c r="S1072" s="203"/>
      <c r="T1072" s="310"/>
      <c r="U1072" s="289"/>
      <c r="V1072" s="57"/>
      <c r="W1072" s="288"/>
      <c r="X1072" s="288"/>
      <c r="Y1072" s="296"/>
      <c r="Z1072" s="57"/>
      <c r="AA1072" s="203"/>
      <c r="AB1072" s="288"/>
      <c r="AC1072" s="201"/>
      <c r="AD1072" s="298"/>
      <c r="AE1072" s="297"/>
      <c r="AF1072" s="58"/>
      <c r="AG1072" s="204"/>
      <c r="AH1072" s="57"/>
      <c r="AI1072" s="201"/>
      <c r="AJ1072" s="287"/>
      <c r="AK1072" s="452"/>
      <c r="AL1072" s="59"/>
      <c r="AM1072" s="60"/>
      <c r="AO1072" s="137" t="e">
        <f t="shared" si="137"/>
        <v>#N/A</v>
      </c>
      <c r="AP1072" s="138" t="e">
        <f t="shared" si="138"/>
        <v>#N/A</v>
      </c>
      <c r="AQ1072" s="138" t="e">
        <f t="shared" si="139"/>
        <v>#N/A</v>
      </c>
      <c r="AR1072" s="138" t="e">
        <f t="shared" si="140"/>
        <v>#N/A</v>
      </c>
      <c r="AS1072" s="138" t="e">
        <f t="shared" si="141"/>
        <v>#N/A</v>
      </c>
      <c r="AT1072" s="139" t="e">
        <f t="shared" si="142"/>
        <v>#N/A</v>
      </c>
    </row>
    <row r="1073" spans="1:46" ht="54" customHeight="1">
      <c r="A1073" s="428">
        <f t="shared" si="143"/>
        <v>1065</v>
      </c>
      <c r="B1073" s="294"/>
      <c r="C1073" s="201"/>
      <c r="D1073" s="290"/>
      <c r="E1073" s="301"/>
      <c r="F1073" s="301"/>
      <c r="G1073" s="290"/>
      <c r="H1073" s="291"/>
      <c r="I1073" s="292"/>
      <c r="J1073" s="61"/>
      <c r="K1073" s="57"/>
      <c r="L1073" s="303"/>
      <c r="M1073" s="201"/>
      <c r="N1073" s="84" t="str">
        <f>IF($AI1073&lt;&gt;"",Master!$N$37,IF($AC1073&lt;&gt;"",Master!$N$38,IF($S1073&lt;&gt;"",Master!$N$39,IF($C1073&lt;&gt;"",Master!$N$40,Master!$N$41))))</f>
        <v>起票</v>
      </c>
      <c r="O1073" s="202" t="str">
        <f>IF($N1073=Master!$N$37,MAX($S1073,$AC1073,$AI1073),"")</f>
        <v/>
      </c>
      <c r="P1073" s="65"/>
      <c r="Q1073" s="203"/>
      <c r="R1073" s="57"/>
      <c r="S1073" s="203"/>
      <c r="T1073" s="310"/>
      <c r="U1073" s="289"/>
      <c r="V1073" s="57"/>
      <c r="W1073" s="288"/>
      <c r="X1073" s="288"/>
      <c r="Y1073" s="296"/>
      <c r="Z1073" s="57"/>
      <c r="AA1073" s="203"/>
      <c r="AB1073" s="288"/>
      <c r="AC1073" s="201"/>
      <c r="AD1073" s="298"/>
      <c r="AE1073" s="297"/>
      <c r="AF1073" s="58"/>
      <c r="AG1073" s="204"/>
      <c r="AH1073" s="57"/>
      <c r="AI1073" s="201"/>
      <c r="AJ1073" s="287"/>
      <c r="AK1073" s="452"/>
      <c r="AL1073" s="59"/>
      <c r="AM1073" s="60"/>
      <c r="AO1073" s="137" t="e">
        <f t="shared" si="137"/>
        <v>#N/A</v>
      </c>
      <c r="AP1073" s="138" t="e">
        <f t="shared" si="138"/>
        <v>#N/A</v>
      </c>
      <c r="AQ1073" s="138" t="e">
        <f t="shared" si="139"/>
        <v>#N/A</v>
      </c>
      <c r="AR1073" s="138" t="e">
        <f t="shared" si="140"/>
        <v>#N/A</v>
      </c>
      <c r="AS1073" s="138" t="e">
        <f t="shared" si="141"/>
        <v>#N/A</v>
      </c>
      <c r="AT1073" s="139" t="e">
        <f t="shared" si="142"/>
        <v>#N/A</v>
      </c>
    </row>
    <row r="1074" spans="1:46" ht="54" customHeight="1">
      <c r="A1074" s="428">
        <f t="shared" si="143"/>
        <v>1066</v>
      </c>
      <c r="B1074" s="403"/>
      <c r="C1074" s="404"/>
      <c r="D1074" s="405"/>
      <c r="E1074" s="405"/>
      <c r="F1074" s="405"/>
      <c r="G1074" s="405"/>
      <c r="H1074" s="406"/>
      <c r="I1074" s="407"/>
      <c r="J1074" s="408"/>
      <c r="K1074" s="409"/>
      <c r="L1074" s="410"/>
      <c r="M1074" s="404"/>
      <c r="N1074" s="411" t="str">
        <f>IF($AI1074&lt;&gt;"",Master!$N$37,IF($AC1074&lt;&gt;"",Master!$N$38,IF($S1074&lt;&gt;"",Master!$N$39,IF($C1074&lt;&gt;"",Master!$N$40,Master!$N$41))))</f>
        <v>起票</v>
      </c>
      <c r="O1074" s="412" t="str">
        <f>IF($N1074=Master!$N$37,MAX($S1074,$AC1074,$AI1074),"")</f>
        <v/>
      </c>
      <c r="P1074" s="413"/>
      <c r="Q1074" s="414"/>
      <c r="R1074" s="409"/>
      <c r="S1074" s="404"/>
      <c r="T1074" s="418"/>
      <c r="U1074" s="415"/>
      <c r="V1074" s="409"/>
      <c r="W1074" s="419"/>
      <c r="X1074" s="419"/>
      <c r="Y1074" s="416"/>
      <c r="Z1074" s="417"/>
      <c r="AA1074" s="418"/>
      <c r="AB1074" s="419"/>
      <c r="AC1074" s="404"/>
      <c r="AD1074" s="404"/>
      <c r="AE1074" s="420"/>
      <c r="AF1074" s="421"/>
      <c r="AG1074" s="418"/>
      <c r="AH1074" s="409"/>
      <c r="AI1074" s="404"/>
      <c r="AJ1074" s="416"/>
      <c r="AK1074" s="453"/>
      <c r="AL1074" s="422"/>
      <c r="AM1074" s="423"/>
      <c r="AO1074" s="137" t="e">
        <f t="shared" si="137"/>
        <v>#N/A</v>
      </c>
      <c r="AP1074" s="138" t="e">
        <f t="shared" si="138"/>
        <v>#N/A</v>
      </c>
      <c r="AQ1074" s="138" t="e">
        <f t="shared" si="139"/>
        <v>#N/A</v>
      </c>
      <c r="AR1074" s="138" t="e">
        <f t="shared" si="140"/>
        <v>#N/A</v>
      </c>
      <c r="AS1074" s="138" t="e">
        <f t="shared" si="141"/>
        <v>#N/A</v>
      </c>
      <c r="AT1074" s="139" t="e">
        <f t="shared" si="142"/>
        <v>#N/A</v>
      </c>
    </row>
    <row r="1075" spans="1:46" ht="54" customHeight="1">
      <c r="A1075" s="428">
        <f t="shared" si="143"/>
        <v>1067</v>
      </c>
      <c r="B1075" s="403"/>
      <c r="C1075" s="404"/>
      <c r="D1075" s="405"/>
      <c r="E1075" s="405"/>
      <c r="F1075" s="405"/>
      <c r="G1075" s="405"/>
      <c r="H1075" s="406"/>
      <c r="I1075" s="407"/>
      <c r="J1075" s="408"/>
      <c r="K1075" s="409"/>
      <c r="L1075" s="410"/>
      <c r="M1075" s="404"/>
      <c r="N1075" s="411" t="str">
        <f>IF($AI1075&lt;&gt;"",Master!$N$37,IF($AC1075&lt;&gt;"",Master!$N$38,IF($S1075&lt;&gt;"",Master!$N$39,IF($C1075&lt;&gt;"",Master!$N$40,Master!$N$41))))</f>
        <v>起票</v>
      </c>
      <c r="O1075" s="412" t="str">
        <f>IF($N1075=Master!$N$37,MAX($S1075,$AC1075,$AI1075),"")</f>
        <v/>
      </c>
      <c r="P1075" s="413"/>
      <c r="Q1075" s="414"/>
      <c r="R1075" s="409"/>
      <c r="S1075" s="404"/>
      <c r="T1075" s="418"/>
      <c r="U1075" s="415"/>
      <c r="V1075" s="409"/>
      <c r="W1075" s="419"/>
      <c r="X1075" s="419"/>
      <c r="Y1075" s="416"/>
      <c r="Z1075" s="417"/>
      <c r="AA1075" s="418"/>
      <c r="AB1075" s="419"/>
      <c r="AC1075" s="404"/>
      <c r="AD1075" s="404"/>
      <c r="AE1075" s="420"/>
      <c r="AF1075" s="421"/>
      <c r="AG1075" s="418"/>
      <c r="AH1075" s="409"/>
      <c r="AI1075" s="404"/>
      <c r="AJ1075" s="416"/>
      <c r="AK1075" s="453"/>
      <c r="AL1075" s="422"/>
      <c r="AM1075" s="423"/>
      <c r="AO1075" s="137" t="e">
        <f t="shared" si="137"/>
        <v>#N/A</v>
      </c>
      <c r="AP1075" s="138" t="e">
        <f t="shared" si="138"/>
        <v>#N/A</v>
      </c>
      <c r="AQ1075" s="138" t="e">
        <f t="shared" si="139"/>
        <v>#N/A</v>
      </c>
      <c r="AR1075" s="138" t="e">
        <f t="shared" si="140"/>
        <v>#N/A</v>
      </c>
      <c r="AS1075" s="138" t="e">
        <f t="shared" si="141"/>
        <v>#N/A</v>
      </c>
      <c r="AT1075" s="139" t="e">
        <f t="shared" si="142"/>
        <v>#N/A</v>
      </c>
    </row>
    <row r="1076" spans="1:46" ht="54" customHeight="1">
      <c r="A1076" s="428">
        <f t="shared" si="143"/>
        <v>1068</v>
      </c>
      <c r="B1076" s="403"/>
      <c r="C1076" s="404"/>
      <c r="D1076" s="405"/>
      <c r="E1076" s="405"/>
      <c r="F1076" s="405"/>
      <c r="G1076" s="405"/>
      <c r="H1076" s="406"/>
      <c r="I1076" s="407"/>
      <c r="J1076" s="408"/>
      <c r="K1076" s="409"/>
      <c r="L1076" s="410"/>
      <c r="M1076" s="404"/>
      <c r="N1076" s="411" t="str">
        <f>IF($AI1076&lt;&gt;"",Master!$N$37,IF($AC1076&lt;&gt;"",Master!$N$38,IF($S1076&lt;&gt;"",Master!$N$39,IF($C1076&lt;&gt;"",Master!$N$40,Master!$N$41))))</f>
        <v>起票</v>
      </c>
      <c r="O1076" s="412" t="str">
        <f>IF($N1076=Master!$N$37,MAX($S1076,$AC1076,$AI1076),"")</f>
        <v/>
      </c>
      <c r="P1076" s="413"/>
      <c r="Q1076" s="414"/>
      <c r="R1076" s="409"/>
      <c r="S1076" s="404"/>
      <c r="T1076" s="418"/>
      <c r="U1076" s="415"/>
      <c r="V1076" s="409"/>
      <c r="W1076" s="419"/>
      <c r="X1076" s="419"/>
      <c r="Y1076" s="416"/>
      <c r="Z1076" s="417"/>
      <c r="AA1076" s="418"/>
      <c r="AB1076" s="419"/>
      <c r="AC1076" s="404"/>
      <c r="AD1076" s="404"/>
      <c r="AE1076" s="420"/>
      <c r="AF1076" s="421"/>
      <c r="AG1076" s="418"/>
      <c r="AH1076" s="409"/>
      <c r="AI1076" s="404"/>
      <c r="AJ1076" s="416"/>
      <c r="AK1076" s="453"/>
      <c r="AL1076" s="422"/>
      <c r="AM1076" s="423"/>
      <c r="AO1076" s="137" t="e">
        <f t="shared" si="137"/>
        <v>#N/A</v>
      </c>
      <c r="AP1076" s="138" t="e">
        <f t="shared" si="138"/>
        <v>#N/A</v>
      </c>
      <c r="AQ1076" s="138" t="e">
        <f t="shared" si="139"/>
        <v>#N/A</v>
      </c>
      <c r="AR1076" s="138" t="e">
        <f t="shared" si="140"/>
        <v>#N/A</v>
      </c>
      <c r="AS1076" s="138" t="e">
        <f t="shared" si="141"/>
        <v>#N/A</v>
      </c>
      <c r="AT1076" s="139" t="e">
        <f t="shared" si="142"/>
        <v>#N/A</v>
      </c>
    </row>
    <row r="1077" spans="1:46" ht="54" customHeight="1">
      <c r="A1077" s="428">
        <f t="shared" si="143"/>
        <v>1069</v>
      </c>
      <c r="B1077" s="294"/>
      <c r="C1077" s="201"/>
      <c r="D1077" s="290"/>
      <c r="E1077" s="301"/>
      <c r="F1077" s="301"/>
      <c r="G1077" s="290"/>
      <c r="H1077" s="291"/>
      <c r="I1077" s="292"/>
      <c r="J1077" s="61"/>
      <c r="K1077" s="57"/>
      <c r="L1077" s="303"/>
      <c r="M1077" s="201"/>
      <c r="N1077" s="84" t="str">
        <f>IF($AI1077&lt;&gt;"",Master!$N$37,IF($AC1077&lt;&gt;"",Master!$N$38,IF($S1077&lt;&gt;"",Master!$N$39,IF($C1077&lt;&gt;"",Master!$N$40,Master!$N$41))))</f>
        <v>起票</v>
      </c>
      <c r="O1077" s="202" t="str">
        <f>IF($N1077=Master!$N$37,MAX($S1077,$AC1077,$AI1077),"")</f>
        <v/>
      </c>
      <c r="P1077" s="65"/>
      <c r="Q1077" s="203"/>
      <c r="R1077" s="57"/>
      <c r="S1077" s="203"/>
      <c r="T1077" s="310"/>
      <c r="U1077" s="289"/>
      <c r="V1077" s="57"/>
      <c r="W1077" s="288"/>
      <c r="X1077" s="288"/>
      <c r="Y1077" s="296"/>
      <c r="Z1077" s="57"/>
      <c r="AA1077" s="203"/>
      <c r="AB1077" s="288"/>
      <c r="AC1077" s="201"/>
      <c r="AD1077" s="298"/>
      <c r="AE1077" s="297"/>
      <c r="AF1077" s="58"/>
      <c r="AG1077" s="204"/>
      <c r="AH1077" s="57"/>
      <c r="AI1077" s="201"/>
      <c r="AJ1077" s="287"/>
      <c r="AK1077" s="452"/>
      <c r="AL1077" s="59"/>
      <c r="AM1077" s="60"/>
      <c r="AO1077" s="137" t="e">
        <f t="shared" si="137"/>
        <v>#N/A</v>
      </c>
      <c r="AP1077" s="138" t="e">
        <f t="shared" si="138"/>
        <v>#N/A</v>
      </c>
      <c r="AQ1077" s="138" t="e">
        <f t="shared" si="139"/>
        <v>#N/A</v>
      </c>
      <c r="AR1077" s="138" t="e">
        <f t="shared" si="140"/>
        <v>#N/A</v>
      </c>
      <c r="AS1077" s="138" t="e">
        <f t="shared" si="141"/>
        <v>#N/A</v>
      </c>
      <c r="AT1077" s="139" t="e">
        <f t="shared" si="142"/>
        <v>#N/A</v>
      </c>
    </row>
    <row r="1078" spans="1:46" ht="54" customHeight="1">
      <c r="A1078" s="428">
        <f t="shared" si="143"/>
        <v>1070</v>
      </c>
      <c r="B1078" s="294"/>
      <c r="C1078" s="201"/>
      <c r="D1078" s="290"/>
      <c r="E1078" s="301"/>
      <c r="F1078" s="301"/>
      <c r="G1078" s="290"/>
      <c r="H1078" s="291"/>
      <c r="I1078" s="292"/>
      <c r="J1078" s="61"/>
      <c r="K1078" s="57"/>
      <c r="L1078" s="303"/>
      <c r="M1078" s="201"/>
      <c r="N1078" s="84" t="str">
        <f>IF($AI1078&lt;&gt;"",Master!$N$37,IF($AC1078&lt;&gt;"",Master!$N$38,IF($S1078&lt;&gt;"",Master!$N$39,IF($C1078&lt;&gt;"",Master!$N$40,Master!$N$41))))</f>
        <v>起票</v>
      </c>
      <c r="O1078" s="202" t="str">
        <f>IF($N1078=Master!$N$37,MAX($S1078,$AC1078,$AI1078),"")</f>
        <v/>
      </c>
      <c r="P1078" s="65"/>
      <c r="Q1078" s="203"/>
      <c r="R1078" s="57"/>
      <c r="S1078" s="203"/>
      <c r="T1078" s="310"/>
      <c r="U1078" s="289"/>
      <c r="V1078" s="57"/>
      <c r="W1078" s="288"/>
      <c r="X1078" s="288"/>
      <c r="Y1078" s="296"/>
      <c r="Z1078" s="57"/>
      <c r="AA1078" s="203"/>
      <c r="AB1078" s="288"/>
      <c r="AC1078" s="201"/>
      <c r="AD1078" s="298"/>
      <c r="AE1078" s="297"/>
      <c r="AF1078" s="58"/>
      <c r="AG1078" s="204"/>
      <c r="AH1078" s="57"/>
      <c r="AI1078" s="201"/>
      <c r="AJ1078" s="287"/>
      <c r="AK1078" s="452"/>
      <c r="AL1078" s="59"/>
      <c r="AM1078" s="60"/>
      <c r="AO1078" s="137" t="e">
        <f t="shared" si="137"/>
        <v>#N/A</v>
      </c>
      <c r="AP1078" s="138" t="e">
        <f t="shared" si="138"/>
        <v>#N/A</v>
      </c>
      <c r="AQ1078" s="138" t="e">
        <f t="shared" si="139"/>
        <v>#N/A</v>
      </c>
      <c r="AR1078" s="138" t="e">
        <f t="shared" si="140"/>
        <v>#N/A</v>
      </c>
      <c r="AS1078" s="138" t="e">
        <f t="shared" si="141"/>
        <v>#N/A</v>
      </c>
      <c r="AT1078" s="139" t="e">
        <f t="shared" si="142"/>
        <v>#N/A</v>
      </c>
    </row>
    <row r="1079" spans="1:46" ht="54" customHeight="1">
      <c r="A1079" s="428">
        <f t="shared" si="143"/>
        <v>1071</v>
      </c>
      <c r="B1079" s="403"/>
      <c r="C1079" s="404"/>
      <c r="D1079" s="405"/>
      <c r="E1079" s="405"/>
      <c r="F1079" s="405"/>
      <c r="G1079" s="405"/>
      <c r="H1079" s="406"/>
      <c r="I1079" s="407"/>
      <c r="J1079" s="408"/>
      <c r="K1079" s="409"/>
      <c r="L1079" s="410"/>
      <c r="M1079" s="404"/>
      <c r="N1079" s="411" t="str">
        <f>IF($AI1079&lt;&gt;"",Master!$N$37,IF($AC1079&lt;&gt;"",Master!$N$38,IF($S1079&lt;&gt;"",Master!$N$39,IF($C1079&lt;&gt;"",Master!$N$40,Master!$N$41))))</f>
        <v>起票</v>
      </c>
      <c r="O1079" s="412" t="str">
        <f>IF($N1079=Master!$N$37,MAX($S1079,$AC1079,$AI1079),"")</f>
        <v/>
      </c>
      <c r="P1079" s="413"/>
      <c r="Q1079" s="414"/>
      <c r="R1079" s="409"/>
      <c r="S1079" s="404"/>
      <c r="T1079" s="418"/>
      <c r="U1079" s="415"/>
      <c r="V1079" s="409"/>
      <c r="W1079" s="419"/>
      <c r="X1079" s="419"/>
      <c r="Y1079" s="416"/>
      <c r="Z1079" s="417"/>
      <c r="AA1079" s="418"/>
      <c r="AB1079" s="419"/>
      <c r="AC1079" s="404"/>
      <c r="AD1079" s="404"/>
      <c r="AE1079" s="420"/>
      <c r="AF1079" s="421"/>
      <c r="AG1079" s="418"/>
      <c r="AH1079" s="409"/>
      <c r="AI1079" s="404"/>
      <c r="AJ1079" s="416"/>
      <c r="AK1079" s="453"/>
      <c r="AL1079" s="422"/>
      <c r="AM1079" s="423"/>
      <c r="AO1079" s="137" t="e">
        <f t="shared" si="137"/>
        <v>#N/A</v>
      </c>
      <c r="AP1079" s="138" t="e">
        <f t="shared" si="138"/>
        <v>#N/A</v>
      </c>
      <c r="AQ1079" s="138" t="e">
        <f t="shared" si="139"/>
        <v>#N/A</v>
      </c>
      <c r="AR1079" s="138" t="e">
        <f t="shared" si="140"/>
        <v>#N/A</v>
      </c>
      <c r="AS1079" s="138" t="e">
        <f t="shared" si="141"/>
        <v>#N/A</v>
      </c>
      <c r="AT1079" s="139" t="e">
        <f t="shared" si="142"/>
        <v>#N/A</v>
      </c>
    </row>
    <row r="1080" spans="1:46" ht="54" customHeight="1">
      <c r="A1080" s="428">
        <f t="shared" si="143"/>
        <v>1072</v>
      </c>
      <c r="B1080" s="403"/>
      <c r="C1080" s="404"/>
      <c r="D1080" s="405"/>
      <c r="E1080" s="405"/>
      <c r="F1080" s="405"/>
      <c r="G1080" s="405"/>
      <c r="H1080" s="406"/>
      <c r="I1080" s="407"/>
      <c r="J1080" s="408"/>
      <c r="K1080" s="409"/>
      <c r="L1080" s="410"/>
      <c r="M1080" s="404"/>
      <c r="N1080" s="411" t="str">
        <f>IF($AI1080&lt;&gt;"",Master!$N$37,IF($AC1080&lt;&gt;"",Master!$N$38,IF($S1080&lt;&gt;"",Master!$N$39,IF($C1080&lt;&gt;"",Master!$N$40,Master!$N$41))))</f>
        <v>起票</v>
      </c>
      <c r="O1080" s="412" t="str">
        <f>IF($N1080=Master!$N$37,MAX($S1080,$AC1080,$AI1080),"")</f>
        <v/>
      </c>
      <c r="P1080" s="413"/>
      <c r="Q1080" s="414"/>
      <c r="R1080" s="409"/>
      <c r="S1080" s="404"/>
      <c r="T1080" s="418"/>
      <c r="U1080" s="415"/>
      <c r="V1080" s="409"/>
      <c r="W1080" s="419"/>
      <c r="X1080" s="419"/>
      <c r="Y1080" s="416"/>
      <c r="Z1080" s="417"/>
      <c r="AA1080" s="418"/>
      <c r="AB1080" s="419"/>
      <c r="AC1080" s="404"/>
      <c r="AD1080" s="404"/>
      <c r="AE1080" s="420"/>
      <c r="AF1080" s="421"/>
      <c r="AG1080" s="418"/>
      <c r="AH1080" s="409"/>
      <c r="AI1080" s="404"/>
      <c r="AJ1080" s="416"/>
      <c r="AK1080" s="453"/>
      <c r="AL1080" s="422"/>
      <c r="AM1080" s="423"/>
      <c r="AO1080" s="137" t="e">
        <f t="shared" si="137"/>
        <v>#N/A</v>
      </c>
      <c r="AP1080" s="138" t="e">
        <f t="shared" si="138"/>
        <v>#N/A</v>
      </c>
      <c r="AQ1080" s="138" t="e">
        <f t="shared" si="139"/>
        <v>#N/A</v>
      </c>
      <c r="AR1080" s="138" t="e">
        <f t="shared" si="140"/>
        <v>#N/A</v>
      </c>
      <c r="AS1080" s="138" t="e">
        <f t="shared" si="141"/>
        <v>#N/A</v>
      </c>
      <c r="AT1080" s="139" t="e">
        <f t="shared" si="142"/>
        <v>#N/A</v>
      </c>
    </row>
    <row r="1081" spans="1:46" ht="54" customHeight="1">
      <c r="A1081" s="428">
        <f t="shared" si="143"/>
        <v>1073</v>
      </c>
      <c r="B1081" s="403"/>
      <c r="C1081" s="404"/>
      <c r="D1081" s="405"/>
      <c r="E1081" s="405"/>
      <c r="F1081" s="405"/>
      <c r="G1081" s="405"/>
      <c r="H1081" s="406"/>
      <c r="I1081" s="407"/>
      <c r="J1081" s="408"/>
      <c r="K1081" s="409"/>
      <c r="L1081" s="410"/>
      <c r="M1081" s="404"/>
      <c r="N1081" s="411" t="str">
        <f>IF($AI1081&lt;&gt;"",Master!$N$37,IF($AC1081&lt;&gt;"",Master!$N$38,IF($S1081&lt;&gt;"",Master!$N$39,IF($C1081&lt;&gt;"",Master!$N$40,Master!$N$41))))</f>
        <v>起票</v>
      </c>
      <c r="O1081" s="412" t="str">
        <f>IF($N1081=Master!$N$37,MAX($S1081,$AC1081,$AI1081),"")</f>
        <v/>
      </c>
      <c r="P1081" s="413"/>
      <c r="Q1081" s="414"/>
      <c r="R1081" s="409"/>
      <c r="S1081" s="404"/>
      <c r="T1081" s="418"/>
      <c r="U1081" s="415"/>
      <c r="V1081" s="409"/>
      <c r="W1081" s="419"/>
      <c r="X1081" s="419"/>
      <c r="Y1081" s="416"/>
      <c r="Z1081" s="417"/>
      <c r="AA1081" s="418"/>
      <c r="AB1081" s="419"/>
      <c r="AC1081" s="404"/>
      <c r="AD1081" s="404"/>
      <c r="AE1081" s="420"/>
      <c r="AF1081" s="421"/>
      <c r="AG1081" s="418"/>
      <c r="AH1081" s="409"/>
      <c r="AI1081" s="404"/>
      <c r="AJ1081" s="416"/>
      <c r="AK1081" s="453"/>
      <c r="AL1081" s="422"/>
      <c r="AM1081" s="423"/>
      <c r="AO1081" s="137" t="e">
        <f t="shared" si="137"/>
        <v>#N/A</v>
      </c>
      <c r="AP1081" s="138" t="e">
        <f t="shared" si="138"/>
        <v>#N/A</v>
      </c>
      <c r="AQ1081" s="138" t="e">
        <f t="shared" si="139"/>
        <v>#N/A</v>
      </c>
      <c r="AR1081" s="138" t="e">
        <f t="shared" si="140"/>
        <v>#N/A</v>
      </c>
      <c r="AS1081" s="138" t="e">
        <f t="shared" si="141"/>
        <v>#N/A</v>
      </c>
      <c r="AT1081" s="139" t="e">
        <f t="shared" si="142"/>
        <v>#N/A</v>
      </c>
    </row>
    <row r="1082" spans="1:46" ht="54" customHeight="1">
      <c r="A1082" s="428">
        <f t="shared" si="143"/>
        <v>1074</v>
      </c>
      <c r="B1082" s="294"/>
      <c r="C1082" s="201"/>
      <c r="D1082" s="290"/>
      <c r="E1082" s="301"/>
      <c r="F1082" s="301"/>
      <c r="G1082" s="290"/>
      <c r="H1082" s="291"/>
      <c r="I1082" s="292"/>
      <c r="J1082" s="61"/>
      <c r="K1082" s="57"/>
      <c r="L1082" s="303"/>
      <c r="M1082" s="201"/>
      <c r="N1082" s="84" t="str">
        <f>IF($AI1082&lt;&gt;"",Master!$N$37,IF($AC1082&lt;&gt;"",Master!$N$38,IF($S1082&lt;&gt;"",Master!$N$39,IF($C1082&lt;&gt;"",Master!$N$40,Master!$N$41))))</f>
        <v>起票</v>
      </c>
      <c r="O1082" s="202" t="str">
        <f>IF($N1082=Master!$N$37,MAX($S1082,$AC1082,$AI1082),"")</f>
        <v/>
      </c>
      <c r="P1082" s="65"/>
      <c r="Q1082" s="203"/>
      <c r="R1082" s="57"/>
      <c r="S1082" s="203"/>
      <c r="T1082" s="310"/>
      <c r="U1082" s="289"/>
      <c r="V1082" s="57"/>
      <c r="W1082" s="288"/>
      <c r="X1082" s="288"/>
      <c r="Y1082" s="296"/>
      <c r="Z1082" s="57"/>
      <c r="AA1082" s="203"/>
      <c r="AB1082" s="288"/>
      <c r="AC1082" s="201"/>
      <c r="AD1082" s="298"/>
      <c r="AE1082" s="297"/>
      <c r="AF1082" s="58"/>
      <c r="AG1082" s="204"/>
      <c r="AH1082" s="57"/>
      <c r="AI1082" s="201"/>
      <c r="AJ1082" s="287"/>
      <c r="AK1082" s="452"/>
      <c r="AL1082" s="59"/>
      <c r="AM1082" s="60"/>
      <c r="AO1082" s="137" t="e">
        <f t="shared" ref="AO1082:AO1145" si="144">IF(AND(C1082&lt;&gt;"",C1082&lt;=$AI$3),IF(E1082="","",E1082),NA())</f>
        <v>#N/A</v>
      </c>
      <c r="AP1082" s="138" t="e">
        <f t="shared" ref="AP1082:AP1145" si="145">IF(AND(C1082&lt;&gt;"",C1082&lt;=$AI$3),IF(F1082="","",F1082),NA())</f>
        <v>#N/A</v>
      </c>
      <c r="AQ1082" s="138" t="e">
        <f t="shared" ref="AQ1082:AQ1145" si="146">IF(AND(C1082&lt;&gt;"",C1082&lt;=$AI$3),IF(H1082="","",H1082),NA())</f>
        <v>#N/A</v>
      </c>
      <c r="AR1082" s="138" t="e">
        <f t="shared" ref="AR1082:AR1145" si="147">IF(AND(C1082&lt;&gt;"",C1082&lt;=$AI$3),IF(U1082="","",U1082),NA())</f>
        <v>#N/A</v>
      </c>
      <c r="AS1082" s="138" t="e">
        <f t="shared" ref="AS1082:AS1145" si="148">IF(AND(C1082&lt;&gt;"",C1082&lt;=$AI$3),IF(V1082="","",V1082),NA())</f>
        <v>#N/A</v>
      </c>
      <c r="AT1082" s="139" t="e">
        <f t="shared" ref="AT1082:AT1145" si="149">IF(AND(C1082&lt;&gt;"",C1082&lt;=$AI$3),IF(AB1082="","",AB1082),NA())</f>
        <v>#N/A</v>
      </c>
    </row>
    <row r="1083" spans="1:46" ht="54" customHeight="1">
      <c r="A1083" s="428">
        <f t="shared" si="143"/>
        <v>1075</v>
      </c>
      <c r="B1083" s="294"/>
      <c r="C1083" s="201"/>
      <c r="D1083" s="290"/>
      <c r="E1083" s="301"/>
      <c r="F1083" s="301"/>
      <c r="G1083" s="290"/>
      <c r="H1083" s="291"/>
      <c r="I1083" s="292"/>
      <c r="J1083" s="61"/>
      <c r="K1083" s="57"/>
      <c r="L1083" s="303"/>
      <c r="M1083" s="201"/>
      <c r="N1083" s="84" t="str">
        <f>IF($AI1083&lt;&gt;"",Master!$N$37,IF($AC1083&lt;&gt;"",Master!$N$38,IF($S1083&lt;&gt;"",Master!$N$39,IF($C1083&lt;&gt;"",Master!$N$40,Master!$N$41))))</f>
        <v>起票</v>
      </c>
      <c r="O1083" s="202" t="str">
        <f>IF($N1083=Master!$N$37,MAX($S1083,$AC1083,$AI1083),"")</f>
        <v/>
      </c>
      <c r="P1083" s="65"/>
      <c r="Q1083" s="203"/>
      <c r="R1083" s="57"/>
      <c r="S1083" s="203"/>
      <c r="T1083" s="310"/>
      <c r="U1083" s="289"/>
      <c r="V1083" s="57"/>
      <c r="W1083" s="288"/>
      <c r="X1083" s="288"/>
      <c r="Y1083" s="296"/>
      <c r="Z1083" s="57"/>
      <c r="AA1083" s="203"/>
      <c r="AB1083" s="288"/>
      <c r="AC1083" s="201"/>
      <c r="AD1083" s="298"/>
      <c r="AE1083" s="297"/>
      <c r="AF1083" s="58"/>
      <c r="AG1083" s="204"/>
      <c r="AH1083" s="57"/>
      <c r="AI1083" s="201"/>
      <c r="AJ1083" s="287"/>
      <c r="AK1083" s="452"/>
      <c r="AL1083" s="59"/>
      <c r="AM1083" s="60"/>
      <c r="AO1083" s="137" t="e">
        <f t="shared" si="144"/>
        <v>#N/A</v>
      </c>
      <c r="AP1083" s="138" t="e">
        <f t="shared" si="145"/>
        <v>#N/A</v>
      </c>
      <c r="AQ1083" s="138" t="e">
        <f t="shared" si="146"/>
        <v>#N/A</v>
      </c>
      <c r="AR1083" s="138" t="e">
        <f t="shared" si="147"/>
        <v>#N/A</v>
      </c>
      <c r="AS1083" s="138" t="e">
        <f t="shared" si="148"/>
        <v>#N/A</v>
      </c>
      <c r="AT1083" s="139" t="e">
        <f t="shared" si="149"/>
        <v>#N/A</v>
      </c>
    </row>
    <row r="1084" spans="1:46" ht="54" customHeight="1">
      <c r="A1084" s="428">
        <f t="shared" si="143"/>
        <v>1076</v>
      </c>
      <c r="B1084" s="403"/>
      <c r="C1084" s="404"/>
      <c r="D1084" s="405"/>
      <c r="E1084" s="405"/>
      <c r="F1084" s="405"/>
      <c r="G1084" s="405"/>
      <c r="H1084" s="406"/>
      <c r="I1084" s="407"/>
      <c r="J1084" s="408"/>
      <c r="K1084" s="409"/>
      <c r="L1084" s="410"/>
      <c r="M1084" s="404"/>
      <c r="N1084" s="411" t="str">
        <f>IF($AI1084&lt;&gt;"",Master!$N$37,IF($AC1084&lt;&gt;"",Master!$N$38,IF($S1084&lt;&gt;"",Master!$N$39,IF($C1084&lt;&gt;"",Master!$N$40,Master!$N$41))))</f>
        <v>起票</v>
      </c>
      <c r="O1084" s="412" t="str">
        <f>IF($N1084=Master!$N$37,MAX($S1084,$AC1084,$AI1084),"")</f>
        <v/>
      </c>
      <c r="P1084" s="413"/>
      <c r="Q1084" s="414"/>
      <c r="R1084" s="409"/>
      <c r="S1084" s="404"/>
      <c r="T1084" s="418"/>
      <c r="U1084" s="415"/>
      <c r="V1084" s="409"/>
      <c r="W1084" s="419"/>
      <c r="X1084" s="419"/>
      <c r="Y1084" s="416"/>
      <c r="Z1084" s="417"/>
      <c r="AA1084" s="418"/>
      <c r="AB1084" s="419"/>
      <c r="AC1084" s="404"/>
      <c r="AD1084" s="404"/>
      <c r="AE1084" s="420"/>
      <c r="AF1084" s="421"/>
      <c r="AG1084" s="418"/>
      <c r="AH1084" s="409"/>
      <c r="AI1084" s="404"/>
      <c r="AJ1084" s="416"/>
      <c r="AK1084" s="453"/>
      <c r="AL1084" s="422"/>
      <c r="AM1084" s="423"/>
      <c r="AO1084" s="137" t="e">
        <f t="shared" si="144"/>
        <v>#N/A</v>
      </c>
      <c r="AP1084" s="138" t="e">
        <f t="shared" si="145"/>
        <v>#N/A</v>
      </c>
      <c r="AQ1084" s="138" t="e">
        <f t="shared" si="146"/>
        <v>#N/A</v>
      </c>
      <c r="AR1084" s="138" t="e">
        <f t="shared" si="147"/>
        <v>#N/A</v>
      </c>
      <c r="AS1084" s="138" t="e">
        <f t="shared" si="148"/>
        <v>#N/A</v>
      </c>
      <c r="AT1084" s="139" t="e">
        <f t="shared" si="149"/>
        <v>#N/A</v>
      </c>
    </row>
    <row r="1085" spans="1:46" ht="54" customHeight="1">
      <c r="A1085" s="428">
        <f t="shared" si="143"/>
        <v>1077</v>
      </c>
      <c r="B1085" s="403"/>
      <c r="C1085" s="404"/>
      <c r="D1085" s="405"/>
      <c r="E1085" s="405"/>
      <c r="F1085" s="405"/>
      <c r="G1085" s="405"/>
      <c r="H1085" s="406"/>
      <c r="I1085" s="407"/>
      <c r="J1085" s="408"/>
      <c r="K1085" s="409"/>
      <c r="L1085" s="410"/>
      <c r="M1085" s="404"/>
      <c r="N1085" s="411" t="str">
        <f>IF($AI1085&lt;&gt;"",Master!$N$37,IF($AC1085&lt;&gt;"",Master!$N$38,IF($S1085&lt;&gt;"",Master!$N$39,IF($C1085&lt;&gt;"",Master!$N$40,Master!$N$41))))</f>
        <v>起票</v>
      </c>
      <c r="O1085" s="412" t="str">
        <f>IF($N1085=Master!$N$37,MAX($S1085,$AC1085,$AI1085),"")</f>
        <v/>
      </c>
      <c r="P1085" s="413"/>
      <c r="Q1085" s="414"/>
      <c r="R1085" s="409"/>
      <c r="S1085" s="404"/>
      <c r="T1085" s="418"/>
      <c r="U1085" s="415"/>
      <c r="V1085" s="409"/>
      <c r="W1085" s="419"/>
      <c r="X1085" s="419"/>
      <c r="Y1085" s="416"/>
      <c r="Z1085" s="417"/>
      <c r="AA1085" s="418"/>
      <c r="AB1085" s="419"/>
      <c r="AC1085" s="404"/>
      <c r="AD1085" s="404"/>
      <c r="AE1085" s="420"/>
      <c r="AF1085" s="421"/>
      <c r="AG1085" s="418"/>
      <c r="AH1085" s="409"/>
      <c r="AI1085" s="404"/>
      <c r="AJ1085" s="416"/>
      <c r="AK1085" s="453"/>
      <c r="AL1085" s="422"/>
      <c r="AM1085" s="423"/>
      <c r="AO1085" s="137" t="e">
        <f t="shared" si="144"/>
        <v>#N/A</v>
      </c>
      <c r="AP1085" s="138" t="e">
        <f t="shared" si="145"/>
        <v>#N/A</v>
      </c>
      <c r="AQ1085" s="138" t="e">
        <f t="shared" si="146"/>
        <v>#N/A</v>
      </c>
      <c r="AR1085" s="138" t="e">
        <f t="shared" si="147"/>
        <v>#N/A</v>
      </c>
      <c r="AS1085" s="138" t="e">
        <f t="shared" si="148"/>
        <v>#N/A</v>
      </c>
      <c r="AT1085" s="139" t="e">
        <f t="shared" si="149"/>
        <v>#N/A</v>
      </c>
    </row>
    <row r="1086" spans="1:46" ht="54" customHeight="1">
      <c r="A1086" s="428">
        <f t="shared" si="143"/>
        <v>1078</v>
      </c>
      <c r="B1086" s="403"/>
      <c r="C1086" s="404"/>
      <c r="D1086" s="405"/>
      <c r="E1086" s="405"/>
      <c r="F1086" s="405"/>
      <c r="G1086" s="405"/>
      <c r="H1086" s="406"/>
      <c r="I1086" s="407"/>
      <c r="J1086" s="408"/>
      <c r="K1086" s="409"/>
      <c r="L1086" s="410"/>
      <c r="M1086" s="404"/>
      <c r="N1086" s="411" t="str">
        <f>IF($AI1086&lt;&gt;"",Master!$N$37,IF($AC1086&lt;&gt;"",Master!$N$38,IF($S1086&lt;&gt;"",Master!$N$39,IF($C1086&lt;&gt;"",Master!$N$40,Master!$N$41))))</f>
        <v>起票</v>
      </c>
      <c r="O1086" s="412" t="str">
        <f>IF($N1086=Master!$N$37,MAX($S1086,$AC1086,$AI1086),"")</f>
        <v/>
      </c>
      <c r="P1086" s="413"/>
      <c r="Q1086" s="414"/>
      <c r="R1086" s="409"/>
      <c r="S1086" s="404"/>
      <c r="T1086" s="418"/>
      <c r="U1086" s="415"/>
      <c r="V1086" s="409"/>
      <c r="W1086" s="419"/>
      <c r="X1086" s="419"/>
      <c r="Y1086" s="416"/>
      <c r="Z1086" s="417"/>
      <c r="AA1086" s="418"/>
      <c r="AB1086" s="419"/>
      <c r="AC1086" s="404"/>
      <c r="AD1086" s="404"/>
      <c r="AE1086" s="420"/>
      <c r="AF1086" s="421"/>
      <c r="AG1086" s="418"/>
      <c r="AH1086" s="409"/>
      <c r="AI1086" s="404"/>
      <c r="AJ1086" s="416"/>
      <c r="AK1086" s="453"/>
      <c r="AL1086" s="422"/>
      <c r="AM1086" s="423"/>
      <c r="AO1086" s="137" t="e">
        <f t="shared" si="144"/>
        <v>#N/A</v>
      </c>
      <c r="AP1086" s="138" t="e">
        <f t="shared" si="145"/>
        <v>#N/A</v>
      </c>
      <c r="AQ1086" s="138" t="e">
        <f t="shared" si="146"/>
        <v>#N/A</v>
      </c>
      <c r="AR1086" s="138" t="e">
        <f t="shared" si="147"/>
        <v>#N/A</v>
      </c>
      <c r="AS1086" s="138" t="e">
        <f t="shared" si="148"/>
        <v>#N/A</v>
      </c>
      <c r="AT1086" s="139" t="e">
        <f t="shared" si="149"/>
        <v>#N/A</v>
      </c>
    </row>
    <row r="1087" spans="1:46" ht="54" customHeight="1">
      <c r="A1087" s="428">
        <f t="shared" si="143"/>
        <v>1079</v>
      </c>
      <c r="B1087" s="294"/>
      <c r="C1087" s="201"/>
      <c r="D1087" s="290"/>
      <c r="E1087" s="301"/>
      <c r="F1087" s="301"/>
      <c r="G1087" s="290"/>
      <c r="H1087" s="291"/>
      <c r="I1087" s="292"/>
      <c r="J1087" s="61"/>
      <c r="K1087" s="57"/>
      <c r="L1087" s="303"/>
      <c r="M1087" s="201"/>
      <c r="N1087" s="84" t="str">
        <f>IF($AI1087&lt;&gt;"",Master!$N$37,IF($AC1087&lt;&gt;"",Master!$N$38,IF($S1087&lt;&gt;"",Master!$N$39,IF($C1087&lt;&gt;"",Master!$N$40,Master!$N$41))))</f>
        <v>起票</v>
      </c>
      <c r="O1087" s="202" t="str">
        <f>IF($N1087=Master!$N$37,MAX($S1087,$AC1087,$AI1087),"")</f>
        <v/>
      </c>
      <c r="P1087" s="65"/>
      <c r="Q1087" s="203"/>
      <c r="R1087" s="57"/>
      <c r="S1087" s="203"/>
      <c r="T1087" s="310"/>
      <c r="U1087" s="289"/>
      <c r="V1087" s="57"/>
      <c r="W1087" s="288"/>
      <c r="X1087" s="288"/>
      <c r="Y1087" s="296"/>
      <c r="Z1087" s="57"/>
      <c r="AA1087" s="203"/>
      <c r="AB1087" s="288"/>
      <c r="AC1087" s="201"/>
      <c r="AD1087" s="298"/>
      <c r="AE1087" s="297"/>
      <c r="AF1087" s="58"/>
      <c r="AG1087" s="204"/>
      <c r="AH1087" s="57"/>
      <c r="AI1087" s="201"/>
      <c r="AJ1087" s="287"/>
      <c r="AK1087" s="452"/>
      <c r="AL1087" s="59"/>
      <c r="AM1087" s="60"/>
      <c r="AO1087" s="137" t="e">
        <f t="shared" si="144"/>
        <v>#N/A</v>
      </c>
      <c r="AP1087" s="138" t="e">
        <f t="shared" si="145"/>
        <v>#N/A</v>
      </c>
      <c r="AQ1087" s="138" t="e">
        <f t="shared" si="146"/>
        <v>#N/A</v>
      </c>
      <c r="AR1087" s="138" t="e">
        <f t="shared" si="147"/>
        <v>#N/A</v>
      </c>
      <c r="AS1087" s="138" t="e">
        <f t="shared" si="148"/>
        <v>#N/A</v>
      </c>
      <c r="AT1087" s="139" t="e">
        <f t="shared" si="149"/>
        <v>#N/A</v>
      </c>
    </row>
    <row r="1088" spans="1:46" ht="54" customHeight="1">
      <c r="A1088" s="428">
        <f t="shared" si="143"/>
        <v>1080</v>
      </c>
      <c r="B1088" s="294"/>
      <c r="C1088" s="201"/>
      <c r="D1088" s="290"/>
      <c r="E1088" s="301"/>
      <c r="F1088" s="301"/>
      <c r="G1088" s="290"/>
      <c r="H1088" s="291"/>
      <c r="I1088" s="292"/>
      <c r="J1088" s="61"/>
      <c r="K1088" s="57"/>
      <c r="L1088" s="303"/>
      <c r="M1088" s="201"/>
      <c r="N1088" s="84" t="str">
        <f>IF($AI1088&lt;&gt;"",Master!$N$37,IF($AC1088&lt;&gt;"",Master!$N$38,IF($S1088&lt;&gt;"",Master!$N$39,IF($C1088&lt;&gt;"",Master!$N$40,Master!$N$41))))</f>
        <v>起票</v>
      </c>
      <c r="O1088" s="202" t="str">
        <f>IF($N1088=Master!$N$37,MAX($S1088,$AC1088,$AI1088),"")</f>
        <v/>
      </c>
      <c r="P1088" s="65"/>
      <c r="Q1088" s="203"/>
      <c r="R1088" s="57"/>
      <c r="S1088" s="203"/>
      <c r="T1088" s="310"/>
      <c r="U1088" s="289"/>
      <c r="V1088" s="57"/>
      <c r="W1088" s="288"/>
      <c r="X1088" s="288"/>
      <c r="Y1088" s="296"/>
      <c r="Z1088" s="57"/>
      <c r="AA1088" s="203"/>
      <c r="AB1088" s="288"/>
      <c r="AC1088" s="201"/>
      <c r="AD1088" s="298"/>
      <c r="AE1088" s="297"/>
      <c r="AF1088" s="58"/>
      <c r="AG1088" s="204"/>
      <c r="AH1088" s="57"/>
      <c r="AI1088" s="201"/>
      <c r="AJ1088" s="287"/>
      <c r="AK1088" s="452"/>
      <c r="AL1088" s="59"/>
      <c r="AM1088" s="60"/>
      <c r="AO1088" s="137" t="e">
        <f t="shared" si="144"/>
        <v>#N/A</v>
      </c>
      <c r="AP1088" s="138" t="e">
        <f t="shared" si="145"/>
        <v>#N/A</v>
      </c>
      <c r="AQ1088" s="138" t="e">
        <f t="shared" si="146"/>
        <v>#N/A</v>
      </c>
      <c r="AR1088" s="138" t="e">
        <f t="shared" si="147"/>
        <v>#N/A</v>
      </c>
      <c r="AS1088" s="138" t="e">
        <f t="shared" si="148"/>
        <v>#N/A</v>
      </c>
      <c r="AT1088" s="139" t="e">
        <f t="shared" si="149"/>
        <v>#N/A</v>
      </c>
    </row>
    <row r="1089" spans="1:46" ht="54" customHeight="1">
      <c r="A1089" s="428">
        <f t="shared" si="143"/>
        <v>1081</v>
      </c>
      <c r="B1089" s="403"/>
      <c r="C1089" s="404"/>
      <c r="D1089" s="405"/>
      <c r="E1089" s="405"/>
      <c r="F1089" s="405"/>
      <c r="G1089" s="405"/>
      <c r="H1089" s="406"/>
      <c r="I1089" s="407"/>
      <c r="J1089" s="408"/>
      <c r="K1089" s="409"/>
      <c r="L1089" s="410"/>
      <c r="M1089" s="404"/>
      <c r="N1089" s="411" t="str">
        <f>IF($AI1089&lt;&gt;"",Master!$N$37,IF($AC1089&lt;&gt;"",Master!$N$38,IF($S1089&lt;&gt;"",Master!$N$39,IF($C1089&lt;&gt;"",Master!$N$40,Master!$N$41))))</f>
        <v>起票</v>
      </c>
      <c r="O1089" s="412" t="str">
        <f>IF($N1089=Master!$N$37,MAX($S1089,$AC1089,$AI1089),"")</f>
        <v/>
      </c>
      <c r="P1089" s="413"/>
      <c r="Q1089" s="414"/>
      <c r="R1089" s="409"/>
      <c r="S1089" s="404"/>
      <c r="T1089" s="418"/>
      <c r="U1089" s="415"/>
      <c r="V1089" s="409"/>
      <c r="W1089" s="419"/>
      <c r="X1089" s="419"/>
      <c r="Y1089" s="416"/>
      <c r="Z1089" s="417"/>
      <c r="AA1089" s="418"/>
      <c r="AB1089" s="419"/>
      <c r="AC1089" s="404"/>
      <c r="AD1089" s="404"/>
      <c r="AE1089" s="420"/>
      <c r="AF1089" s="421"/>
      <c r="AG1089" s="418"/>
      <c r="AH1089" s="409"/>
      <c r="AI1089" s="404"/>
      <c r="AJ1089" s="416"/>
      <c r="AK1089" s="453"/>
      <c r="AL1089" s="422"/>
      <c r="AM1089" s="423"/>
      <c r="AO1089" s="137" t="e">
        <f t="shared" si="144"/>
        <v>#N/A</v>
      </c>
      <c r="AP1089" s="138" t="e">
        <f t="shared" si="145"/>
        <v>#N/A</v>
      </c>
      <c r="AQ1089" s="138" t="e">
        <f t="shared" si="146"/>
        <v>#N/A</v>
      </c>
      <c r="AR1089" s="138" t="e">
        <f t="shared" si="147"/>
        <v>#N/A</v>
      </c>
      <c r="AS1089" s="138" t="e">
        <f t="shared" si="148"/>
        <v>#N/A</v>
      </c>
      <c r="AT1089" s="139" t="e">
        <f t="shared" si="149"/>
        <v>#N/A</v>
      </c>
    </row>
    <row r="1090" spans="1:46" ht="54" customHeight="1">
      <c r="A1090" s="428">
        <f t="shared" si="143"/>
        <v>1082</v>
      </c>
      <c r="B1090" s="403"/>
      <c r="C1090" s="404"/>
      <c r="D1090" s="405"/>
      <c r="E1090" s="405"/>
      <c r="F1090" s="405"/>
      <c r="G1090" s="405"/>
      <c r="H1090" s="406"/>
      <c r="I1090" s="407"/>
      <c r="J1090" s="408"/>
      <c r="K1090" s="409"/>
      <c r="L1090" s="410"/>
      <c r="M1090" s="404"/>
      <c r="N1090" s="411" t="str">
        <f>IF($AI1090&lt;&gt;"",Master!$N$37,IF($AC1090&lt;&gt;"",Master!$N$38,IF($S1090&lt;&gt;"",Master!$N$39,IF($C1090&lt;&gt;"",Master!$N$40,Master!$N$41))))</f>
        <v>起票</v>
      </c>
      <c r="O1090" s="412" t="str">
        <f>IF($N1090=Master!$N$37,MAX($S1090,$AC1090,$AI1090),"")</f>
        <v/>
      </c>
      <c r="P1090" s="413"/>
      <c r="Q1090" s="414"/>
      <c r="R1090" s="409"/>
      <c r="S1090" s="404"/>
      <c r="T1090" s="418"/>
      <c r="U1090" s="415"/>
      <c r="V1090" s="409"/>
      <c r="W1090" s="419"/>
      <c r="X1090" s="419"/>
      <c r="Y1090" s="416"/>
      <c r="Z1090" s="417"/>
      <c r="AA1090" s="418"/>
      <c r="AB1090" s="419"/>
      <c r="AC1090" s="404"/>
      <c r="AD1090" s="404"/>
      <c r="AE1090" s="420"/>
      <c r="AF1090" s="421"/>
      <c r="AG1090" s="418"/>
      <c r="AH1090" s="409"/>
      <c r="AI1090" s="404"/>
      <c r="AJ1090" s="416"/>
      <c r="AK1090" s="453"/>
      <c r="AL1090" s="422"/>
      <c r="AM1090" s="423"/>
      <c r="AO1090" s="137" t="e">
        <f t="shared" si="144"/>
        <v>#N/A</v>
      </c>
      <c r="AP1090" s="138" t="e">
        <f t="shared" si="145"/>
        <v>#N/A</v>
      </c>
      <c r="AQ1090" s="138" t="e">
        <f t="shared" si="146"/>
        <v>#N/A</v>
      </c>
      <c r="AR1090" s="138" t="e">
        <f t="shared" si="147"/>
        <v>#N/A</v>
      </c>
      <c r="AS1090" s="138" t="e">
        <f t="shared" si="148"/>
        <v>#N/A</v>
      </c>
      <c r="AT1090" s="139" t="e">
        <f t="shared" si="149"/>
        <v>#N/A</v>
      </c>
    </row>
    <row r="1091" spans="1:46" ht="54" customHeight="1">
      <c r="A1091" s="428">
        <f t="shared" si="143"/>
        <v>1083</v>
      </c>
      <c r="B1091" s="403"/>
      <c r="C1091" s="404"/>
      <c r="D1091" s="405"/>
      <c r="E1091" s="405"/>
      <c r="F1091" s="405"/>
      <c r="G1091" s="405"/>
      <c r="H1091" s="406"/>
      <c r="I1091" s="407"/>
      <c r="J1091" s="408"/>
      <c r="K1091" s="409"/>
      <c r="L1091" s="410"/>
      <c r="M1091" s="404"/>
      <c r="N1091" s="411" t="str">
        <f>IF($AI1091&lt;&gt;"",Master!$N$37,IF($AC1091&lt;&gt;"",Master!$N$38,IF($S1091&lt;&gt;"",Master!$N$39,IF($C1091&lt;&gt;"",Master!$N$40,Master!$N$41))))</f>
        <v>起票</v>
      </c>
      <c r="O1091" s="412" t="str">
        <f>IF($N1091=Master!$N$37,MAX($S1091,$AC1091,$AI1091),"")</f>
        <v/>
      </c>
      <c r="P1091" s="413"/>
      <c r="Q1091" s="414"/>
      <c r="R1091" s="409"/>
      <c r="S1091" s="404"/>
      <c r="T1091" s="418"/>
      <c r="U1091" s="415"/>
      <c r="V1091" s="409"/>
      <c r="W1091" s="419"/>
      <c r="X1091" s="419"/>
      <c r="Y1091" s="416"/>
      <c r="Z1091" s="417"/>
      <c r="AA1091" s="418"/>
      <c r="AB1091" s="419"/>
      <c r="AC1091" s="404"/>
      <c r="AD1091" s="404"/>
      <c r="AE1091" s="420"/>
      <c r="AF1091" s="421"/>
      <c r="AG1091" s="418"/>
      <c r="AH1091" s="409"/>
      <c r="AI1091" s="404"/>
      <c r="AJ1091" s="416"/>
      <c r="AK1091" s="453"/>
      <c r="AL1091" s="422"/>
      <c r="AM1091" s="423"/>
      <c r="AO1091" s="137" t="e">
        <f t="shared" si="144"/>
        <v>#N/A</v>
      </c>
      <c r="AP1091" s="138" t="e">
        <f t="shared" si="145"/>
        <v>#N/A</v>
      </c>
      <c r="AQ1091" s="138" t="e">
        <f t="shared" si="146"/>
        <v>#N/A</v>
      </c>
      <c r="AR1091" s="138" t="e">
        <f t="shared" si="147"/>
        <v>#N/A</v>
      </c>
      <c r="AS1091" s="138" t="e">
        <f t="shared" si="148"/>
        <v>#N/A</v>
      </c>
      <c r="AT1091" s="139" t="e">
        <f t="shared" si="149"/>
        <v>#N/A</v>
      </c>
    </row>
    <row r="1092" spans="1:46" ht="54" customHeight="1">
      <c r="A1092" s="428">
        <f t="shared" si="143"/>
        <v>1084</v>
      </c>
      <c r="B1092" s="294"/>
      <c r="C1092" s="201"/>
      <c r="D1092" s="290"/>
      <c r="E1092" s="301"/>
      <c r="F1092" s="301"/>
      <c r="G1092" s="290"/>
      <c r="H1092" s="291"/>
      <c r="I1092" s="292"/>
      <c r="J1092" s="61"/>
      <c r="K1092" s="57"/>
      <c r="L1092" s="303"/>
      <c r="M1092" s="201"/>
      <c r="N1092" s="84" t="str">
        <f>IF($AI1092&lt;&gt;"",Master!$N$37,IF($AC1092&lt;&gt;"",Master!$N$38,IF($S1092&lt;&gt;"",Master!$N$39,IF($C1092&lt;&gt;"",Master!$N$40,Master!$N$41))))</f>
        <v>起票</v>
      </c>
      <c r="O1092" s="202" t="str">
        <f>IF($N1092=Master!$N$37,MAX($S1092,$AC1092,$AI1092),"")</f>
        <v/>
      </c>
      <c r="P1092" s="65"/>
      <c r="Q1092" s="203"/>
      <c r="R1092" s="57"/>
      <c r="S1092" s="203"/>
      <c r="T1092" s="310"/>
      <c r="U1092" s="289"/>
      <c r="V1092" s="57"/>
      <c r="W1092" s="288"/>
      <c r="X1092" s="288"/>
      <c r="Y1092" s="296"/>
      <c r="Z1092" s="57"/>
      <c r="AA1092" s="203"/>
      <c r="AB1092" s="288"/>
      <c r="AC1092" s="201"/>
      <c r="AD1092" s="298"/>
      <c r="AE1092" s="297"/>
      <c r="AF1092" s="58"/>
      <c r="AG1092" s="204"/>
      <c r="AH1092" s="57"/>
      <c r="AI1092" s="201"/>
      <c r="AJ1092" s="287"/>
      <c r="AK1092" s="452"/>
      <c r="AL1092" s="59"/>
      <c r="AM1092" s="60"/>
      <c r="AO1092" s="137" t="e">
        <f t="shared" si="144"/>
        <v>#N/A</v>
      </c>
      <c r="AP1092" s="138" t="e">
        <f t="shared" si="145"/>
        <v>#N/A</v>
      </c>
      <c r="AQ1092" s="138" t="e">
        <f t="shared" si="146"/>
        <v>#N/A</v>
      </c>
      <c r="AR1092" s="138" t="e">
        <f t="shared" si="147"/>
        <v>#N/A</v>
      </c>
      <c r="AS1092" s="138" t="e">
        <f t="shared" si="148"/>
        <v>#N/A</v>
      </c>
      <c r="AT1092" s="139" t="e">
        <f t="shared" si="149"/>
        <v>#N/A</v>
      </c>
    </row>
    <row r="1093" spans="1:46" ht="54" customHeight="1">
      <c r="A1093" s="428">
        <f t="shared" si="143"/>
        <v>1085</v>
      </c>
      <c r="B1093" s="294"/>
      <c r="C1093" s="201"/>
      <c r="D1093" s="290"/>
      <c r="E1093" s="301"/>
      <c r="F1093" s="301"/>
      <c r="G1093" s="290"/>
      <c r="H1093" s="291"/>
      <c r="I1093" s="292"/>
      <c r="J1093" s="61"/>
      <c r="K1093" s="57"/>
      <c r="L1093" s="303"/>
      <c r="M1093" s="201"/>
      <c r="N1093" s="84" t="str">
        <f>IF($AI1093&lt;&gt;"",Master!$N$37,IF($AC1093&lt;&gt;"",Master!$N$38,IF($S1093&lt;&gt;"",Master!$N$39,IF($C1093&lt;&gt;"",Master!$N$40,Master!$N$41))))</f>
        <v>起票</v>
      </c>
      <c r="O1093" s="202" t="str">
        <f>IF($N1093=Master!$N$37,MAX($S1093,$AC1093,$AI1093),"")</f>
        <v/>
      </c>
      <c r="P1093" s="65"/>
      <c r="Q1093" s="203"/>
      <c r="R1093" s="57"/>
      <c r="S1093" s="203"/>
      <c r="T1093" s="310"/>
      <c r="U1093" s="289"/>
      <c r="V1093" s="57"/>
      <c r="W1093" s="288"/>
      <c r="X1093" s="288"/>
      <c r="Y1093" s="296"/>
      <c r="Z1093" s="57"/>
      <c r="AA1093" s="203"/>
      <c r="AB1093" s="288"/>
      <c r="AC1093" s="201"/>
      <c r="AD1093" s="298"/>
      <c r="AE1093" s="297"/>
      <c r="AF1093" s="58"/>
      <c r="AG1093" s="204"/>
      <c r="AH1093" s="57"/>
      <c r="AI1093" s="201"/>
      <c r="AJ1093" s="287"/>
      <c r="AK1093" s="452"/>
      <c r="AL1093" s="59"/>
      <c r="AM1093" s="60"/>
      <c r="AO1093" s="137" t="e">
        <f t="shared" si="144"/>
        <v>#N/A</v>
      </c>
      <c r="AP1093" s="138" t="e">
        <f t="shared" si="145"/>
        <v>#N/A</v>
      </c>
      <c r="AQ1093" s="138" t="e">
        <f t="shared" si="146"/>
        <v>#N/A</v>
      </c>
      <c r="AR1093" s="138" t="e">
        <f t="shared" si="147"/>
        <v>#N/A</v>
      </c>
      <c r="AS1093" s="138" t="e">
        <f t="shared" si="148"/>
        <v>#N/A</v>
      </c>
      <c r="AT1093" s="139" t="e">
        <f t="shared" si="149"/>
        <v>#N/A</v>
      </c>
    </row>
    <row r="1094" spans="1:46" ht="54" customHeight="1">
      <c r="A1094" s="428">
        <f t="shared" si="143"/>
        <v>1086</v>
      </c>
      <c r="B1094" s="403"/>
      <c r="C1094" s="404"/>
      <c r="D1094" s="405"/>
      <c r="E1094" s="405"/>
      <c r="F1094" s="405"/>
      <c r="G1094" s="405"/>
      <c r="H1094" s="406"/>
      <c r="I1094" s="407"/>
      <c r="J1094" s="408"/>
      <c r="K1094" s="409"/>
      <c r="L1094" s="410"/>
      <c r="M1094" s="404"/>
      <c r="N1094" s="411" t="str">
        <f>IF($AI1094&lt;&gt;"",Master!$N$37,IF($AC1094&lt;&gt;"",Master!$N$38,IF($S1094&lt;&gt;"",Master!$N$39,IF($C1094&lt;&gt;"",Master!$N$40,Master!$N$41))))</f>
        <v>起票</v>
      </c>
      <c r="O1094" s="412" t="str">
        <f>IF($N1094=Master!$N$37,MAX($S1094,$AC1094,$AI1094),"")</f>
        <v/>
      </c>
      <c r="P1094" s="413"/>
      <c r="Q1094" s="414"/>
      <c r="R1094" s="409"/>
      <c r="S1094" s="404"/>
      <c r="T1094" s="418"/>
      <c r="U1094" s="415"/>
      <c r="V1094" s="409"/>
      <c r="W1094" s="419"/>
      <c r="X1094" s="419"/>
      <c r="Y1094" s="416"/>
      <c r="Z1094" s="417"/>
      <c r="AA1094" s="418"/>
      <c r="AB1094" s="419"/>
      <c r="AC1094" s="404"/>
      <c r="AD1094" s="404"/>
      <c r="AE1094" s="420"/>
      <c r="AF1094" s="421"/>
      <c r="AG1094" s="418"/>
      <c r="AH1094" s="409"/>
      <c r="AI1094" s="404"/>
      <c r="AJ1094" s="416"/>
      <c r="AK1094" s="453"/>
      <c r="AL1094" s="422"/>
      <c r="AM1094" s="423"/>
      <c r="AO1094" s="137" t="e">
        <f t="shared" si="144"/>
        <v>#N/A</v>
      </c>
      <c r="AP1094" s="138" t="e">
        <f t="shared" si="145"/>
        <v>#N/A</v>
      </c>
      <c r="AQ1094" s="138" t="e">
        <f t="shared" si="146"/>
        <v>#N/A</v>
      </c>
      <c r="AR1094" s="138" t="e">
        <f t="shared" si="147"/>
        <v>#N/A</v>
      </c>
      <c r="AS1094" s="138" t="e">
        <f t="shared" si="148"/>
        <v>#N/A</v>
      </c>
      <c r="AT1094" s="139" t="e">
        <f t="shared" si="149"/>
        <v>#N/A</v>
      </c>
    </row>
    <row r="1095" spans="1:46" ht="54" customHeight="1">
      <c r="A1095" s="428">
        <f t="shared" si="143"/>
        <v>1087</v>
      </c>
      <c r="B1095" s="403"/>
      <c r="C1095" s="404"/>
      <c r="D1095" s="405"/>
      <c r="E1095" s="405"/>
      <c r="F1095" s="405"/>
      <c r="G1095" s="405"/>
      <c r="H1095" s="406"/>
      <c r="I1095" s="407"/>
      <c r="J1095" s="408"/>
      <c r="K1095" s="409"/>
      <c r="L1095" s="410"/>
      <c r="M1095" s="404"/>
      <c r="N1095" s="411" t="str">
        <f>IF($AI1095&lt;&gt;"",Master!$N$37,IF($AC1095&lt;&gt;"",Master!$N$38,IF($S1095&lt;&gt;"",Master!$N$39,IF($C1095&lt;&gt;"",Master!$N$40,Master!$N$41))))</f>
        <v>起票</v>
      </c>
      <c r="O1095" s="412" t="str">
        <f>IF($N1095=Master!$N$37,MAX($S1095,$AC1095,$AI1095),"")</f>
        <v/>
      </c>
      <c r="P1095" s="413"/>
      <c r="Q1095" s="414"/>
      <c r="R1095" s="409"/>
      <c r="S1095" s="404"/>
      <c r="T1095" s="418"/>
      <c r="U1095" s="415"/>
      <c r="V1095" s="409"/>
      <c r="W1095" s="419"/>
      <c r="X1095" s="419"/>
      <c r="Y1095" s="416"/>
      <c r="Z1095" s="417"/>
      <c r="AA1095" s="418"/>
      <c r="AB1095" s="419"/>
      <c r="AC1095" s="404"/>
      <c r="AD1095" s="404"/>
      <c r="AE1095" s="420"/>
      <c r="AF1095" s="421"/>
      <c r="AG1095" s="418"/>
      <c r="AH1095" s="409"/>
      <c r="AI1095" s="404"/>
      <c r="AJ1095" s="416"/>
      <c r="AK1095" s="453"/>
      <c r="AL1095" s="422"/>
      <c r="AM1095" s="423"/>
      <c r="AO1095" s="137" t="e">
        <f t="shared" si="144"/>
        <v>#N/A</v>
      </c>
      <c r="AP1095" s="138" t="e">
        <f t="shared" si="145"/>
        <v>#N/A</v>
      </c>
      <c r="AQ1095" s="138" t="e">
        <f t="shared" si="146"/>
        <v>#N/A</v>
      </c>
      <c r="AR1095" s="138" t="e">
        <f t="shared" si="147"/>
        <v>#N/A</v>
      </c>
      <c r="AS1095" s="138" t="e">
        <f t="shared" si="148"/>
        <v>#N/A</v>
      </c>
      <c r="AT1095" s="139" t="e">
        <f t="shared" si="149"/>
        <v>#N/A</v>
      </c>
    </row>
    <row r="1096" spans="1:46" ht="54" customHeight="1">
      <c r="A1096" s="428">
        <f t="shared" si="143"/>
        <v>1088</v>
      </c>
      <c r="B1096" s="403"/>
      <c r="C1096" s="404"/>
      <c r="D1096" s="405"/>
      <c r="E1096" s="405"/>
      <c r="F1096" s="405"/>
      <c r="G1096" s="405"/>
      <c r="H1096" s="406"/>
      <c r="I1096" s="407"/>
      <c r="J1096" s="408"/>
      <c r="K1096" s="409"/>
      <c r="L1096" s="410"/>
      <c r="M1096" s="404"/>
      <c r="N1096" s="411" t="str">
        <f>IF($AI1096&lt;&gt;"",Master!$N$37,IF($AC1096&lt;&gt;"",Master!$N$38,IF($S1096&lt;&gt;"",Master!$N$39,IF($C1096&lt;&gt;"",Master!$N$40,Master!$N$41))))</f>
        <v>起票</v>
      </c>
      <c r="O1096" s="412" t="str">
        <f>IF($N1096=Master!$N$37,MAX($S1096,$AC1096,$AI1096),"")</f>
        <v/>
      </c>
      <c r="P1096" s="413"/>
      <c r="Q1096" s="414"/>
      <c r="R1096" s="409"/>
      <c r="S1096" s="404"/>
      <c r="T1096" s="418"/>
      <c r="U1096" s="415"/>
      <c r="V1096" s="409"/>
      <c r="W1096" s="419"/>
      <c r="X1096" s="419"/>
      <c r="Y1096" s="416"/>
      <c r="Z1096" s="417"/>
      <c r="AA1096" s="418"/>
      <c r="AB1096" s="419"/>
      <c r="AC1096" s="404"/>
      <c r="AD1096" s="404"/>
      <c r="AE1096" s="420"/>
      <c r="AF1096" s="421"/>
      <c r="AG1096" s="418"/>
      <c r="AH1096" s="409"/>
      <c r="AI1096" s="404"/>
      <c r="AJ1096" s="416"/>
      <c r="AK1096" s="453"/>
      <c r="AL1096" s="422"/>
      <c r="AM1096" s="423"/>
      <c r="AO1096" s="137" t="e">
        <f t="shared" si="144"/>
        <v>#N/A</v>
      </c>
      <c r="AP1096" s="138" t="e">
        <f t="shared" si="145"/>
        <v>#N/A</v>
      </c>
      <c r="AQ1096" s="138" t="e">
        <f t="shared" si="146"/>
        <v>#N/A</v>
      </c>
      <c r="AR1096" s="138" t="e">
        <f t="shared" si="147"/>
        <v>#N/A</v>
      </c>
      <c r="AS1096" s="138" t="e">
        <f t="shared" si="148"/>
        <v>#N/A</v>
      </c>
      <c r="AT1096" s="139" t="e">
        <f t="shared" si="149"/>
        <v>#N/A</v>
      </c>
    </row>
    <row r="1097" spans="1:46" ht="54" customHeight="1">
      <c r="A1097" s="428">
        <f t="shared" si="143"/>
        <v>1089</v>
      </c>
      <c r="B1097" s="294"/>
      <c r="C1097" s="201"/>
      <c r="D1097" s="290"/>
      <c r="E1097" s="301"/>
      <c r="F1097" s="301"/>
      <c r="G1097" s="290"/>
      <c r="H1097" s="291"/>
      <c r="I1097" s="292"/>
      <c r="J1097" s="61"/>
      <c r="K1097" s="57"/>
      <c r="L1097" s="303"/>
      <c r="M1097" s="201"/>
      <c r="N1097" s="84" t="str">
        <f>IF($AI1097&lt;&gt;"",Master!$N$37,IF($AC1097&lt;&gt;"",Master!$N$38,IF($S1097&lt;&gt;"",Master!$N$39,IF($C1097&lt;&gt;"",Master!$N$40,Master!$N$41))))</f>
        <v>起票</v>
      </c>
      <c r="O1097" s="202" t="str">
        <f>IF($N1097=Master!$N$37,MAX($S1097,$AC1097,$AI1097),"")</f>
        <v/>
      </c>
      <c r="P1097" s="65"/>
      <c r="Q1097" s="203"/>
      <c r="R1097" s="57"/>
      <c r="S1097" s="203"/>
      <c r="T1097" s="310"/>
      <c r="U1097" s="289"/>
      <c r="V1097" s="57"/>
      <c r="W1097" s="288"/>
      <c r="X1097" s="288"/>
      <c r="Y1097" s="296"/>
      <c r="Z1097" s="57"/>
      <c r="AA1097" s="203"/>
      <c r="AB1097" s="288"/>
      <c r="AC1097" s="201"/>
      <c r="AD1097" s="298"/>
      <c r="AE1097" s="297"/>
      <c r="AF1097" s="58"/>
      <c r="AG1097" s="204"/>
      <c r="AH1097" s="57"/>
      <c r="AI1097" s="201"/>
      <c r="AJ1097" s="287"/>
      <c r="AK1097" s="452"/>
      <c r="AL1097" s="59"/>
      <c r="AM1097" s="60"/>
      <c r="AO1097" s="137" t="e">
        <f t="shared" si="144"/>
        <v>#N/A</v>
      </c>
      <c r="AP1097" s="138" t="e">
        <f t="shared" si="145"/>
        <v>#N/A</v>
      </c>
      <c r="AQ1097" s="138" t="e">
        <f t="shared" si="146"/>
        <v>#N/A</v>
      </c>
      <c r="AR1097" s="138" t="e">
        <f t="shared" si="147"/>
        <v>#N/A</v>
      </c>
      <c r="AS1097" s="138" t="e">
        <f t="shared" si="148"/>
        <v>#N/A</v>
      </c>
      <c r="AT1097" s="139" t="e">
        <f t="shared" si="149"/>
        <v>#N/A</v>
      </c>
    </row>
    <row r="1098" spans="1:46" ht="54" customHeight="1">
      <c r="A1098" s="428">
        <f t="shared" si="143"/>
        <v>1090</v>
      </c>
      <c r="B1098" s="294"/>
      <c r="C1098" s="201"/>
      <c r="D1098" s="290"/>
      <c r="E1098" s="301"/>
      <c r="F1098" s="301"/>
      <c r="G1098" s="290"/>
      <c r="H1098" s="291"/>
      <c r="I1098" s="292"/>
      <c r="J1098" s="61"/>
      <c r="K1098" s="57"/>
      <c r="L1098" s="303"/>
      <c r="M1098" s="201"/>
      <c r="N1098" s="84" t="str">
        <f>IF($AI1098&lt;&gt;"",Master!$N$37,IF($AC1098&lt;&gt;"",Master!$N$38,IF($S1098&lt;&gt;"",Master!$N$39,IF($C1098&lt;&gt;"",Master!$N$40,Master!$N$41))))</f>
        <v>起票</v>
      </c>
      <c r="O1098" s="202" t="str">
        <f>IF($N1098=Master!$N$37,MAX($S1098,$AC1098,$AI1098),"")</f>
        <v/>
      </c>
      <c r="P1098" s="65"/>
      <c r="Q1098" s="203"/>
      <c r="R1098" s="57"/>
      <c r="S1098" s="203"/>
      <c r="T1098" s="310"/>
      <c r="U1098" s="289"/>
      <c r="V1098" s="57"/>
      <c r="W1098" s="288"/>
      <c r="X1098" s="288"/>
      <c r="Y1098" s="296"/>
      <c r="Z1098" s="57"/>
      <c r="AA1098" s="203"/>
      <c r="AB1098" s="288"/>
      <c r="AC1098" s="201"/>
      <c r="AD1098" s="298"/>
      <c r="AE1098" s="297"/>
      <c r="AF1098" s="58"/>
      <c r="AG1098" s="204"/>
      <c r="AH1098" s="57"/>
      <c r="AI1098" s="201"/>
      <c r="AJ1098" s="287"/>
      <c r="AK1098" s="452"/>
      <c r="AL1098" s="59"/>
      <c r="AM1098" s="60"/>
      <c r="AO1098" s="137" t="e">
        <f t="shared" si="144"/>
        <v>#N/A</v>
      </c>
      <c r="AP1098" s="138" t="e">
        <f t="shared" si="145"/>
        <v>#N/A</v>
      </c>
      <c r="AQ1098" s="138" t="e">
        <f t="shared" si="146"/>
        <v>#N/A</v>
      </c>
      <c r="AR1098" s="138" t="e">
        <f t="shared" si="147"/>
        <v>#N/A</v>
      </c>
      <c r="AS1098" s="138" t="e">
        <f t="shared" si="148"/>
        <v>#N/A</v>
      </c>
      <c r="AT1098" s="139" t="e">
        <f t="shared" si="149"/>
        <v>#N/A</v>
      </c>
    </row>
    <row r="1099" spans="1:46" ht="54" customHeight="1">
      <c r="A1099" s="428">
        <f t="shared" si="143"/>
        <v>1091</v>
      </c>
      <c r="B1099" s="403"/>
      <c r="C1099" s="404"/>
      <c r="D1099" s="405"/>
      <c r="E1099" s="405"/>
      <c r="F1099" s="405"/>
      <c r="G1099" s="405"/>
      <c r="H1099" s="406"/>
      <c r="I1099" s="407"/>
      <c r="J1099" s="408"/>
      <c r="K1099" s="409"/>
      <c r="L1099" s="410"/>
      <c r="M1099" s="404"/>
      <c r="N1099" s="411" t="str">
        <f>IF($AI1099&lt;&gt;"",Master!$N$37,IF($AC1099&lt;&gt;"",Master!$N$38,IF($S1099&lt;&gt;"",Master!$N$39,IF($C1099&lt;&gt;"",Master!$N$40,Master!$N$41))))</f>
        <v>起票</v>
      </c>
      <c r="O1099" s="412" t="str">
        <f>IF($N1099=Master!$N$37,MAX($S1099,$AC1099,$AI1099),"")</f>
        <v/>
      </c>
      <c r="P1099" s="413"/>
      <c r="Q1099" s="414"/>
      <c r="R1099" s="409"/>
      <c r="S1099" s="404"/>
      <c r="T1099" s="418"/>
      <c r="U1099" s="415"/>
      <c r="V1099" s="409"/>
      <c r="W1099" s="419"/>
      <c r="X1099" s="419"/>
      <c r="Y1099" s="416"/>
      <c r="Z1099" s="417"/>
      <c r="AA1099" s="418"/>
      <c r="AB1099" s="419"/>
      <c r="AC1099" s="404"/>
      <c r="AD1099" s="404"/>
      <c r="AE1099" s="420"/>
      <c r="AF1099" s="421"/>
      <c r="AG1099" s="418"/>
      <c r="AH1099" s="409"/>
      <c r="AI1099" s="404"/>
      <c r="AJ1099" s="416"/>
      <c r="AK1099" s="453"/>
      <c r="AL1099" s="422"/>
      <c r="AM1099" s="423"/>
      <c r="AO1099" s="137" t="e">
        <f t="shared" si="144"/>
        <v>#N/A</v>
      </c>
      <c r="AP1099" s="138" t="e">
        <f t="shared" si="145"/>
        <v>#N/A</v>
      </c>
      <c r="AQ1099" s="138" t="e">
        <f t="shared" si="146"/>
        <v>#N/A</v>
      </c>
      <c r="AR1099" s="138" t="e">
        <f t="shared" si="147"/>
        <v>#N/A</v>
      </c>
      <c r="AS1099" s="138" t="e">
        <f t="shared" si="148"/>
        <v>#N/A</v>
      </c>
      <c r="AT1099" s="139" t="e">
        <f t="shared" si="149"/>
        <v>#N/A</v>
      </c>
    </row>
    <row r="1100" spans="1:46" ht="54" customHeight="1">
      <c r="A1100" s="428">
        <f t="shared" ref="A1100:A1163" si="150">A1099+1</f>
        <v>1092</v>
      </c>
      <c r="B1100" s="403"/>
      <c r="C1100" s="404"/>
      <c r="D1100" s="405"/>
      <c r="E1100" s="405"/>
      <c r="F1100" s="405"/>
      <c r="G1100" s="405"/>
      <c r="H1100" s="406"/>
      <c r="I1100" s="407"/>
      <c r="J1100" s="408"/>
      <c r="K1100" s="409"/>
      <c r="L1100" s="410"/>
      <c r="M1100" s="404"/>
      <c r="N1100" s="411" t="str">
        <f>IF($AI1100&lt;&gt;"",Master!$N$37,IF($AC1100&lt;&gt;"",Master!$N$38,IF($S1100&lt;&gt;"",Master!$N$39,IF($C1100&lt;&gt;"",Master!$N$40,Master!$N$41))))</f>
        <v>起票</v>
      </c>
      <c r="O1100" s="412" t="str">
        <f>IF($N1100=Master!$N$37,MAX($S1100,$AC1100,$AI1100),"")</f>
        <v/>
      </c>
      <c r="P1100" s="413"/>
      <c r="Q1100" s="414"/>
      <c r="R1100" s="409"/>
      <c r="S1100" s="404"/>
      <c r="T1100" s="418"/>
      <c r="U1100" s="415"/>
      <c r="V1100" s="409"/>
      <c r="W1100" s="419"/>
      <c r="X1100" s="419"/>
      <c r="Y1100" s="416"/>
      <c r="Z1100" s="417"/>
      <c r="AA1100" s="418"/>
      <c r="AB1100" s="419"/>
      <c r="AC1100" s="404"/>
      <c r="AD1100" s="404"/>
      <c r="AE1100" s="420"/>
      <c r="AF1100" s="421"/>
      <c r="AG1100" s="418"/>
      <c r="AH1100" s="409"/>
      <c r="AI1100" s="404"/>
      <c r="AJ1100" s="416"/>
      <c r="AK1100" s="453"/>
      <c r="AL1100" s="422"/>
      <c r="AM1100" s="423"/>
      <c r="AO1100" s="137" t="e">
        <f t="shared" si="144"/>
        <v>#N/A</v>
      </c>
      <c r="AP1100" s="138" t="e">
        <f t="shared" si="145"/>
        <v>#N/A</v>
      </c>
      <c r="AQ1100" s="138" t="e">
        <f t="shared" si="146"/>
        <v>#N/A</v>
      </c>
      <c r="AR1100" s="138" t="e">
        <f t="shared" si="147"/>
        <v>#N/A</v>
      </c>
      <c r="AS1100" s="138" t="e">
        <f t="shared" si="148"/>
        <v>#N/A</v>
      </c>
      <c r="AT1100" s="139" t="e">
        <f t="shared" si="149"/>
        <v>#N/A</v>
      </c>
    </row>
    <row r="1101" spans="1:46" ht="54" customHeight="1">
      <c r="A1101" s="428">
        <f t="shared" si="150"/>
        <v>1093</v>
      </c>
      <c r="B1101" s="403"/>
      <c r="C1101" s="404"/>
      <c r="D1101" s="405"/>
      <c r="E1101" s="405"/>
      <c r="F1101" s="405"/>
      <c r="G1101" s="405"/>
      <c r="H1101" s="406"/>
      <c r="I1101" s="407"/>
      <c r="J1101" s="408"/>
      <c r="K1101" s="409"/>
      <c r="L1101" s="410"/>
      <c r="M1101" s="404"/>
      <c r="N1101" s="411" t="str">
        <f>IF($AI1101&lt;&gt;"",Master!$N$37,IF($AC1101&lt;&gt;"",Master!$N$38,IF($S1101&lt;&gt;"",Master!$N$39,IF($C1101&lt;&gt;"",Master!$N$40,Master!$N$41))))</f>
        <v>起票</v>
      </c>
      <c r="O1101" s="412" t="str">
        <f>IF($N1101=Master!$N$37,MAX($S1101,$AC1101,$AI1101),"")</f>
        <v/>
      </c>
      <c r="P1101" s="413"/>
      <c r="Q1101" s="414"/>
      <c r="R1101" s="409"/>
      <c r="S1101" s="404"/>
      <c r="T1101" s="418"/>
      <c r="U1101" s="415"/>
      <c r="V1101" s="409"/>
      <c r="W1101" s="419"/>
      <c r="X1101" s="419"/>
      <c r="Y1101" s="416"/>
      <c r="Z1101" s="417"/>
      <c r="AA1101" s="418"/>
      <c r="AB1101" s="419"/>
      <c r="AC1101" s="404"/>
      <c r="AD1101" s="404"/>
      <c r="AE1101" s="420"/>
      <c r="AF1101" s="421"/>
      <c r="AG1101" s="418"/>
      <c r="AH1101" s="409"/>
      <c r="AI1101" s="404"/>
      <c r="AJ1101" s="416"/>
      <c r="AK1101" s="453"/>
      <c r="AL1101" s="422"/>
      <c r="AM1101" s="423"/>
      <c r="AO1101" s="137" t="e">
        <f t="shared" si="144"/>
        <v>#N/A</v>
      </c>
      <c r="AP1101" s="138" t="e">
        <f t="shared" si="145"/>
        <v>#N/A</v>
      </c>
      <c r="AQ1101" s="138" t="e">
        <f t="shared" si="146"/>
        <v>#N/A</v>
      </c>
      <c r="AR1101" s="138" t="e">
        <f t="shared" si="147"/>
        <v>#N/A</v>
      </c>
      <c r="AS1101" s="138" t="e">
        <f t="shared" si="148"/>
        <v>#N/A</v>
      </c>
      <c r="AT1101" s="139" t="e">
        <f t="shared" si="149"/>
        <v>#N/A</v>
      </c>
    </row>
    <row r="1102" spans="1:46" ht="54" customHeight="1">
      <c r="A1102" s="428">
        <f t="shared" si="150"/>
        <v>1094</v>
      </c>
      <c r="B1102" s="294"/>
      <c r="C1102" s="201"/>
      <c r="D1102" s="290"/>
      <c r="E1102" s="301"/>
      <c r="F1102" s="301"/>
      <c r="G1102" s="290"/>
      <c r="H1102" s="291"/>
      <c r="I1102" s="292"/>
      <c r="J1102" s="61"/>
      <c r="K1102" s="57"/>
      <c r="L1102" s="303"/>
      <c r="M1102" s="201"/>
      <c r="N1102" s="84" t="str">
        <f>IF($AI1102&lt;&gt;"",Master!$N$37,IF($AC1102&lt;&gt;"",Master!$N$38,IF($S1102&lt;&gt;"",Master!$N$39,IF($C1102&lt;&gt;"",Master!$N$40,Master!$N$41))))</f>
        <v>起票</v>
      </c>
      <c r="O1102" s="202" t="str">
        <f>IF($N1102=Master!$N$37,MAX($S1102,$AC1102,$AI1102),"")</f>
        <v/>
      </c>
      <c r="P1102" s="65"/>
      <c r="Q1102" s="203"/>
      <c r="R1102" s="57"/>
      <c r="S1102" s="203"/>
      <c r="T1102" s="310"/>
      <c r="U1102" s="289"/>
      <c r="V1102" s="57"/>
      <c r="W1102" s="288"/>
      <c r="X1102" s="288"/>
      <c r="Y1102" s="296"/>
      <c r="Z1102" s="57"/>
      <c r="AA1102" s="203"/>
      <c r="AB1102" s="288"/>
      <c r="AC1102" s="201"/>
      <c r="AD1102" s="298"/>
      <c r="AE1102" s="297"/>
      <c r="AF1102" s="58"/>
      <c r="AG1102" s="204"/>
      <c r="AH1102" s="57"/>
      <c r="AI1102" s="201"/>
      <c r="AJ1102" s="287"/>
      <c r="AK1102" s="452"/>
      <c r="AL1102" s="59"/>
      <c r="AM1102" s="60"/>
      <c r="AO1102" s="137" t="e">
        <f t="shared" si="144"/>
        <v>#N/A</v>
      </c>
      <c r="AP1102" s="138" t="e">
        <f t="shared" si="145"/>
        <v>#N/A</v>
      </c>
      <c r="AQ1102" s="138" t="e">
        <f t="shared" si="146"/>
        <v>#N/A</v>
      </c>
      <c r="AR1102" s="138" t="e">
        <f t="shared" si="147"/>
        <v>#N/A</v>
      </c>
      <c r="AS1102" s="138" t="e">
        <f t="shared" si="148"/>
        <v>#N/A</v>
      </c>
      <c r="AT1102" s="139" t="e">
        <f t="shared" si="149"/>
        <v>#N/A</v>
      </c>
    </row>
    <row r="1103" spans="1:46" ht="54" customHeight="1">
      <c r="A1103" s="428">
        <f t="shared" si="150"/>
        <v>1095</v>
      </c>
      <c r="B1103" s="294"/>
      <c r="C1103" s="201"/>
      <c r="D1103" s="290"/>
      <c r="E1103" s="301"/>
      <c r="F1103" s="301"/>
      <c r="G1103" s="290"/>
      <c r="H1103" s="291"/>
      <c r="I1103" s="292"/>
      <c r="J1103" s="61"/>
      <c r="K1103" s="57"/>
      <c r="L1103" s="303"/>
      <c r="M1103" s="201"/>
      <c r="N1103" s="84" t="str">
        <f>IF($AI1103&lt;&gt;"",Master!$N$37,IF($AC1103&lt;&gt;"",Master!$N$38,IF($S1103&lt;&gt;"",Master!$N$39,IF($C1103&lt;&gt;"",Master!$N$40,Master!$N$41))))</f>
        <v>起票</v>
      </c>
      <c r="O1103" s="202" t="str">
        <f>IF($N1103=Master!$N$37,MAX($S1103,$AC1103,$AI1103),"")</f>
        <v/>
      </c>
      <c r="P1103" s="65"/>
      <c r="Q1103" s="203"/>
      <c r="R1103" s="57"/>
      <c r="S1103" s="203"/>
      <c r="T1103" s="310"/>
      <c r="U1103" s="289"/>
      <c r="V1103" s="57"/>
      <c r="W1103" s="288"/>
      <c r="X1103" s="288"/>
      <c r="Y1103" s="296"/>
      <c r="Z1103" s="57"/>
      <c r="AA1103" s="203"/>
      <c r="AB1103" s="288"/>
      <c r="AC1103" s="201"/>
      <c r="AD1103" s="298"/>
      <c r="AE1103" s="297"/>
      <c r="AF1103" s="58"/>
      <c r="AG1103" s="204"/>
      <c r="AH1103" s="57"/>
      <c r="AI1103" s="201"/>
      <c r="AJ1103" s="287"/>
      <c r="AK1103" s="452"/>
      <c r="AL1103" s="59"/>
      <c r="AM1103" s="60"/>
      <c r="AO1103" s="137" t="e">
        <f t="shared" si="144"/>
        <v>#N/A</v>
      </c>
      <c r="AP1103" s="138" t="e">
        <f t="shared" si="145"/>
        <v>#N/A</v>
      </c>
      <c r="AQ1103" s="138" t="e">
        <f t="shared" si="146"/>
        <v>#N/A</v>
      </c>
      <c r="AR1103" s="138" t="e">
        <f t="shared" si="147"/>
        <v>#N/A</v>
      </c>
      <c r="AS1103" s="138" t="e">
        <f t="shared" si="148"/>
        <v>#N/A</v>
      </c>
      <c r="AT1103" s="139" t="e">
        <f t="shared" si="149"/>
        <v>#N/A</v>
      </c>
    </row>
    <row r="1104" spans="1:46" ht="54" customHeight="1">
      <c r="A1104" s="428">
        <f t="shared" si="150"/>
        <v>1096</v>
      </c>
      <c r="B1104" s="403"/>
      <c r="C1104" s="404"/>
      <c r="D1104" s="405"/>
      <c r="E1104" s="405"/>
      <c r="F1104" s="405"/>
      <c r="G1104" s="405"/>
      <c r="H1104" s="406"/>
      <c r="I1104" s="407"/>
      <c r="J1104" s="408"/>
      <c r="K1104" s="409"/>
      <c r="L1104" s="410"/>
      <c r="M1104" s="404"/>
      <c r="N1104" s="411" t="str">
        <f>IF($AI1104&lt;&gt;"",Master!$N$37,IF($AC1104&lt;&gt;"",Master!$N$38,IF($S1104&lt;&gt;"",Master!$N$39,IF($C1104&lt;&gt;"",Master!$N$40,Master!$N$41))))</f>
        <v>起票</v>
      </c>
      <c r="O1104" s="412" t="str">
        <f>IF($N1104=Master!$N$37,MAX($S1104,$AC1104,$AI1104),"")</f>
        <v/>
      </c>
      <c r="P1104" s="413"/>
      <c r="Q1104" s="414"/>
      <c r="R1104" s="409"/>
      <c r="S1104" s="404"/>
      <c r="T1104" s="418"/>
      <c r="U1104" s="415"/>
      <c r="V1104" s="409"/>
      <c r="W1104" s="419"/>
      <c r="X1104" s="419"/>
      <c r="Y1104" s="416"/>
      <c r="Z1104" s="417"/>
      <c r="AA1104" s="418"/>
      <c r="AB1104" s="419"/>
      <c r="AC1104" s="404"/>
      <c r="AD1104" s="404"/>
      <c r="AE1104" s="420"/>
      <c r="AF1104" s="421"/>
      <c r="AG1104" s="418"/>
      <c r="AH1104" s="409"/>
      <c r="AI1104" s="404"/>
      <c r="AJ1104" s="416"/>
      <c r="AK1104" s="453"/>
      <c r="AL1104" s="422"/>
      <c r="AM1104" s="423"/>
      <c r="AO1104" s="137" t="e">
        <f t="shared" si="144"/>
        <v>#N/A</v>
      </c>
      <c r="AP1104" s="138" t="e">
        <f t="shared" si="145"/>
        <v>#N/A</v>
      </c>
      <c r="AQ1104" s="138" t="e">
        <f t="shared" si="146"/>
        <v>#N/A</v>
      </c>
      <c r="AR1104" s="138" t="e">
        <f t="shared" si="147"/>
        <v>#N/A</v>
      </c>
      <c r="AS1104" s="138" t="e">
        <f t="shared" si="148"/>
        <v>#N/A</v>
      </c>
      <c r="AT1104" s="139" t="e">
        <f t="shared" si="149"/>
        <v>#N/A</v>
      </c>
    </row>
    <row r="1105" spans="1:46" ht="54" customHeight="1">
      <c r="A1105" s="428">
        <f t="shared" si="150"/>
        <v>1097</v>
      </c>
      <c r="B1105" s="403"/>
      <c r="C1105" s="404"/>
      <c r="D1105" s="405"/>
      <c r="E1105" s="405"/>
      <c r="F1105" s="405"/>
      <c r="G1105" s="405"/>
      <c r="H1105" s="406"/>
      <c r="I1105" s="407"/>
      <c r="J1105" s="408"/>
      <c r="K1105" s="409"/>
      <c r="L1105" s="410"/>
      <c r="M1105" s="404"/>
      <c r="N1105" s="411" t="str">
        <f>IF($AI1105&lt;&gt;"",Master!$N$37,IF($AC1105&lt;&gt;"",Master!$N$38,IF($S1105&lt;&gt;"",Master!$N$39,IF($C1105&lt;&gt;"",Master!$N$40,Master!$N$41))))</f>
        <v>起票</v>
      </c>
      <c r="O1105" s="412" t="str">
        <f>IF($N1105=Master!$N$37,MAX($S1105,$AC1105,$AI1105),"")</f>
        <v/>
      </c>
      <c r="P1105" s="413"/>
      <c r="Q1105" s="414"/>
      <c r="R1105" s="409"/>
      <c r="S1105" s="404"/>
      <c r="T1105" s="418"/>
      <c r="U1105" s="415"/>
      <c r="V1105" s="409"/>
      <c r="W1105" s="419"/>
      <c r="X1105" s="419"/>
      <c r="Y1105" s="416"/>
      <c r="Z1105" s="417"/>
      <c r="AA1105" s="418"/>
      <c r="AB1105" s="419"/>
      <c r="AC1105" s="404"/>
      <c r="AD1105" s="404"/>
      <c r="AE1105" s="420"/>
      <c r="AF1105" s="421"/>
      <c r="AG1105" s="418"/>
      <c r="AH1105" s="409"/>
      <c r="AI1105" s="404"/>
      <c r="AJ1105" s="416"/>
      <c r="AK1105" s="453"/>
      <c r="AL1105" s="422"/>
      <c r="AM1105" s="423"/>
      <c r="AO1105" s="137" t="e">
        <f t="shared" si="144"/>
        <v>#N/A</v>
      </c>
      <c r="AP1105" s="138" t="e">
        <f t="shared" si="145"/>
        <v>#N/A</v>
      </c>
      <c r="AQ1105" s="138" t="e">
        <f t="shared" si="146"/>
        <v>#N/A</v>
      </c>
      <c r="AR1105" s="138" t="e">
        <f t="shared" si="147"/>
        <v>#N/A</v>
      </c>
      <c r="AS1105" s="138" t="e">
        <f t="shared" si="148"/>
        <v>#N/A</v>
      </c>
      <c r="AT1105" s="139" t="e">
        <f t="shared" si="149"/>
        <v>#N/A</v>
      </c>
    </row>
    <row r="1106" spans="1:46" ht="54" customHeight="1">
      <c r="A1106" s="428">
        <f t="shared" si="150"/>
        <v>1098</v>
      </c>
      <c r="B1106" s="403"/>
      <c r="C1106" s="404"/>
      <c r="D1106" s="405"/>
      <c r="E1106" s="405"/>
      <c r="F1106" s="405"/>
      <c r="G1106" s="405"/>
      <c r="H1106" s="406"/>
      <c r="I1106" s="407"/>
      <c r="J1106" s="408"/>
      <c r="K1106" s="409"/>
      <c r="L1106" s="410"/>
      <c r="M1106" s="404"/>
      <c r="N1106" s="411" t="str">
        <f>IF($AI1106&lt;&gt;"",Master!$N$37,IF($AC1106&lt;&gt;"",Master!$N$38,IF($S1106&lt;&gt;"",Master!$N$39,IF($C1106&lt;&gt;"",Master!$N$40,Master!$N$41))))</f>
        <v>起票</v>
      </c>
      <c r="O1106" s="412" t="str">
        <f>IF($N1106=Master!$N$37,MAX($S1106,$AC1106,$AI1106),"")</f>
        <v/>
      </c>
      <c r="P1106" s="413"/>
      <c r="Q1106" s="414"/>
      <c r="R1106" s="409"/>
      <c r="S1106" s="404"/>
      <c r="T1106" s="418"/>
      <c r="U1106" s="415"/>
      <c r="V1106" s="409"/>
      <c r="W1106" s="419"/>
      <c r="X1106" s="419"/>
      <c r="Y1106" s="416"/>
      <c r="Z1106" s="417"/>
      <c r="AA1106" s="418"/>
      <c r="AB1106" s="419"/>
      <c r="AC1106" s="404"/>
      <c r="AD1106" s="404"/>
      <c r="AE1106" s="420"/>
      <c r="AF1106" s="421"/>
      <c r="AG1106" s="418"/>
      <c r="AH1106" s="409"/>
      <c r="AI1106" s="404"/>
      <c r="AJ1106" s="416"/>
      <c r="AK1106" s="453"/>
      <c r="AL1106" s="422"/>
      <c r="AM1106" s="423"/>
      <c r="AO1106" s="137" t="e">
        <f t="shared" si="144"/>
        <v>#N/A</v>
      </c>
      <c r="AP1106" s="138" t="e">
        <f t="shared" si="145"/>
        <v>#N/A</v>
      </c>
      <c r="AQ1106" s="138" t="e">
        <f t="shared" si="146"/>
        <v>#N/A</v>
      </c>
      <c r="AR1106" s="138" t="e">
        <f t="shared" si="147"/>
        <v>#N/A</v>
      </c>
      <c r="AS1106" s="138" t="e">
        <f t="shared" si="148"/>
        <v>#N/A</v>
      </c>
      <c r="AT1106" s="139" t="e">
        <f t="shared" si="149"/>
        <v>#N/A</v>
      </c>
    </row>
    <row r="1107" spans="1:46" ht="54" customHeight="1">
      <c r="A1107" s="428">
        <f t="shared" si="150"/>
        <v>1099</v>
      </c>
      <c r="B1107" s="403"/>
      <c r="C1107" s="404"/>
      <c r="D1107" s="405"/>
      <c r="E1107" s="405"/>
      <c r="F1107" s="405"/>
      <c r="G1107" s="405"/>
      <c r="H1107" s="406"/>
      <c r="I1107" s="407"/>
      <c r="J1107" s="408"/>
      <c r="K1107" s="409"/>
      <c r="L1107" s="410"/>
      <c r="M1107" s="404"/>
      <c r="N1107" s="411" t="str">
        <f>IF($AI1107&lt;&gt;"",Master!$N$37,IF($AC1107&lt;&gt;"",Master!$N$38,IF($S1107&lt;&gt;"",Master!$N$39,IF($C1107&lt;&gt;"",Master!$N$40,Master!$N$41))))</f>
        <v>起票</v>
      </c>
      <c r="O1107" s="412" t="str">
        <f>IF($N1107=Master!$N$37,MAX($S1107,$AC1107,$AI1107),"")</f>
        <v/>
      </c>
      <c r="P1107" s="413"/>
      <c r="Q1107" s="414"/>
      <c r="R1107" s="409"/>
      <c r="S1107" s="404"/>
      <c r="T1107" s="418"/>
      <c r="U1107" s="415"/>
      <c r="V1107" s="409"/>
      <c r="W1107" s="419"/>
      <c r="X1107" s="419"/>
      <c r="Y1107" s="416"/>
      <c r="Z1107" s="417"/>
      <c r="AA1107" s="418"/>
      <c r="AB1107" s="419"/>
      <c r="AC1107" s="404"/>
      <c r="AD1107" s="404"/>
      <c r="AE1107" s="420"/>
      <c r="AF1107" s="421"/>
      <c r="AG1107" s="418"/>
      <c r="AH1107" s="409"/>
      <c r="AI1107" s="404"/>
      <c r="AJ1107" s="416"/>
      <c r="AK1107" s="453"/>
      <c r="AL1107" s="422"/>
      <c r="AM1107" s="423"/>
      <c r="AO1107" s="137" t="e">
        <f t="shared" si="144"/>
        <v>#N/A</v>
      </c>
      <c r="AP1107" s="138" t="e">
        <f t="shared" si="145"/>
        <v>#N/A</v>
      </c>
      <c r="AQ1107" s="138" t="e">
        <f t="shared" si="146"/>
        <v>#N/A</v>
      </c>
      <c r="AR1107" s="138" t="e">
        <f t="shared" si="147"/>
        <v>#N/A</v>
      </c>
      <c r="AS1107" s="138" t="e">
        <f t="shared" si="148"/>
        <v>#N/A</v>
      </c>
      <c r="AT1107" s="139" t="e">
        <f t="shared" si="149"/>
        <v>#N/A</v>
      </c>
    </row>
    <row r="1108" spans="1:46" ht="54" customHeight="1">
      <c r="A1108" s="428">
        <f t="shared" si="150"/>
        <v>1100</v>
      </c>
      <c r="B1108" s="294"/>
      <c r="C1108" s="201"/>
      <c r="D1108" s="290"/>
      <c r="E1108" s="301"/>
      <c r="F1108" s="301"/>
      <c r="G1108" s="290"/>
      <c r="H1108" s="291"/>
      <c r="I1108" s="292"/>
      <c r="J1108" s="61"/>
      <c r="K1108" s="57"/>
      <c r="L1108" s="303"/>
      <c r="M1108" s="201"/>
      <c r="N1108" s="84" t="str">
        <f>IF($AI1108&lt;&gt;"",Master!$N$37,IF($AC1108&lt;&gt;"",Master!$N$38,IF($S1108&lt;&gt;"",Master!$N$39,IF($C1108&lt;&gt;"",Master!$N$40,Master!$N$41))))</f>
        <v>起票</v>
      </c>
      <c r="O1108" s="202" t="str">
        <f>IF($N1108=Master!$N$37,MAX($S1108,$AC1108,$AI1108),"")</f>
        <v/>
      </c>
      <c r="P1108" s="65"/>
      <c r="Q1108" s="203"/>
      <c r="R1108" s="57"/>
      <c r="S1108" s="203"/>
      <c r="T1108" s="310"/>
      <c r="U1108" s="289"/>
      <c r="V1108" s="57"/>
      <c r="W1108" s="288"/>
      <c r="X1108" s="288"/>
      <c r="Y1108" s="296"/>
      <c r="Z1108" s="57"/>
      <c r="AA1108" s="203"/>
      <c r="AB1108" s="288"/>
      <c r="AC1108" s="201"/>
      <c r="AD1108" s="298"/>
      <c r="AE1108" s="297"/>
      <c r="AF1108" s="58"/>
      <c r="AG1108" s="204"/>
      <c r="AH1108" s="57"/>
      <c r="AI1108" s="201"/>
      <c r="AJ1108" s="287"/>
      <c r="AK1108" s="452"/>
      <c r="AL1108" s="59"/>
      <c r="AM1108" s="60"/>
      <c r="AO1108" s="137" t="e">
        <f t="shared" si="144"/>
        <v>#N/A</v>
      </c>
      <c r="AP1108" s="138" t="e">
        <f t="shared" si="145"/>
        <v>#N/A</v>
      </c>
      <c r="AQ1108" s="138" t="e">
        <f t="shared" si="146"/>
        <v>#N/A</v>
      </c>
      <c r="AR1108" s="138" t="e">
        <f t="shared" si="147"/>
        <v>#N/A</v>
      </c>
      <c r="AS1108" s="138" t="e">
        <f t="shared" si="148"/>
        <v>#N/A</v>
      </c>
      <c r="AT1108" s="139" t="e">
        <f t="shared" si="149"/>
        <v>#N/A</v>
      </c>
    </row>
    <row r="1109" spans="1:46" ht="54" customHeight="1">
      <c r="A1109" s="428">
        <f t="shared" si="150"/>
        <v>1101</v>
      </c>
      <c r="B1109" s="294"/>
      <c r="C1109" s="201"/>
      <c r="D1109" s="290"/>
      <c r="E1109" s="301"/>
      <c r="F1109" s="301"/>
      <c r="G1109" s="290"/>
      <c r="H1109" s="291"/>
      <c r="I1109" s="292"/>
      <c r="J1109" s="61"/>
      <c r="K1109" s="57"/>
      <c r="L1109" s="303"/>
      <c r="M1109" s="201"/>
      <c r="N1109" s="84" t="str">
        <f>IF($AI1109&lt;&gt;"",Master!$N$37,IF($AC1109&lt;&gt;"",Master!$N$38,IF($S1109&lt;&gt;"",Master!$N$39,IF($C1109&lt;&gt;"",Master!$N$40,Master!$N$41))))</f>
        <v>起票</v>
      </c>
      <c r="O1109" s="202" t="str">
        <f>IF($N1109=Master!$N$37,MAX($S1109,$AC1109,$AI1109),"")</f>
        <v/>
      </c>
      <c r="P1109" s="65"/>
      <c r="Q1109" s="203"/>
      <c r="R1109" s="57"/>
      <c r="S1109" s="203"/>
      <c r="T1109" s="310"/>
      <c r="U1109" s="289"/>
      <c r="V1109" s="57"/>
      <c r="W1109" s="288"/>
      <c r="X1109" s="288"/>
      <c r="Y1109" s="296"/>
      <c r="Z1109" s="57"/>
      <c r="AA1109" s="203"/>
      <c r="AB1109" s="288"/>
      <c r="AC1109" s="201"/>
      <c r="AD1109" s="298"/>
      <c r="AE1109" s="297"/>
      <c r="AF1109" s="58"/>
      <c r="AG1109" s="204"/>
      <c r="AH1109" s="57"/>
      <c r="AI1109" s="201"/>
      <c r="AJ1109" s="287"/>
      <c r="AK1109" s="452"/>
      <c r="AL1109" s="59"/>
      <c r="AM1109" s="60"/>
      <c r="AO1109" s="137" t="e">
        <f t="shared" si="144"/>
        <v>#N/A</v>
      </c>
      <c r="AP1109" s="138" t="e">
        <f t="shared" si="145"/>
        <v>#N/A</v>
      </c>
      <c r="AQ1109" s="138" t="e">
        <f t="shared" si="146"/>
        <v>#N/A</v>
      </c>
      <c r="AR1109" s="138" t="e">
        <f t="shared" si="147"/>
        <v>#N/A</v>
      </c>
      <c r="AS1109" s="138" t="e">
        <f t="shared" si="148"/>
        <v>#N/A</v>
      </c>
      <c r="AT1109" s="139" t="e">
        <f t="shared" si="149"/>
        <v>#N/A</v>
      </c>
    </row>
    <row r="1110" spans="1:46" ht="54" customHeight="1">
      <c r="A1110" s="428">
        <f t="shared" si="150"/>
        <v>1102</v>
      </c>
      <c r="B1110" s="403"/>
      <c r="C1110" s="404"/>
      <c r="D1110" s="405"/>
      <c r="E1110" s="405"/>
      <c r="F1110" s="405"/>
      <c r="G1110" s="405"/>
      <c r="H1110" s="406"/>
      <c r="I1110" s="407"/>
      <c r="J1110" s="408"/>
      <c r="K1110" s="409"/>
      <c r="L1110" s="410"/>
      <c r="M1110" s="404"/>
      <c r="N1110" s="411" t="str">
        <f>IF($AI1110&lt;&gt;"",Master!$N$37,IF($AC1110&lt;&gt;"",Master!$N$38,IF($S1110&lt;&gt;"",Master!$N$39,IF($C1110&lt;&gt;"",Master!$N$40,Master!$N$41))))</f>
        <v>起票</v>
      </c>
      <c r="O1110" s="412" t="str">
        <f>IF($N1110=Master!$N$37,MAX($S1110,$AC1110,$AI1110),"")</f>
        <v/>
      </c>
      <c r="P1110" s="413"/>
      <c r="Q1110" s="414"/>
      <c r="R1110" s="409"/>
      <c r="S1110" s="404"/>
      <c r="T1110" s="418"/>
      <c r="U1110" s="415"/>
      <c r="V1110" s="409"/>
      <c r="W1110" s="419"/>
      <c r="X1110" s="419"/>
      <c r="Y1110" s="416"/>
      <c r="Z1110" s="417"/>
      <c r="AA1110" s="418"/>
      <c r="AB1110" s="419"/>
      <c r="AC1110" s="404"/>
      <c r="AD1110" s="404"/>
      <c r="AE1110" s="420"/>
      <c r="AF1110" s="421"/>
      <c r="AG1110" s="418"/>
      <c r="AH1110" s="409"/>
      <c r="AI1110" s="404"/>
      <c r="AJ1110" s="416"/>
      <c r="AK1110" s="453"/>
      <c r="AL1110" s="422"/>
      <c r="AM1110" s="423"/>
      <c r="AO1110" s="137" t="e">
        <f t="shared" si="144"/>
        <v>#N/A</v>
      </c>
      <c r="AP1110" s="138" t="e">
        <f t="shared" si="145"/>
        <v>#N/A</v>
      </c>
      <c r="AQ1110" s="138" t="e">
        <f t="shared" si="146"/>
        <v>#N/A</v>
      </c>
      <c r="AR1110" s="138" t="e">
        <f t="shared" si="147"/>
        <v>#N/A</v>
      </c>
      <c r="AS1110" s="138" t="e">
        <f t="shared" si="148"/>
        <v>#N/A</v>
      </c>
      <c r="AT1110" s="139" t="e">
        <f t="shared" si="149"/>
        <v>#N/A</v>
      </c>
    </row>
    <row r="1111" spans="1:46" ht="54" customHeight="1">
      <c r="A1111" s="428">
        <f t="shared" si="150"/>
        <v>1103</v>
      </c>
      <c r="B1111" s="403"/>
      <c r="C1111" s="404"/>
      <c r="D1111" s="405"/>
      <c r="E1111" s="405"/>
      <c r="F1111" s="405"/>
      <c r="G1111" s="405"/>
      <c r="H1111" s="406"/>
      <c r="I1111" s="407"/>
      <c r="J1111" s="408"/>
      <c r="K1111" s="409"/>
      <c r="L1111" s="410"/>
      <c r="M1111" s="404"/>
      <c r="N1111" s="411" t="str">
        <f>IF($AI1111&lt;&gt;"",Master!$N$37,IF($AC1111&lt;&gt;"",Master!$N$38,IF($S1111&lt;&gt;"",Master!$N$39,IF($C1111&lt;&gt;"",Master!$N$40,Master!$N$41))))</f>
        <v>起票</v>
      </c>
      <c r="O1111" s="412" t="str">
        <f>IF($N1111=Master!$N$37,MAX($S1111,$AC1111,$AI1111),"")</f>
        <v/>
      </c>
      <c r="P1111" s="413"/>
      <c r="Q1111" s="414"/>
      <c r="R1111" s="409"/>
      <c r="S1111" s="404"/>
      <c r="T1111" s="418"/>
      <c r="U1111" s="415"/>
      <c r="V1111" s="409"/>
      <c r="W1111" s="419"/>
      <c r="X1111" s="419"/>
      <c r="Y1111" s="416"/>
      <c r="Z1111" s="417"/>
      <c r="AA1111" s="418"/>
      <c r="AB1111" s="419"/>
      <c r="AC1111" s="404"/>
      <c r="AD1111" s="404"/>
      <c r="AE1111" s="420"/>
      <c r="AF1111" s="421"/>
      <c r="AG1111" s="418"/>
      <c r="AH1111" s="409"/>
      <c r="AI1111" s="404"/>
      <c r="AJ1111" s="416"/>
      <c r="AK1111" s="453"/>
      <c r="AL1111" s="422"/>
      <c r="AM1111" s="423"/>
      <c r="AO1111" s="137" t="e">
        <f t="shared" si="144"/>
        <v>#N/A</v>
      </c>
      <c r="AP1111" s="138" t="e">
        <f t="shared" si="145"/>
        <v>#N/A</v>
      </c>
      <c r="AQ1111" s="138" t="e">
        <f t="shared" si="146"/>
        <v>#N/A</v>
      </c>
      <c r="AR1111" s="138" t="e">
        <f t="shared" si="147"/>
        <v>#N/A</v>
      </c>
      <c r="AS1111" s="138" t="e">
        <f t="shared" si="148"/>
        <v>#N/A</v>
      </c>
      <c r="AT1111" s="139" t="e">
        <f t="shared" si="149"/>
        <v>#N/A</v>
      </c>
    </row>
    <row r="1112" spans="1:46" ht="54" customHeight="1">
      <c r="A1112" s="428">
        <f t="shared" si="150"/>
        <v>1104</v>
      </c>
      <c r="B1112" s="403"/>
      <c r="C1112" s="404"/>
      <c r="D1112" s="405"/>
      <c r="E1112" s="405"/>
      <c r="F1112" s="405"/>
      <c r="G1112" s="405"/>
      <c r="H1112" s="406"/>
      <c r="I1112" s="407"/>
      <c r="J1112" s="408"/>
      <c r="K1112" s="409"/>
      <c r="L1112" s="410"/>
      <c r="M1112" s="404"/>
      <c r="N1112" s="411" t="str">
        <f>IF($AI1112&lt;&gt;"",Master!$N$37,IF($AC1112&lt;&gt;"",Master!$N$38,IF($S1112&lt;&gt;"",Master!$N$39,IF($C1112&lt;&gt;"",Master!$N$40,Master!$N$41))))</f>
        <v>起票</v>
      </c>
      <c r="O1112" s="412" t="str">
        <f>IF($N1112=Master!$N$37,MAX($S1112,$AC1112,$AI1112),"")</f>
        <v/>
      </c>
      <c r="P1112" s="413"/>
      <c r="Q1112" s="414"/>
      <c r="R1112" s="409"/>
      <c r="S1112" s="404"/>
      <c r="T1112" s="418"/>
      <c r="U1112" s="415"/>
      <c r="V1112" s="409"/>
      <c r="W1112" s="419"/>
      <c r="X1112" s="419"/>
      <c r="Y1112" s="416"/>
      <c r="Z1112" s="417"/>
      <c r="AA1112" s="418"/>
      <c r="AB1112" s="419"/>
      <c r="AC1112" s="404"/>
      <c r="AD1112" s="404"/>
      <c r="AE1112" s="420"/>
      <c r="AF1112" s="421"/>
      <c r="AG1112" s="418"/>
      <c r="AH1112" s="409"/>
      <c r="AI1112" s="404"/>
      <c r="AJ1112" s="416"/>
      <c r="AK1112" s="453"/>
      <c r="AL1112" s="422"/>
      <c r="AM1112" s="423"/>
      <c r="AO1112" s="137" t="e">
        <f t="shared" si="144"/>
        <v>#N/A</v>
      </c>
      <c r="AP1112" s="138" t="e">
        <f t="shared" si="145"/>
        <v>#N/A</v>
      </c>
      <c r="AQ1112" s="138" t="e">
        <f t="shared" si="146"/>
        <v>#N/A</v>
      </c>
      <c r="AR1112" s="138" t="e">
        <f t="shared" si="147"/>
        <v>#N/A</v>
      </c>
      <c r="AS1112" s="138" t="e">
        <f t="shared" si="148"/>
        <v>#N/A</v>
      </c>
      <c r="AT1112" s="139" t="e">
        <f t="shared" si="149"/>
        <v>#N/A</v>
      </c>
    </row>
    <row r="1113" spans="1:46" ht="54" customHeight="1">
      <c r="A1113" s="428">
        <f t="shared" si="150"/>
        <v>1105</v>
      </c>
      <c r="B1113" s="294"/>
      <c r="C1113" s="201"/>
      <c r="D1113" s="290"/>
      <c r="E1113" s="301"/>
      <c r="F1113" s="301"/>
      <c r="G1113" s="290"/>
      <c r="H1113" s="291"/>
      <c r="I1113" s="292"/>
      <c r="J1113" s="61"/>
      <c r="K1113" s="57"/>
      <c r="L1113" s="303"/>
      <c r="M1113" s="201"/>
      <c r="N1113" s="84" t="str">
        <f>IF($AI1113&lt;&gt;"",Master!$N$37,IF($AC1113&lt;&gt;"",Master!$N$38,IF($S1113&lt;&gt;"",Master!$N$39,IF($C1113&lt;&gt;"",Master!$N$40,Master!$N$41))))</f>
        <v>起票</v>
      </c>
      <c r="O1113" s="202" t="str">
        <f>IF($N1113=Master!$N$37,MAX($S1113,$AC1113,$AI1113),"")</f>
        <v/>
      </c>
      <c r="P1113" s="65"/>
      <c r="Q1113" s="203"/>
      <c r="R1113" s="57"/>
      <c r="S1113" s="203"/>
      <c r="T1113" s="310"/>
      <c r="U1113" s="289"/>
      <c r="V1113" s="57"/>
      <c r="W1113" s="288"/>
      <c r="X1113" s="288"/>
      <c r="Y1113" s="296"/>
      <c r="Z1113" s="57"/>
      <c r="AA1113" s="203"/>
      <c r="AB1113" s="288"/>
      <c r="AC1113" s="201"/>
      <c r="AD1113" s="298"/>
      <c r="AE1113" s="297"/>
      <c r="AF1113" s="58"/>
      <c r="AG1113" s="204"/>
      <c r="AH1113" s="57"/>
      <c r="AI1113" s="201"/>
      <c r="AJ1113" s="287"/>
      <c r="AK1113" s="452"/>
      <c r="AL1113" s="59"/>
      <c r="AM1113" s="60"/>
      <c r="AO1113" s="137" t="e">
        <f t="shared" si="144"/>
        <v>#N/A</v>
      </c>
      <c r="AP1113" s="138" t="e">
        <f t="shared" si="145"/>
        <v>#N/A</v>
      </c>
      <c r="AQ1113" s="138" t="e">
        <f t="shared" si="146"/>
        <v>#N/A</v>
      </c>
      <c r="AR1113" s="138" t="e">
        <f t="shared" si="147"/>
        <v>#N/A</v>
      </c>
      <c r="AS1113" s="138" t="e">
        <f t="shared" si="148"/>
        <v>#N/A</v>
      </c>
      <c r="AT1113" s="139" t="e">
        <f t="shared" si="149"/>
        <v>#N/A</v>
      </c>
    </row>
    <row r="1114" spans="1:46" ht="54" customHeight="1">
      <c r="A1114" s="428">
        <f t="shared" si="150"/>
        <v>1106</v>
      </c>
      <c r="B1114" s="294"/>
      <c r="C1114" s="201"/>
      <c r="D1114" s="290"/>
      <c r="E1114" s="301"/>
      <c r="F1114" s="301"/>
      <c r="G1114" s="290"/>
      <c r="H1114" s="291"/>
      <c r="I1114" s="292"/>
      <c r="J1114" s="61"/>
      <c r="K1114" s="57"/>
      <c r="L1114" s="303"/>
      <c r="M1114" s="201"/>
      <c r="N1114" s="84" t="str">
        <f>IF($AI1114&lt;&gt;"",Master!$N$37,IF($AC1114&lt;&gt;"",Master!$N$38,IF($S1114&lt;&gt;"",Master!$N$39,IF($C1114&lt;&gt;"",Master!$N$40,Master!$N$41))))</f>
        <v>起票</v>
      </c>
      <c r="O1114" s="202" t="str">
        <f>IF($N1114=Master!$N$37,MAX($S1114,$AC1114,$AI1114),"")</f>
        <v/>
      </c>
      <c r="P1114" s="65"/>
      <c r="Q1114" s="203"/>
      <c r="R1114" s="57"/>
      <c r="S1114" s="203"/>
      <c r="T1114" s="310"/>
      <c r="U1114" s="289"/>
      <c r="V1114" s="57"/>
      <c r="W1114" s="288"/>
      <c r="X1114" s="288"/>
      <c r="Y1114" s="296"/>
      <c r="Z1114" s="57"/>
      <c r="AA1114" s="203"/>
      <c r="AB1114" s="288"/>
      <c r="AC1114" s="201"/>
      <c r="AD1114" s="298"/>
      <c r="AE1114" s="297"/>
      <c r="AF1114" s="58"/>
      <c r="AG1114" s="204"/>
      <c r="AH1114" s="57"/>
      <c r="AI1114" s="201"/>
      <c r="AJ1114" s="287"/>
      <c r="AK1114" s="452"/>
      <c r="AL1114" s="59"/>
      <c r="AM1114" s="60"/>
      <c r="AO1114" s="137" t="e">
        <f t="shared" si="144"/>
        <v>#N/A</v>
      </c>
      <c r="AP1114" s="138" t="e">
        <f t="shared" si="145"/>
        <v>#N/A</v>
      </c>
      <c r="AQ1114" s="138" t="e">
        <f t="shared" si="146"/>
        <v>#N/A</v>
      </c>
      <c r="AR1114" s="138" t="e">
        <f t="shared" si="147"/>
        <v>#N/A</v>
      </c>
      <c r="AS1114" s="138" t="e">
        <f t="shared" si="148"/>
        <v>#N/A</v>
      </c>
      <c r="AT1114" s="139" t="e">
        <f t="shared" si="149"/>
        <v>#N/A</v>
      </c>
    </row>
    <row r="1115" spans="1:46" ht="54" customHeight="1">
      <c r="A1115" s="428">
        <f t="shared" si="150"/>
        <v>1107</v>
      </c>
      <c r="B1115" s="403"/>
      <c r="C1115" s="404"/>
      <c r="D1115" s="405"/>
      <c r="E1115" s="405"/>
      <c r="F1115" s="405"/>
      <c r="G1115" s="405"/>
      <c r="H1115" s="406"/>
      <c r="I1115" s="407"/>
      <c r="J1115" s="408"/>
      <c r="K1115" s="409"/>
      <c r="L1115" s="410"/>
      <c r="M1115" s="404"/>
      <c r="N1115" s="411" t="str">
        <f>IF($AI1115&lt;&gt;"",Master!$N$37,IF($AC1115&lt;&gt;"",Master!$N$38,IF($S1115&lt;&gt;"",Master!$N$39,IF($C1115&lt;&gt;"",Master!$N$40,Master!$N$41))))</f>
        <v>起票</v>
      </c>
      <c r="O1115" s="412" t="str">
        <f>IF($N1115=Master!$N$37,MAX($S1115,$AC1115,$AI1115),"")</f>
        <v/>
      </c>
      <c r="P1115" s="413"/>
      <c r="Q1115" s="414"/>
      <c r="R1115" s="409"/>
      <c r="S1115" s="404"/>
      <c r="T1115" s="418"/>
      <c r="U1115" s="415"/>
      <c r="V1115" s="409"/>
      <c r="W1115" s="419"/>
      <c r="X1115" s="419"/>
      <c r="Y1115" s="416"/>
      <c r="Z1115" s="417"/>
      <c r="AA1115" s="418"/>
      <c r="AB1115" s="419"/>
      <c r="AC1115" s="404"/>
      <c r="AD1115" s="404"/>
      <c r="AE1115" s="420"/>
      <c r="AF1115" s="421"/>
      <c r="AG1115" s="418"/>
      <c r="AH1115" s="409"/>
      <c r="AI1115" s="404"/>
      <c r="AJ1115" s="416"/>
      <c r="AK1115" s="453"/>
      <c r="AL1115" s="422"/>
      <c r="AM1115" s="423"/>
      <c r="AO1115" s="137" t="e">
        <f t="shared" si="144"/>
        <v>#N/A</v>
      </c>
      <c r="AP1115" s="138" t="e">
        <f t="shared" si="145"/>
        <v>#N/A</v>
      </c>
      <c r="AQ1115" s="138" t="e">
        <f t="shared" si="146"/>
        <v>#N/A</v>
      </c>
      <c r="AR1115" s="138" t="e">
        <f t="shared" si="147"/>
        <v>#N/A</v>
      </c>
      <c r="AS1115" s="138" t="e">
        <f t="shared" si="148"/>
        <v>#N/A</v>
      </c>
      <c r="AT1115" s="139" t="e">
        <f t="shared" si="149"/>
        <v>#N/A</v>
      </c>
    </row>
    <row r="1116" spans="1:46" ht="54" customHeight="1">
      <c r="A1116" s="428">
        <f t="shared" si="150"/>
        <v>1108</v>
      </c>
      <c r="B1116" s="403"/>
      <c r="C1116" s="404"/>
      <c r="D1116" s="405"/>
      <c r="E1116" s="405"/>
      <c r="F1116" s="405"/>
      <c r="G1116" s="405"/>
      <c r="H1116" s="406"/>
      <c r="I1116" s="407"/>
      <c r="J1116" s="408"/>
      <c r="K1116" s="409"/>
      <c r="L1116" s="410"/>
      <c r="M1116" s="404"/>
      <c r="N1116" s="411" t="str">
        <f>IF($AI1116&lt;&gt;"",Master!$N$37,IF($AC1116&lt;&gt;"",Master!$N$38,IF($S1116&lt;&gt;"",Master!$N$39,IF($C1116&lt;&gt;"",Master!$N$40,Master!$N$41))))</f>
        <v>起票</v>
      </c>
      <c r="O1116" s="412" t="str">
        <f>IF($N1116=Master!$N$37,MAX($S1116,$AC1116,$AI1116),"")</f>
        <v/>
      </c>
      <c r="P1116" s="413"/>
      <c r="Q1116" s="414"/>
      <c r="R1116" s="409"/>
      <c r="S1116" s="404"/>
      <c r="T1116" s="418"/>
      <c r="U1116" s="415"/>
      <c r="V1116" s="409"/>
      <c r="W1116" s="419"/>
      <c r="X1116" s="419"/>
      <c r="Y1116" s="416"/>
      <c r="Z1116" s="417"/>
      <c r="AA1116" s="418"/>
      <c r="AB1116" s="419"/>
      <c r="AC1116" s="404"/>
      <c r="AD1116" s="404"/>
      <c r="AE1116" s="420"/>
      <c r="AF1116" s="421"/>
      <c r="AG1116" s="418"/>
      <c r="AH1116" s="409"/>
      <c r="AI1116" s="404"/>
      <c r="AJ1116" s="416"/>
      <c r="AK1116" s="453"/>
      <c r="AL1116" s="422"/>
      <c r="AM1116" s="423"/>
      <c r="AO1116" s="137" t="e">
        <f t="shared" si="144"/>
        <v>#N/A</v>
      </c>
      <c r="AP1116" s="138" t="e">
        <f t="shared" si="145"/>
        <v>#N/A</v>
      </c>
      <c r="AQ1116" s="138" t="e">
        <f t="shared" si="146"/>
        <v>#N/A</v>
      </c>
      <c r="AR1116" s="138" t="e">
        <f t="shared" si="147"/>
        <v>#N/A</v>
      </c>
      <c r="AS1116" s="138" t="e">
        <f t="shared" si="148"/>
        <v>#N/A</v>
      </c>
      <c r="AT1116" s="139" t="e">
        <f t="shared" si="149"/>
        <v>#N/A</v>
      </c>
    </row>
    <row r="1117" spans="1:46" ht="54" customHeight="1">
      <c r="A1117" s="428">
        <f t="shared" si="150"/>
        <v>1109</v>
      </c>
      <c r="B1117" s="403"/>
      <c r="C1117" s="404"/>
      <c r="D1117" s="405"/>
      <c r="E1117" s="405"/>
      <c r="F1117" s="405"/>
      <c r="G1117" s="405"/>
      <c r="H1117" s="406"/>
      <c r="I1117" s="407"/>
      <c r="J1117" s="408"/>
      <c r="K1117" s="409"/>
      <c r="L1117" s="410"/>
      <c r="M1117" s="404"/>
      <c r="N1117" s="411" t="str">
        <f>IF($AI1117&lt;&gt;"",Master!$N$37,IF($AC1117&lt;&gt;"",Master!$N$38,IF($S1117&lt;&gt;"",Master!$N$39,IF($C1117&lt;&gt;"",Master!$N$40,Master!$N$41))))</f>
        <v>起票</v>
      </c>
      <c r="O1117" s="412" t="str">
        <f>IF($N1117=Master!$N$37,MAX($S1117,$AC1117,$AI1117),"")</f>
        <v/>
      </c>
      <c r="P1117" s="413"/>
      <c r="Q1117" s="414"/>
      <c r="R1117" s="409"/>
      <c r="S1117" s="404"/>
      <c r="T1117" s="418"/>
      <c r="U1117" s="415"/>
      <c r="V1117" s="409"/>
      <c r="W1117" s="419"/>
      <c r="X1117" s="419"/>
      <c r="Y1117" s="416"/>
      <c r="Z1117" s="417"/>
      <c r="AA1117" s="418"/>
      <c r="AB1117" s="419"/>
      <c r="AC1117" s="404"/>
      <c r="AD1117" s="404"/>
      <c r="AE1117" s="420"/>
      <c r="AF1117" s="421"/>
      <c r="AG1117" s="418"/>
      <c r="AH1117" s="409"/>
      <c r="AI1117" s="404"/>
      <c r="AJ1117" s="416"/>
      <c r="AK1117" s="453"/>
      <c r="AL1117" s="422"/>
      <c r="AM1117" s="423"/>
      <c r="AO1117" s="137" t="e">
        <f t="shared" si="144"/>
        <v>#N/A</v>
      </c>
      <c r="AP1117" s="138" t="e">
        <f t="shared" si="145"/>
        <v>#N/A</v>
      </c>
      <c r="AQ1117" s="138" t="e">
        <f t="shared" si="146"/>
        <v>#N/A</v>
      </c>
      <c r="AR1117" s="138" t="e">
        <f t="shared" si="147"/>
        <v>#N/A</v>
      </c>
      <c r="AS1117" s="138" t="e">
        <f t="shared" si="148"/>
        <v>#N/A</v>
      </c>
      <c r="AT1117" s="139" t="e">
        <f t="shared" si="149"/>
        <v>#N/A</v>
      </c>
    </row>
    <row r="1118" spans="1:46" ht="54" customHeight="1">
      <c r="A1118" s="428">
        <f t="shared" si="150"/>
        <v>1110</v>
      </c>
      <c r="B1118" s="294"/>
      <c r="C1118" s="201"/>
      <c r="D1118" s="290"/>
      <c r="E1118" s="301"/>
      <c r="F1118" s="301"/>
      <c r="G1118" s="290"/>
      <c r="H1118" s="291"/>
      <c r="I1118" s="292"/>
      <c r="J1118" s="61"/>
      <c r="K1118" s="57"/>
      <c r="L1118" s="303"/>
      <c r="M1118" s="201"/>
      <c r="N1118" s="84" t="str">
        <f>IF($AI1118&lt;&gt;"",Master!$N$37,IF($AC1118&lt;&gt;"",Master!$N$38,IF($S1118&lt;&gt;"",Master!$N$39,IF($C1118&lt;&gt;"",Master!$N$40,Master!$N$41))))</f>
        <v>起票</v>
      </c>
      <c r="O1118" s="202" t="str">
        <f>IF($N1118=Master!$N$37,MAX($S1118,$AC1118,$AI1118),"")</f>
        <v/>
      </c>
      <c r="P1118" s="65"/>
      <c r="Q1118" s="203"/>
      <c r="R1118" s="57"/>
      <c r="S1118" s="203"/>
      <c r="T1118" s="310"/>
      <c r="U1118" s="289"/>
      <c r="V1118" s="57"/>
      <c r="W1118" s="288"/>
      <c r="X1118" s="288"/>
      <c r="Y1118" s="296"/>
      <c r="Z1118" s="57"/>
      <c r="AA1118" s="203"/>
      <c r="AB1118" s="288"/>
      <c r="AC1118" s="201"/>
      <c r="AD1118" s="298"/>
      <c r="AE1118" s="297"/>
      <c r="AF1118" s="58"/>
      <c r="AG1118" s="204"/>
      <c r="AH1118" s="57"/>
      <c r="AI1118" s="201"/>
      <c r="AJ1118" s="287"/>
      <c r="AK1118" s="452"/>
      <c r="AL1118" s="59"/>
      <c r="AM1118" s="60"/>
      <c r="AO1118" s="137" t="e">
        <f t="shared" si="144"/>
        <v>#N/A</v>
      </c>
      <c r="AP1118" s="138" t="e">
        <f t="shared" si="145"/>
        <v>#N/A</v>
      </c>
      <c r="AQ1118" s="138" t="e">
        <f t="shared" si="146"/>
        <v>#N/A</v>
      </c>
      <c r="AR1118" s="138" t="e">
        <f t="shared" si="147"/>
        <v>#N/A</v>
      </c>
      <c r="AS1118" s="138" t="e">
        <f t="shared" si="148"/>
        <v>#N/A</v>
      </c>
      <c r="AT1118" s="139" t="e">
        <f t="shared" si="149"/>
        <v>#N/A</v>
      </c>
    </row>
    <row r="1119" spans="1:46" ht="54" customHeight="1">
      <c r="A1119" s="428">
        <f t="shared" si="150"/>
        <v>1111</v>
      </c>
      <c r="B1119" s="294"/>
      <c r="C1119" s="201"/>
      <c r="D1119" s="290"/>
      <c r="E1119" s="301"/>
      <c r="F1119" s="301"/>
      <c r="G1119" s="290"/>
      <c r="H1119" s="291"/>
      <c r="I1119" s="292"/>
      <c r="J1119" s="61"/>
      <c r="K1119" s="57"/>
      <c r="L1119" s="303"/>
      <c r="M1119" s="201"/>
      <c r="N1119" s="84" t="str">
        <f>IF($AI1119&lt;&gt;"",Master!$N$37,IF($AC1119&lt;&gt;"",Master!$N$38,IF($S1119&lt;&gt;"",Master!$N$39,IF($C1119&lt;&gt;"",Master!$N$40,Master!$N$41))))</f>
        <v>起票</v>
      </c>
      <c r="O1119" s="202" t="str">
        <f>IF($N1119=Master!$N$37,MAX($S1119,$AC1119,$AI1119),"")</f>
        <v/>
      </c>
      <c r="P1119" s="65"/>
      <c r="Q1119" s="203"/>
      <c r="R1119" s="57"/>
      <c r="S1119" s="203"/>
      <c r="T1119" s="310"/>
      <c r="U1119" s="289"/>
      <c r="V1119" s="57"/>
      <c r="W1119" s="288"/>
      <c r="X1119" s="288"/>
      <c r="Y1119" s="296"/>
      <c r="Z1119" s="57"/>
      <c r="AA1119" s="203"/>
      <c r="AB1119" s="288"/>
      <c r="AC1119" s="201"/>
      <c r="AD1119" s="298"/>
      <c r="AE1119" s="297"/>
      <c r="AF1119" s="58"/>
      <c r="AG1119" s="204"/>
      <c r="AH1119" s="57"/>
      <c r="AI1119" s="201"/>
      <c r="AJ1119" s="287"/>
      <c r="AK1119" s="452"/>
      <c r="AL1119" s="59"/>
      <c r="AM1119" s="60"/>
      <c r="AO1119" s="137" t="e">
        <f t="shared" si="144"/>
        <v>#N/A</v>
      </c>
      <c r="AP1119" s="138" t="e">
        <f t="shared" si="145"/>
        <v>#N/A</v>
      </c>
      <c r="AQ1119" s="138" t="e">
        <f t="shared" si="146"/>
        <v>#N/A</v>
      </c>
      <c r="AR1119" s="138" t="e">
        <f t="shared" si="147"/>
        <v>#N/A</v>
      </c>
      <c r="AS1119" s="138" t="e">
        <f t="shared" si="148"/>
        <v>#N/A</v>
      </c>
      <c r="AT1119" s="139" t="e">
        <f t="shared" si="149"/>
        <v>#N/A</v>
      </c>
    </row>
    <row r="1120" spans="1:46" ht="54" customHeight="1">
      <c r="A1120" s="428">
        <f t="shared" si="150"/>
        <v>1112</v>
      </c>
      <c r="B1120" s="403"/>
      <c r="C1120" s="404"/>
      <c r="D1120" s="405"/>
      <c r="E1120" s="405"/>
      <c r="F1120" s="405"/>
      <c r="G1120" s="405"/>
      <c r="H1120" s="406"/>
      <c r="I1120" s="407"/>
      <c r="J1120" s="408"/>
      <c r="K1120" s="409"/>
      <c r="L1120" s="410"/>
      <c r="M1120" s="404"/>
      <c r="N1120" s="411" t="str">
        <f>IF($AI1120&lt;&gt;"",Master!$N$37,IF($AC1120&lt;&gt;"",Master!$N$38,IF($S1120&lt;&gt;"",Master!$N$39,IF($C1120&lt;&gt;"",Master!$N$40,Master!$N$41))))</f>
        <v>起票</v>
      </c>
      <c r="O1120" s="412" t="str">
        <f>IF($N1120=Master!$N$37,MAX($S1120,$AC1120,$AI1120),"")</f>
        <v/>
      </c>
      <c r="P1120" s="413"/>
      <c r="Q1120" s="414"/>
      <c r="R1120" s="409"/>
      <c r="S1120" s="404"/>
      <c r="T1120" s="418"/>
      <c r="U1120" s="415"/>
      <c r="V1120" s="409"/>
      <c r="W1120" s="419"/>
      <c r="X1120" s="419"/>
      <c r="Y1120" s="416"/>
      <c r="Z1120" s="417"/>
      <c r="AA1120" s="418"/>
      <c r="AB1120" s="419"/>
      <c r="AC1120" s="404"/>
      <c r="AD1120" s="404"/>
      <c r="AE1120" s="420"/>
      <c r="AF1120" s="421"/>
      <c r="AG1120" s="418"/>
      <c r="AH1120" s="409"/>
      <c r="AI1120" s="404"/>
      <c r="AJ1120" s="416"/>
      <c r="AK1120" s="453"/>
      <c r="AL1120" s="422"/>
      <c r="AM1120" s="423"/>
      <c r="AO1120" s="137" t="e">
        <f t="shared" si="144"/>
        <v>#N/A</v>
      </c>
      <c r="AP1120" s="138" t="e">
        <f t="shared" si="145"/>
        <v>#N/A</v>
      </c>
      <c r="AQ1120" s="138" t="e">
        <f t="shared" si="146"/>
        <v>#N/A</v>
      </c>
      <c r="AR1120" s="138" t="e">
        <f t="shared" si="147"/>
        <v>#N/A</v>
      </c>
      <c r="AS1120" s="138" t="e">
        <f t="shared" si="148"/>
        <v>#N/A</v>
      </c>
      <c r="AT1120" s="139" t="e">
        <f t="shared" si="149"/>
        <v>#N/A</v>
      </c>
    </row>
    <row r="1121" spans="1:46" ht="54" customHeight="1">
      <c r="A1121" s="428">
        <f t="shared" si="150"/>
        <v>1113</v>
      </c>
      <c r="B1121" s="403"/>
      <c r="C1121" s="404"/>
      <c r="D1121" s="405"/>
      <c r="E1121" s="405"/>
      <c r="F1121" s="405"/>
      <c r="G1121" s="405"/>
      <c r="H1121" s="406"/>
      <c r="I1121" s="407"/>
      <c r="J1121" s="408"/>
      <c r="K1121" s="409"/>
      <c r="L1121" s="410"/>
      <c r="M1121" s="404"/>
      <c r="N1121" s="411" t="str">
        <f>IF($AI1121&lt;&gt;"",Master!$N$37,IF($AC1121&lt;&gt;"",Master!$N$38,IF($S1121&lt;&gt;"",Master!$N$39,IF($C1121&lt;&gt;"",Master!$N$40,Master!$N$41))))</f>
        <v>起票</v>
      </c>
      <c r="O1121" s="412" t="str">
        <f>IF($N1121=Master!$N$37,MAX($S1121,$AC1121,$AI1121),"")</f>
        <v/>
      </c>
      <c r="P1121" s="413"/>
      <c r="Q1121" s="414"/>
      <c r="R1121" s="409"/>
      <c r="S1121" s="404"/>
      <c r="T1121" s="418"/>
      <c r="U1121" s="415"/>
      <c r="V1121" s="409"/>
      <c r="W1121" s="419"/>
      <c r="X1121" s="419"/>
      <c r="Y1121" s="416"/>
      <c r="Z1121" s="417"/>
      <c r="AA1121" s="418"/>
      <c r="AB1121" s="419"/>
      <c r="AC1121" s="404"/>
      <c r="AD1121" s="404"/>
      <c r="AE1121" s="420"/>
      <c r="AF1121" s="421"/>
      <c r="AG1121" s="418"/>
      <c r="AH1121" s="409"/>
      <c r="AI1121" s="404"/>
      <c r="AJ1121" s="416"/>
      <c r="AK1121" s="453"/>
      <c r="AL1121" s="422"/>
      <c r="AM1121" s="423"/>
      <c r="AO1121" s="137" t="e">
        <f t="shared" si="144"/>
        <v>#N/A</v>
      </c>
      <c r="AP1121" s="138" t="e">
        <f t="shared" si="145"/>
        <v>#N/A</v>
      </c>
      <c r="AQ1121" s="138" t="e">
        <f t="shared" si="146"/>
        <v>#N/A</v>
      </c>
      <c r="AR1121" s="138" t="e">
        <f t="shared" si="147"/>
        <v>#N/A</v>
      </c>
      <c r="AS1121" s="138" t="e">
        <f t="shared" si="148"/>
        <v>#N/A</v>
      </c>
      <c r="AT1121" s="139" t="e">
        <f t="shared" si="149"/>
        <v>#N/A</v>
      </c>
    </row>
    <row r="1122" spans="1:46" ht="54" customHeight="1">
      <c r="A1122" s="428">
        <f t="shared" si="150"/>
        <v>1114</v>
      </c>
      <c r="B1122" s="403"/>
      <c r="C1122" s="404"/>
      <c r="D1122" s="405"/>
      <c r="E1122" s="405"/>
      <c r="F1122" s="405"/>
      <c r="G1122" s="405"/>
      <c r="H1122" s="406"/>
      <c r="I1122" s="407"/>
      <c r="J1122" s="408"/>
      <c r="K1122" s="409"/>
      <c r="L1122" s="410"/>
      <c r="M1122" s="404"/>
      <c r="N1122" s="411" t="str">
        <f>IF($AI1122&lt;&gt;"",Master!$N$37,IF($AC1122&lt;&gt;"",Master!$N$38,IF($S1122&lt;&gt;"",Master!$N$39,IF($C1122&lt;&gt;"",Master!$N$40,Master!$N$41))))</f>
        <v>起票</v>
      </c>
      <c r="O1122" s="412" t="str">
        <f>IF($N1122=Master!$N$37,MAX($S1122,$AC1122,$AI1122),"")</f>
        <v/>
      </c>
      <c r="P1122" s="413"/>
      <c r="Q1122" s="414"/>
      <c r="R1122" s="409"/>
      <c r="S1122" s="404"/>
      <c r="T1122" s="418"/>
      <c r="U1122" s="415"/>
      <c r="V1122" s="409"/>
      <c r="W1122" s="419"/>
      <c r="X1122" s="419"/>
      <c r="Y1122" s="416"/>
      <c r="Z1122" s="417"/>
      <c r="AA1122" s="418"/>
      <c r="AB1122" s="419"/>
      <c r="AC1122" s="404"/>
      <c r="AD1122" s="404"/>
      <c r="AE1122" s="420"/>
      <c r="AF1122" s="421"/>
      <c r="AG1122" s="418"/>
      <c r="AH1122" s="409"/>
      <c r="AI1122" s="404"/>
      <c r="AJ1122" s="416"/>
      <c r="AK1122" s="453"/>
      <c r="AL1122" s="422"/>
      <c r="AM1122" s="423"/>
      <c r="AO1122" s="137" t="e">
        <f t="shared" si="144"/>
        <v>#N/A</v>
      </c>
      <c r="AP1122" s="138" t="e">
        <f t="shared" si="145"/>
        <v>#N/A</v>
      </c>
      <c r="AQ1122" s="138" t="e">
        <f t="shared" si="146"/>
        <v>#N/A</v>
      </c>
      <c r="AR1122" s="138" t="e">
        <f t="shared" si="147"/>
        <v>#N/A</v>
      </c>
      <c r="AS1122" s="138" t="e">
        <f t="shared" si="148"/>
        <v>#N/A</v>
      </c>
      <c r="AT1122" s="139" t="e">
        <f t="shared" si="149"/>
        <v>#N/A</v>
      </c>
    </row>
    <row r="1123" spans="1:46" ht="54" customHeight="1">
      <c r="A1123" s="428">
        <f t="shared" si="150"/>
        <v>1115</v>
      </c>
      <c r="B1123" s="294"/>
      <c r="C1123" s="201"/>
      <c r="D1123" s="290"/>
      <c r="E1123" s="301"/>
      <c r="F1123" s="301"/>
      <c r="G1123" s="290"/>
      <c r="H1123" s="291"/>
      <c r="I1123" s="292"/>
      <c r="J1123" s="61"/>
      <c r="K1123" s="57"/>
      <c r="L1123" s="303"/>
      <c r="M1123" s="201"/>
      <c r="N1123" s="84" t="str">
        <f>IF($AI1123&lt;&gt;"",Master!$N$37,IF($AC1123&lt;&gt;"",Master!$N$38,IF($S1123&lt;&gt;"",Master!$N$39,IF($C1123&lt;&gt;"",Master!$N$40,Master!$N$41))))</f>
        <v>起票</v>
      </c>
      <c r="O1123" s="202" t="str">
        <f>IF($N1123=Master!$N$37,MAX($S1123,$AC1123,$AI1123),"")</f>
        <v/>
      </c>
      <c r="P1123" s="65"/>
      <c r="Q1123" s="203"/>
      <c r="R1123" s="57"/>
      <c r="S1123" s="203"/>
      <c r="T1123" s="310"/>
      <c r="U1123" s="289"/>
      <c r="V1123" s="57"/>
      <c r="W1123" s="288"/>
      <c r="X1123" s="288"/>
      <c r="Y1123" s="296"/>
      <c r="Z1123" s="57"/>
      <c r="AA1123" s="203"/>
      <c r="AB1123" s="288"/>
      <c r="AC1123" s="201"/>
      <c r="AD1123" s="298"/>
      <c r="AE1123" s="297"/>
      <c r="AF1123" s="58"/>
      <c r="AG1123" s="204"/>
      <c r="AH1123" s="57"/>
      <c r="AI1123" s="201"/>
      <c r="AJ1123" s="287"/>
      <c r="AK1123" s="452"/>
      <c r="AL1123" s="59"/>
      <c r="AM1123" s="60"/>
      <c r="AO1123" s="137" t="e">
        <f t="shared" si="144"/>
        <v>#N/A</v>
      </c>
      <c r="AP1123" s="138" t="e">
        <f t="shared" si="145"/>
        <v>#N/A</v>
      </c>
      <c r="AQ1123" s="138" t="e">
        <f t="shared" si="146"/>
        <v>#N/A</v>
      </c>
      <c r="AR1123" s="138" t="e">
        <f t="shared" si="147"/>
        <v>#N/A</v>
      </c>
      <c r="AS1123" s="138" t="e">
        <f t="shared" si="148"/>
        <v>#N/A</v>
      </c>
      <c r="AT1123" s="139" t="e">
        <f t="shared" si="149"/>
        <v>#N/A</v>
      </c>
    </row>
    <row r="1124" spans="1:46" ht="54" customHeight="1">
      <c r="A1124" s="428">
        <f t="shared" si="150"/>
        <v>1116</v>
      </c>
      <c r="B1124" s="294"/>
      <c r="C1124" s="201"/>
      <c r="D1124" s="290"/>
      <c r="E1124" s="301"/>
      <c r="F1124" s="301"/>
      <c r="G1124" s="290"/>
      <c r="H1124" s="291"/>
      <c r="I1124" s="292"/>
      <c r="J1124" s="61"/>
      <c r="K1124" s="57"/>
      <c r="L1124" s="303"/>
      <c r="M1124" s="201"/>
      <c r="N1124" s="84" t="str">
        <f>IF($AI1124&lt;&gt;"",Master!$N$37,IF($AC1124&lt;&gt;"",Master!$N$38,IF($S1124&lt;&gt;"",Master!$N$39,IF($C1124&lt;&gt;"",Master!$N$40,Master!$N$41))))</f>
        <v>起票</v>
      </c>
      <c r="O1124" s="202" t="str">
        <f>IF($N1124=Master!$N$37,MAX($S1124,$AC1124,$AI1124),"")</f>
        <v/>
      </c>
      <c r="P1124" s="65"/>
      <c r="Q1124" s="203"/>
      <c r="R1124" s="57"/>
      <c r="S1124" s="203"/>
      <c r="T1124" s="310"/>
      <c r="U1124" s="289"/>
      <c r="V1124" s="57"/>
      <c r="W1124" s="288"/>
      <c r="X1124" s="288"/>
      <c r="Y1124" s="296"/>
      <c r="Z1124" s="57"/>
      <c r="AA1124" s="203"/>
      <c r="AB1124" s="288"/>
      <c r="AC1124" s="201"/>
      <c r="AD1124" s="298"/>
      <c r="AE1124" s="297"/>
      <c r="AF1124" s="58"/>
      <c r="AG1124" s="204"/>
      <c r="AH1124" s="57"/>
      <c r="AI1124" s="201"/>
      <c r="AJ1124" s="287"/>
      <c r="AK1124" s="452"/>
      <c r="AL1124" s="59"/>
      <c r="AM1124" s="60"/>
      <c r="AO1124" s="137" t="e">
        <f t="shared" si="144"/>
        <v>#N/A</v>
      </c>
      <c r="AP1124" s="138" t="e">
        <f t="shared" si="145"/>
        <v>#N/A</v>
      </c>
      <c r="AQ1124" s="138" t="e">
        <f t="shared" si="146"/>
        <v>#N/A</v>
      </c>
      <c r="AR1124" s="138" t="e">
        <f t="shared" si="147"/>
        <v>#N/A</v>
      </c>
      <c r="AS1124" s="138" t="e">
        <f t="shared" si="148"/>
        <v>#N/A</v>
      </c>
      <c r="AT1124" s="139" t="e">
        <f t="shared" si="149"/>
        <v>#N/A</v>
      </c>
    </row>
    <row r="1125" spans="1:46" ht="54" customHeight="1">
      <c r="A1125" s="428">
        <f t="shared" si="150"/>
        <v>1117</v>
      </c>
      <c r="B1125" s="403"/>
      <c r="C1125" s="404"/>
      <c r="D1125" s="405"/>
      <c r="E1125" s="405"/>
      <c r="F1125" s="405"/>
      <c r="G1125" s="405"/>
      <c r="H1125" s="406"/>
      <c r="I1125" s="407"/>
      <c r="J1125" s="408"/>
      <c r="K1125" s="409"/>
      <c r="L1125" s="410"/>
      <c r="M1125" s="404"/>
      <c r="N1125" s="411" t="str">
        <f>IF($AI1125&lt;&gt;"",Master!$N$37,IF($AC1125&lt;&gt;"",Master!$N$38,IF($S1125&lt;&gt;"",Master!$N$39,IF($C1125&lt;&gt;"",Master!$N$40,Master!$N$41))))</f>
        <v>起票</v>
      </c>
      <c r="O1125" s="412" t="str">
        <f>IF($N1125=Master!$N$37,MAX($S1125,$AC1125,$AI1125),"")</f>
        <v/>
      </c>
      <c r="P1125" s="413"/>
      <c r="Q1125" s="414"/>
      <c r="R1125" s="409"/>
      <c r="S1125" s="404"/>
      <c r="T1125" s="418"/>
      <c r="U1125" s="415"/>
      <c r="V1125" s="409"/>
      <c r="W1125" s="419"/>
      <c r="X1125" s="419"/>
      <c r="Y1125" s="416"/>
      <c r="Z1125" s="417"/>
      <c r="AA1125" s="418"/>
      <c r="AB1125" s="419"/>
      <c r="AC1125" s="404"/>
      <c r="AD1125" s="404"/>
      <c r="AE1125" s="420"/>
      <c r="AF1125" s="421"/>
      <c r="AG1125" s="418"/>
      <c r="AH1125" s="409"/>
      <c r="AI1125" s="404"/>
      <c r="AJ1125" s="416"/>
      <c r="AK1125" s="453"/>
      <c r="AL1125" s="422"/>
      <c r="AM1125" s="423"/>
      <c r="AO1125" s="137" t="e">
        <f t="shared" si="144"/>
        <v>#N/A</v>
      </c>
      <c r="AP1125" s="138" t="e">
        <f t="shared" si="145"/>
        <v>#N/A</v>
      </c>
      <c r="AQ1125" s="138" t="e">
        <f t="shared" si="146"/>
        <v>#N/A</v>
      </c>
      <c r="AR1125" s="138" t="e">
        <f t="shared" si="147"/>
        <v>#N/A</v>
      </c>
      <c r="AS1125" s="138" t="e">
        <f t="shared" si="148"/>
        <v>#N/A</v>
      </c>
      <c r="AT1125" s="139" t="e">
        <f t="shared" si="149"/>
        <v>#N/A</v>
      </c>
    </row>
    <row r="1126" spans="1:46" ht="54" customHeight="1">
      <c r="A1126" s="428">
        <f t="shared" si="150"/>
        <v>1118</v>
      </c>
      <c r="B1126" s="403"/>
      <c r="C1126" s="404"/>
      <c r="D1126" s="405"/>
      <c r="E1126" s="405"/>
      <c r="F1126" s="405"/>
      <c r="G1126" s="405"/>
      <c r="H1126" s="406"/>
      <c r="I1126" s="407"/>
      <c r="J1126" s="408"/>
      <c r="K1126" s="409"/>
      <c r="L1126" s="410"/>
      <c r="M1126" s="404"/>
      <c r="N1126" s="411" t="str">
        <f>IF($AI1126&lt;&gt;"",Master!$N$37,IF($AC1126&lt;&gt;"",Master!$N$38,IF($S1126&lt;&gt;"",Master!$N$39,IF($C1126&lt;&gt;"",Master!$N$40,Master!$N$41))))</f>
        <v>起票</v>
      </c>
      <c r="O1126" s="412" t="str">
        <f>IF($N1126=Master!$N$37,MAX($S1126,$AC1126,$AI1126),"")</f>
        <v/>
      </c>
      <c r="P1126" s="413"/>
      <c r="Q1126" s="414"/>
      <c r="R1126" s="409"/>
      <c r="S1126" s="404"/>
      <c r="T1126" s="418"/>
      <c r="U1126" s="415"/>
      <c r="V1126" s="409"/>
      <c r="W1126" s="419"/>
      <c r="X1126" s="419"/>
      <c r="Y1126" s="416"/>
      <c r="Z1126" s="417"/>
      <c r="AA1126" s="418"/>
      <c r="AB1126" s="419"/>
      <c r="AC1126" s="404"/>
      <c r="AD1126" s="404"/>
      <c r="AE1126" s="420"/>
      <c r="AF1126" s="421"/>
      <c r="AG1126" s="418"/>
      <c r="AH1126" s="409"/>
      <c r="AI1126" s="404"/>
      <c r="AJ1126" s="416"/>
      <c r="AK1126" s="453"/>
      <c r="AL1126" s="422"/>
      <c r="AM1126" s="423"/>
      <c r="AO1126" s="137" t="e">
        <f t="shared" si="144"/>
        <v>#N/A</v>
      </c>
      <c r="AP1126" s="138" t="e">
        <f t="shared" si="145"/>
        <v>#N/A</v>
      </c>
      <c r="AQ1126" s="138" t="e">
        <f t="shared" si="146"/>
        <v>#N/A</v>
      </c>
      <c r="AR1126" s="138" t="e">
        <f t="shared" si="147"/>
        <v>#N/A</v>
      </c>
      <c r="AS1126" s="138" t="e">
        <f t="shared" si="148"/>
        <v>#N/A</v>
      </c>
      <c r="AT1126" s="139" t="e">
        <f t="shared" si="149"/>
        <v>#N/A</v>
      </c>
    </row>
    <row r="1127" spans="1:46" ht="54" customHeight="1">
      <c r="A1127" s="428">
        <f t="shared" si="150"/>
        <v>1119</v>
      </c>
      <c r="B1127" s="403"/>
      <c r="C1127" s="404"/>
      <c r="D1127" s="405"/>
      <c r="E1127" s="405"/>
      <c r="F1127" s="405"/>
      <c r="G1127" s="405"/>
      <c r="H1127" s="406"/>
      <c r="I1127" s="407"/>
      <c r="J1127" s="408"/>
      <c r="K1127" s="409"/>
      <c r="L1127" s="410"/>
      <c r="M1127" s="404"/>
      <c r="N1127" s="411" t="str">
        <f>IF($AI1127&lt;&gt;"",Master!$N$37,IF($AC1127&lt;&gt;"",Master!$N$38,IF($S1127&lt;&gt;"",Master!$N$39,IF($C1127&lt;&gt;"",Master!$N$40,Master!$N$41))))</f>
        <v>起票</v>
      </c>
      <c r="O1127" s="412" t="str">
        <f>IF($N1127=Master!$N$37,MAX($S1127,$AC1127,$AI1127),"")</f>
        <v/>
      </c>
      <c r="P1127" s="413"/>
      <c r="Q1127" s="414"/>
      <c r="R1127" s="409"/>
      <c r="S1127" s="404"/>
      <c r="T1127" s="418"/>
      <c r="U1127" s="415"/>
      <c r="V1127" s="409"/>
      <c r="W1127" s="419"/>
      <c r="X1127" s="419"/>
      <c r="Y1127" s="416"/>
      <c r="Z1127" s="417"/>
      <c r="AA1127" s="418"/>
      <c r="AB1127" s="419"/>
      <c r="AC1127" s="404"/>
      <c r="AD1127" s="404"/>
      <c r="AE1127" s="420"/>
      <c r="AF1127" s="421"/>
      <c r="AG1127" s="418"/>
      <c r="AH1127" s="409"/>
      <c r="AI1127" s="404"/>
      <c r="AJ1127" s="416"/>
      <c r="AK1127" s="453"/>
      <c r="AL1127" s="422"/>
      <c r="AM1127" s="423"/>
      <c r="AO1127" s="137" t="e">
        <f t="shared" si="144"/>
        <v>#N/A</v>
      </c>
      <c r="AP1127" s="138" t="e">
        <f t="shared" si="145"/>
        <v>#N/A</v>
      </c>
      <c r="AQ1127" s="138" t="e">
        <f t="shared" si="146"/>
        <v>#N/A</v>
      </c>
      <c r="AR1127" s="138" t="e">
        <f t="shared" si="147"/>
        <v>#N/A</v>
      </c>
      <c r="AS1127" s="138" t="e">
        <f t="shared" si="148"/>
        <v>#N/A</v>
      </c>
      <c r="AT1127" s="139" t="e">
        <f t="shared" si="149"/>
        <v>#N/A</v>
      </c>
    </row>
    <row r="1128" spans="1:46" ht="54" customHeight="1">
      <c r="A1128" s="428">
        <f t="shared" si="150"/>
        <v>1120</v>
      </c>
      <c r="B1128" s="294"/>
      <c r="C1128" s="201"/>
      <c r="D1128" s="290"/>
      <c r="E1128" s="301"/>
      <c r="F1128" s="301"/>
      <c r="G1128" s="290"/>
      <c r="H1128" s="291"/>
      <c r="I1128" s="292"/>
      <c r="J1128" s="61"/>
      <c r="K1128" s="57"/>
      <c r="L1128" s="303"/>
      <c r="M1128" s="201"/>
      <c r="N1128" s="84" t="str">
        <f>IF($AI1128&lt;&gt;"",Master!$N$37,IF($AC1128&lt;&gt;"",Master!$N$38,IF($S1128&lt;&gt;"",Master!$N$39,IF($C1128&lt;&gt;"",Master!$N$40,Master!$N$41))))</f>
        <v>起票</v>
      </c>
      <c r="O1128" s="202" t="str">
        <f>IF($N1128=Master!$N$37,MAX($S1128,$AC1128,$AI1128),"")</f>
        <v/>
      </c>
      <c r="P1128" s="65"/>
      <c r="Q1128" s="203"/>
      <c r="R1128" s="57"/>
      <c r="S1128" s="203"/>
      <c r="T1128" s="310"/>
      <c r="U1128" s="289"/>
      <c r="V1128" s="57"/>
      <c r="W1128" s="288"/>
      <c r="X1128" s="288"/>
      <c r="Y1128" s="296"/>
      <c r="Z1128" s="57"/>
      <c r="AA1128" s="203"/>
      <c r="AB1128" s="288"/>
      <c r="AC1128" s="201"/>
      <c r="AD1128" s="298"/>
      <c r="AE1128" s="297"/>
      <c r="AF1128" s="58"/>
      <c r="AG1128" s="204"/>
      <c r="AH1128" s="57"/>
      <c r="AI1128" s="201"/>
      <c r="AJ1128" s="287"/>
      <c r="AK1128" s="452"/>
      <c r="AL1128" s="59"/>
      <c r="AM1128" s="60"/>
      <c r="AO1128" s="137" t="e">
        <f t="shared" si="144"/>
        <v>#N/A</v>
      </c>
      <c r="AP1128" s="138" t="e">
        <f t="shared" si="145"/>
        <v>#N/A</v>
      </c>
      <c r="AQ1128" s="138" t="e">
        <f t="shared" si="146"/>
        <v>#N/A</v>
      </c>
      <c r="AR1128" s="138" t="e">
        <f t="shared" si="147"/>
        <v>#N/A</v>
      </c>
      <c r="AS1128" s="138" t="e">
        <f t="shared" si="148"/>
        <v>#N/A</v>
      </c>
      <c r="AT1128" s="139" t="e">
        <f t="shared" si="149"/>
        <v>#N/A</v>
      </c>
    </row>
    <row r="1129" spans="1:46" ht="54" customHeight="1">
      <c r="A1129" s="428">
        <f t="shared" si="150"/>
        <v>1121</v>
      </c>
      <c r="B1129" s="294"/>
      <c r="C1129" s="201"/>
      <c r="D1129" s="290"/>
      <c r="E1129" s="301"/>
      <c r="F1129" s="301"/>
      <c r="G1129" s="290"/>
      <c r="H1129" s="291"/>
      <c r="I1129" s="292"/>
      <c r="J1129" s="61"/>
      <c r="K1129" s="57"/>
      <c r="L1129" s="303"/>
      <c r="M1129" s="201"/>
      <c r="N1129" s="84" t="str">
        <f>IF($AI1129&lt;&gt;"",Master!$N$37,IF($AC1129&lt;&gt;"",Master!$N$38,IF($S1129&lt;&gt;"",Master!$N$39,IF($C1129&lt;&gt;"",Master!$N$40,Master!$N$41))))</f>
        <v>起票</v>
      </c>
      <c r="O1129" s="202" t="str">
        <f>IF($N1129=Master!$N$37,MAX($S1129,$AC1129,$AI1129),"")</f>
        <v/>
      </c>
      <c r="P1129" s="65"/>
      <c r="Q1129" s="203"/>
      <c r="R1129" s="57"/>
      <c r="S1129" s="203"/>
      <c r="T1129" s="310"/>
      <c r="U1129" s="289"/>
      <c r="V1129" s="57"/>
      <c r="W1129" s="288"/>
      <c r="X1129" s="288"/>
      <c r="Y1129" s="296"/>
      <c r="Z1129" s="57"/>
      <c r="AA1129" s="203"/>
      <c r="AB1129" s="288"/>
      <c r="AC1129" s="201"/>
      <c r="AD1129" s="298"/>
      <c r="AE1129" s="297"/>
      <c r="AF1129" s="58"/>
      <c r="AG1129" s="204"/>
      <c r="AH1129" s="57"/>
      <c r="AI1129" s="201"/>
      <c r="AJ1129" s="287"/>
      <c r="AK1129" s="452"/>
      <c r="AL1129" s="59"/>
      <c r="AM1129" s="60"/>
      <c r="AO1129" s="137" t="e">
        <f t="shared" si="144"/>
        <v>#N/A</v>
      </c>
      <c r="AP1129" s="138" t="e">
        <f t="shared" si="145"/>
        <v>#N/A</v>
      </c>
      <c r="AQ1129" s="138" t="e">
        <f t="shared" si="146"/>
        <v>#N/A</v>
      </c>
      <c r="AR1129" s="138" t="e">
        <f t="shared" si="147"/>
        <v>#N/A</v>
      </c>
      <c r="AS1129" s="138" t="e">
        <f t="shared" si="148"/>
        <v>#N/A</v>
      </c>
      <c r="AT1129" s="139" t="e">
        <f t="shared" si="149"/>
        <v>#N/A</v>
      </c>
    </row>
    <row r="1130" spans="1:46" ht="54" customHeight="1">
      <c r="A1130" s="428">
        <f t="shared" si="150"/>
        <v>1122</v>
      </c>
      <c r="B1130" s="403"/>
      <c r="C1130" s="404"/>
      <c r="D1130" s="405"/>
      <c r="E1130" s="405"/>
      <c r="F1130" s="405"/>
      <c r="G1130" s="405"/>
      <c r="H1130" s="406"/>
      <c r="I1130" s="407"/>
      <c r="J1130" s="408"/>
      <c r="K1130" s="409"/>
      <c r="L1130" s="410"/>
      <c r="M1130" s="404"/>
      <c r="N1130" s="411" t="str">
        <f>IF($AI1130&lt;&gt;"",Master!$N$37,IF($AC1130&lt;&gt;"",Master!$N$38,IF($S1130&lt;&gt;"",Master!$N$39,IF($C1130&lt;&gt;"",Master!$N$40,Master!$N$41))))</f>
        <v>起票</v>
      </c>
      <c r="O1130" s="412" t="str">
        <f>IF($N1130=Master!$N$37,MAX($S1130,$AC1130,$AI1130),"")</f>
        <v/>
      </c>
      <c r="P1130" s="413"/>
      <c r="Q1130" s="414"/>
      <c r="R1130" s="409"/>
      <c r="S1130" s="404"/>
      <c r="T1130" s="418"/>
      <c r="U1130" s="415"/>
      <c r="V1130" s="409"/>
      <c r="W1130" s="419"/>
      <c r="X1130" s="419"/>
      <c r="Y1130" s="416"/>
      <c r="Z1130" s="417"/>
      <c r="AA1130" s="418"/>
      <c r="AB1130" s="419"/>
      <c r="AC1130" s="404"/>
      <c r="AD1130" s="404"/>
      <c r="AE1130" s="420"/>
      <c r="AF1130" s="421"/>
      <c r="AG1130" s="418"/>
      <c r="AH1130" s="409"/>
      <c r="AI1130" s="404"/>
      <c r="AJ1130" s="416"/>
      <c r="AK1130" s="453"/>
      <c r="AL1130" s="422"/>
      <c r="AM1130" s="423"/>
      <c r="AO1130" s="137" t="e">
        <f t="shared" si="144"/>
        <v>#N/A</v>
      </c>
      <c r="AP1130" s="138" t="e">
        <f t="shared" si="145"/>
        <v>#N/A</v>
      </c>
      <c r="AQ1130" s="138" t="e">
        <f t="shared" si="146"/>
        <v>#N/A</v>
      </c>
      <c r="AR1130" s="138" t="e">
        <f t="shared" si="147"/>
        <v>#N/A</v>
      </c>
      <c r="AS1130" s="138" t="e">
        <f t="shared" si="148"/>
        <v>#N/A</v>
      </c>
      <c r="AT1130" s="139" t="e">
        <f t="shared" si="149"/>
        <v>#N/A</v>
      </c>
    </row>
    <row r="1131" spans="1:46" ht="54" customHeight="1">
      <c r="A1131" s="428">
        <f t="shared" si="150"/>
        <v>1123</v>
      </c>
      <c r="B1131" s="403"/>
      <c r="C1131" s="404"/>
      <c r="D1131" s="405"/>
      <c r="E1131" s="405"/>
      <c r="F1131" s="405"/>
      <c r="G1131" s="405"/>
      <c r="H1131" s="406"/>
      <c r="I1131" s="407"/>
      <c r="J1131" s="408"/>
      <c r="K1131" s="409"/>
      <c r="L1131" s="410"/>
      <c r="M1131" s="404"/>
      <c r="N1131" s="411" t="str">
        <f>IF($AI1131&lt;&gt;"",Master!$N$37,IF($AC1131&lt;&gt;"",Master!$N$38,IF($S1131&lt;&gt;"",Master!$N$39,IF($C1131&lt;&gt;"",Master!$N$40,Master!$N$41))))</f>
        <v>起票</v>
      </c>
      <c r="O1131" s="412" t="str">
        <f>IF($N1131=Master!$N$37,MAX($S1131,$AC1131,$AI1131),"")</f>
        <v/>
      </c>
      <c r="P1131" s="413"/>
      <c r="Q1131" s="414"/>
      <c r="R1131" s="409"/>
      <c r="S1131" s="404"/>
      <c r="T1131" s="418"/>
      <c r="U1131" s="415"/>
      <c r="V1131" s="409"/>
      <c r="W1131" s="419"/>
      <c r="X1131" s="419"/>
      <c r="Y1131" s="416"/>
      <c r="Z1131" s="417"/>
      <c r="AA1131" s="418"/>
      <c r="AB1131" s="419"/>
      <c r="AC1131" s="404"/>
      <c r="AD1131" s="404"/>
      <c r="AE1131" s="420"/>
      <c r="AF1131" s="421"/>
      <c r="AG1131" s="418"/>
      <c r="AH1131" s="409"/>
      <c r="AI1131" s="404"/>
      <c r="AJ1131" s="416"/>
      <c r="AK1131" s="453"/>
      <c r="AL1131" s="422"/>
      <c r="AM1131" s="423"/>
      <c r="AO1131" s="137" t="e">
        <f t="shared" si="144"/>
        <v>#N/A</v>
      </c>
      <c r="AP1131" s="138" t="e">
        <f t="shared" si="145"/>
        <v>#N/A</v>
      </c>
      <c r="AQ1131" s="138" t="e">
        <f t="shared" si="146"/>
        <v>#N/A</v>
      </c>
      <c r="AR1131" s="138" t="e">
        <f t="shared" si="147"/>
        <v>#N/A</v>
      </c>
      <c r="AS1131" s="138" t="e">
        <f t="shared" si="148"/>
        <v>#N/A</v>
      </c>
      <c r="AT1131" s="139" t="e">
        <f t="shared" si="149"/>
        <v>#N/A</v>
      </c>
    </row>
    <row r="1132" spans="1:46" ht="54" customHeight="1">
      <c r="A1132" s="428">
        <f t="shared" si="150"/>
        <v>1124</v>
      </c>
      <c r="B1132" s="403"/>
      <c r="C1132" s="404"/>
      <c r="D1132" s="405"/>
      <c r="E1132" s="405"/>
      <c r="F1132" s="405"/>
      <c r="G1132" s="405"/>
      <c r="H1132" s="406"/>
      <c r="I1132" s="407"/>
      <c r="J1132" s="408"/>
      <c r="K1132" s="409"/>
      <c r="L1132" s="410"/>
      <c r="M1132" s="404"/>
      <c r="N1132" s="411" t="str">
        <f>IF($AI1132&lt;&gt;"",Master!$N$37,IF($AC1132&lt;&gt;"",Master!$N$38,IF($S1132&lt;&gt;"",Master!$N$39,IF($C1132&lt;&gt;"",Master!$N$40,Master!$N$41))))</f>
        <v>起票</v>
      </c>
      <c r="O1132" s="412" t="str">
        <f>IF($N1132=Master!$N$37,MAX($S1132,$AC1132,$AI1132),"")</f>
        <v/>
      </c>
      <c r="P1132" s="413"/>
      <c r="Q1132" s="414"/>
      <c r="R1132" s="409"/>
      <c r="S1132" s="404"/>
      <c r="T1132" s="418"/>
      <c r="U1132" s="415"/>
      <c r="V1132" s="409"/>
      <c r="W1132" s="419"/>
      <c r="X1132" s="419"/>
      <c r="Y1132" s="416"/>
      <c r="Z1132" s="417"/>
      <c r="AA1132" s="418"/>
      <c r="AB1132" s="419"/>
      <c r="AC1132" s="404"/>
      <c r="AD1132" s="404"/>
      <c r="AE1132" s="420"/>
      <c r="AF1132" s="421"/>
      <c r="AG1132" s="418"/>
      <c r="AH1132" s="409"/>
      <c r="AI1132" s="404"/>
      <c r="AJ1132" s="416"/>
      <c r="AK1132" s="453"/>
      <c r="AL1132" s="422"/>
      <c r="AM1132" s="423"/>
      <c r="AO1132" s="137" t="e">
        <f t="shared" si="144"/>
        <v>#N/A</v>
      </c>
      <c r="AP1132" s="138" t="e">
        <f t="shared" si="145"/>
        <v>#N/A</v>
      </c>
      <c r="AQ1132" s="138" t="e">
        <f t="shared" si="146"/>
        <v>#N/A</v>
      </c>
      <c r="AR1132" s="138" t="e">
        <f t="shared" si="147"/>
        <v>#N/A</v>
      </c>
      <c r="AS1132" s="138" t="e">
        <f t="shared" si="148"/>
        <v>#N/A</v>
      </c>
      <c r="AT1132" s="139" t="e">
        <f t="shared" si="149"/>
        <v>#N/A</v>
      </c>
    </row>
    <row r="1133" spans="1:46" ht="54" customHeight="1">
      <c r="A1133" s="428">
        <f t="shared" si="150"/>
        <v>1125</v>
      </c>
      <c r="B1133" s="294"/>
      <c r="C1133" s="201"/>
      <c r="D1133" s="290"/>
      <c r="E1133" s="301"/>
      <c r="F1133" s="301"/>
      <c r="G1133" s="290"/>
      <c r="H1133" s="291"/>
      <c r="I1133" s="292"/>
      <c r="J1133" s="61"/>
      <c r="K1133" s="57"/>
      <c r="L1133" s="303"/>
      <c r="M1133" s="201"/>
      <c r="N1133" s="84" t="str">
        <f>IF($AI1133&lt;&gt;"",Master!$N$37,IF($AC1133&lt;&gt;"",Master!$N$38,IF($S1133&lt;&gt;"",Master!$N$39,IF($C1133&lt;&gt;"",Master!$N$40,Master!$N$41))))</f>
        <v>起票</v>
      </c>
      <c r="O1133" s="202" t="str">
        <f>IF($N1133=Master!$N$37,MAX($S1133,$AC1133,$AI1133),"")</f>
        <v/>
      </c>
      <c r="P1133" s="65"/>
      <c r="Q1133" s="203"/>
      <c r="R1133" s="57"/>
      <c r="S1133" s="203"/>
      <c r="T1133" s="310"/>
      <c r="U1133" s="289"/>
      <c r="V1133" s="57"/>
      <c r="W1133" s="288"/>
      <c r="X1133" s="288"/>
      <c r="Y1133" s="296"/>
      <c r="Z1133" s="57"/>
      <c r="AA1133" s="203"/>
      <c r="AB1133" s="288"/>
      <c r="AC1133" s="201"/>
      <c r="AD1133" s="298"/>
      <c r="AE1133" s="297"/>
      <c r="AF1133" s="58"/>
      <c r="AG1133" s="204"/>
      <c r="AH1133" s="57"/>
      <c r="AI1133" s="201"/>
      <c r="AJ1133" s="287"/>
      <c r="AK1133" s="452"/>
      <c r="AL1133" s="59"/>
      <c r="AM1133" s="60"/>
      <c r="AO1133" s="137" t="e">
        <f t="shared" si="144"/>
        <v>#N/A</v>
      </c>
      <c r="AP1133" s="138" t="e">
        <f t="shared" si="145"/>
        <v>#N/A</v>
      </c>
      <c r="AQ1133" s="138" t="e">
        <f t="shared" si="146"/>
        <v>#N/A</v>
      </c>
      <c r="AR1133" s="138" t="e">
        <f t="shared" si="147"/>
        <v>#N/A</v>
      </c>
      <c r="AS1133" s="138" t="e">
        <f t="shared" si="148"/>
        <v>#N/A</v>
      </c>
      <c r="AT1133" s="139" t="e">
        <f t="shared" si="149"/>
        <v>#N/A</v>
      </c>
    </row>
    <row r="1134" spans="1:46" ht="54" customHeight="1">
      <c r="A1134" s="428">
        <f t="shared" si="150"/>
        <v>1126</v>
      </c>
      <c r="B1134" s="294"/>
      <c r="C1134" s="201"/>
      <c r="D1134" s="290"/>
      <c r="E1134" s="301"/>
      <c r="F1134" s="301"/>
      <c r="G1134" s="290"/>
      <c r="H1134" s="291"/>
      <c r="I1134" s="292"/>
      <c r="J1134" s="61"/>
      <c r="K1134" s="57"/>
      <c r="L1134" s="303"/>
      <c r="M1134" s="201"/>
      <c r="N1134" s="84" t="str">
        <f>IF($AI1134&lt;&gt;"",Master!$N$37,IF($AC1134&lt;&gt;"",Master!$N$38,IF($S1134&lt;&gt;"",Master!$N$39,IF($C1134&lt;&gt;"",Master!$N$40,Master!$N$41))))</f>
        <v>起票</v>
      </c>
      <c r="O1134" s="202" t="str">
        <f>IF($N1134=Master!$N$37,MAX($S1134,$AC1134,$AI1134),"")</f>
        <v/>
      </c>
      <c r="P1134" s="65"/>
      <c r="Q1134" s="203"/>
      <c r="R1134" s="57"/>
      <c r="S1134" s="203"/>
      <c r="T1134" s="310"/>
      <c r="U1134" s="289"/>
      <c r="V1134" s="57"/>
      <c r="W1134" s="288"/>
      <c r="X1134" s="288"/>
      <c r="Y1134" s="296"/>
      <c r="Z1134" s="57"/>
      <c r="AA1134" s="203"/>
      <c r="AB1134" s="288"/>
      <c r="AC1134" s="201"/>
      <c r="AD1134" s="298"/>
      <c r="AE1134" s="297"/>
      <c r="AF1134" s="58"/>
      <c r="AG1134" s="204"/>
      <c r="AH1134" s="57"/>
      <c r="AI1134" s="201"/>
      <c r="AJ1134" s="287"/>
      <c r="AK1134" s="452"/>
      <c r="AL1134" s="59"/>
      <c r="AM1134" s="60"/>
      <c r="AO1134" s="137" t="e">
        <f t="shared" si="144"/>
        <v>#N/A</v>
      </c>
      <c r="AP1134" s="138" t="e">
        <f t="shared" si="145"/>
        <v>#N/A</v>
      </c>
      <c r="AQ1134" s="138" t="e">
        <f t="shared" si="146"/>
        <v>#N/A</v>
      </c>
      <c r="AR1134" s="138" t="e">
        <f t="shared" si="147"/>
        <v>#N/A</v>
      </c>
      <c r="AS1134" s="138" t="e">
        <f t="shared" si="148"/>
        <v>#N/A</v>
      </c>
      <c r="AT1134" s="139" t="e">
        <f t="shared" si="149"/>
        <v>#N/A</v>
      </c>
    </row>
    <row r="1135" spans="1:46" ht="54" customHeight="1">
      <c r="A1135" s="428">
        <f t="shared" si="150"/>
        <v>1127</v>
      </c>
      <c r="B1135" s="403"/>
      <c r="C1135" s="404"/>
      <c r="D1135" s="405"/>
      <c r="E1135" s="405"/>
      <c r="F1135" s="405"/>
      <c r="G1135" s="405"/>
      <c r="H1135" s="406"/>
      <c r="I1135" s="407"/>
      <c r="J1135" s="408"/>
      <c r="K1135" s="409"/>
      <c r="L1135" s="410"/>
      <c r="M1135" s="404"/>
      <c r="N1135" s="411" t="str">
        <f>IF($AI1135&lt;&gt;"",Master!$N$37,IF($AC1135&lt;&gt;"",Master!$N$38,IF($S1135&lt;&gt;"",Master!$N$39,IF($C1135&lt;&gt;"",Master!$N$40,Master!$N$41))))</f>
        <v>起票</v>
      </c>
      <c r="O1135" s="412" t="str">
        <f>IF($N1135=Master!$N$37,MAX($S1135,$AC1135,$AI1135),"")</f>
        <v/>
      </c>
      <c r="P1135" s="413"/>
      <c r="Q1135" s="414"/>
      <c r="R1135" s="409"/>
      <c r="S1135" s="404"/>
      <c r="T1135" s="418"/>
      <c r="U1135" s="415"/>
      <c r="V1135" s="409"/>
      <c r="W1135" s="419"/>
      <c r="X1135" s="419"/>
      <c r="Y1135" s="416"/>
      <c r="Z1135" s="417"/>
      <c r="AA1135" s="418"/>
      <c r="AB1135" s="419"/>
      <c r="AC1135" s="404"/>
      <c r="AD1135" s="404"/>
      <c r="AE1135" s="420"/>
      <c r="AF1135" s="421"/>
      <c r="AG1135" s="418"/>
      <c r="AH1135" s="409"/>
      <c r="AI1135" s="404"/>
      <c r="AJ1135" s="416"/>
      <c r="AK1135" s="453"/>
      <c r="AL1135" s="422"/>
      <c r="AM1135" s="423"/>
      <c r="AO1135" s="137" t="e">
        <f t="shared" si="144"/>
        <v>#N/A</v>
      </c>
      <c r="AP1135" s="138" t="e">
        <f t="shared" si="145"/>
        <v>#N/A</v>
      </c>
      <c r="AQ1135" s="138" t="e">
        <f t="shared" si="146"/>
        <v>#N/A</v>
      </c>
      <c r="AR1135" s="138" t="e">
        <f t="shared" si="147"/>
        <v>#N/A</v>
      </c>
      <c r="AS1135" s="138" t="e">
        <f t="shared" si="148"/>
        <v>#N/A</v>
      </c>
      <c r="AT1135" s="139" t="e">
        <f t="shared" si="149"/>
        <v>#N/A</v>
      </c>
    </row>
    <row r="1136" spans="1:46" ht="54" customHeight="1">
      <c r="A1136" s="428">
        <f t="shared" si="150"/>
        <v>1128</v>
      </c>
      <c r="B1136" s="403"/>
      <c r="C1136" s="404"/>
      <c r="D1136" s="405"/>
      <c r="E1136" s="405"/>
      <c r="F1136" s="405"/>
      <c r="G1136" s="405"/>
      <c r="H1136" s="406"/>
      <c r="I1136" s="407"/>
      <c r="J1136" s="408"/>
      <c r="K1136" s="409"/>
      <c r="L1136" s="410"/>
      <c r="M1136" s="404"/>
      <c r="N1136" s="411" t="str">
        <f>IF($AI1136&lt;&gt;"",Master!$N$37,IF($AC1136&lt;&gt;"",Master!$N$38,IF($S1136&lt;&gt;"",Master!$N$39,IF($C1136&lt;&gt;"",Master!$N$40,Master!$N$41))))</f>
        <v>起票</v>
      </c>
      <c r="O1136" s="412" t="str">
        <f>IF($N1136=Master!$N$37,MAX($S1136,$AC1136,$AI1136),"")</f>
        <v/>
      </c>
      <c r="P1136" s="413"/>
      <c r="Q1136" s="414"/>
      <c r="R1136" s="409"/>
      <c r="S1136" s="404"/>
      <c r="T1136" s="418"/>
      <c r="U1136" s="415"/>
      <c r="V1136" s="409"/>
      <c r="W1136" s="419"/>
      <c r="X1136" s="419"/>
      <c r="Y1136" s="416"/>
      <c r="Z1136" s="417"/>
      <c r="AA1136" s="418"/>
      <c r="AB1136" s="419"/>
      <c r="AC1136" s="404"/>
      <c r="AD1136" s="404"/>
      <c r="AE1136" s="420"/>
      <c r="AF1136" s="421"/>
      <c r="AG1136" s="418"/>
      <c r="AH1136" s="409"/>
      <c r="AI1136" s="404"/>
      <c r="AJ1136" s="416"/>
      <c r="AK1136" s="453"/>
      <c r="AL1136" s="422"/>
      <c r="AM1136" s="423"/>
      <c r="AO1136" s="137" t="e">
        <f t="shared" si="144"/>
        <v>#N/A</v>
      </c>
      <c r="AP1136" s="138" t="e">
        <f t="shared" si="145"/>
        <v>#N/A</v>
      </c>
      <c r="AQ1136" s="138" t="e">
        <f t="shared" si="146"/>
        <v>#N/A</v>
      </c>
      <c r="AR1136" s="138" t="e">
        <f t="shared" si="147"/>
        <v>#N/A</v>
      </c>
      <c r="AS1136" s="138" t="e">
        <f t="shared" si="148"/>
        <v>#N/A</v>
      </c>
      <c r="AT1136" s="139" t="e">
        <f t="shared" si="149"/>
        <v>#N/A</v>
      </c>
    </row>
    <row r="1137" spans="1:46" ht="54" customHeight="1">
      <c r="A1137" s="428">
        <f t="shared" si="150"/>
        <v>1129</v>
      </c>
      <c r="B1137" s="403"/>
      <c r="C1137" s="404"/>
      <c r="D1137" s="405"/>
      <c r="E1137" s="405"/>
      <c r="F1137" s="405"/>
      <c r="G1137" s="405"/>
      <c r="H1137" s="406"/>
      <c r="I1137" s="407"/>
      <c r="J1137" s="408"/>
      <c r="K1137" s="409"/>
      <c r="L1137" s="410"/>
      <c r="M1137" s="404"/>
      <c r="N1137" s="411" t="str">
        <f>IF($AI1137&lt;&gt;"",Master!$N$37,IF($AC1137&lt;&gt;"",Master!$N$38,IF($S1137&lt;&gt;"",Master!$N$39,IF($C1137&lt;&gt;"",Master!$N$40,Master!$N$41))))</f>
        <v>起票</v>
      </c>
      <c r="O1137" s="412" t="str">
        <f>IF($N1137=Master!$N$37,MAX($S1137,$AC1137,$AI1137),"")</f>
        <v/>
      </c>
      <c r="P1137" s="413"/>
      <c r="Q1137" s="414"/>
      <c r="R1137" s="409"/>
      <c r="S1137" s="404"/>
      <c r="T1137" s="418"/>
      <c r="U1137" s="415"/>
      <c r="V1137" s="409"/>
      <c r="W1137" s="419"/>
      <c r="X1137" s="419"/>
      <c r="Y1137" s="416"/>
      <c r="Z1137" s="417"/>
      <c r="AA1137" s="418"/>
      <c r="AB1137" s="419"/>
      <c r="AC1137" s="404"/>
      <c r="AD1137" s="404"/>
      <c r="AE1137" s="420"/>
      <c r="AF1137" s="421"/>
      <c r="AG1137" s="418"/>
      <c r="AH1137" s="409"/>
      <c r="AI1137" s="404"/>
      <c r="AJ1137" s="416"/>
      <c r="AK1137" s="453"/>
      <c r="AL1137" s="422"/>
      <c r="AM1137" s="423"/>
      <c r="AO1137" s="137" t="e">
        <f t="shared" si="144"/>
        <v>#N/A</v>
      </c>
      <c r="AP1137" s="138" t="e">
        <f t="shared" si="145"/>
        <v>#N/A</v>
      </c>
      <c r="AQ1137" s="138" t="e">
        <f t="shared" si="146"/>
        <v>#N/A</v>
      </c>
      <c r="AR1137" s="138" t="e">
        <f t="shared" si="147"/>
        <v>#N/A</v>
      </c>
      <c r="AS1137" s="138" t="e">
        <f t="shared" si="148"/>
        <v>#N/A</v>
      </c>
      <c r="AT1137" s="139" t="e">
        <f t="shared" si="149"/>
        <v>#N/A</v>
      </c>
    </row>
    <row r="1138" spans="1:46" ht="54" customHeight="1">
      <c r="A1138" s="428">
        <f t="shared" si="150"/>
        <v>1130</v>
      </c>
      <c r="B1138" s="294"/>
      <c r="C1138" s="201"/>
      <c r="D1138" s="290"/>
      <c r="E1138" s="301"/>
      <c r="F1138" s="301"/>
      <c r="G1138" s="290"/>
      <c r="H1138" s="291"/>
      <c r="I1138" s="292"/>
      <c r="J1138" s="61"/>
      <c r="K1138" s="57"/>
      <c r="L1138" s="303"/>
      <c r="M1138" s="201"/>
      <c r="N1138" s="84" t="str">
        <f>IF($AI1138&lt;&gt;"",Master!$N$37,IF($AC1138&lt;&gt;"",Master!$N$38,IF($S1138&lt;&gt;"",Master!$N$39,IF($C1138&lt;&gt;"",Master!$N$40,Master!$N$41))))</f>
        <v>起票</v>
      </c>
      <c r="O1138" s="202" t="str">
        <f>IF($N1138=Master!$N$37,MAX($S1138,$AC1138,$AI1138),"")</f>
        <v/>
      </c>
      <c r="P1138" s="65"/>
      <c r="Q1138" s="203"/>
      <c r="R1138" s="57"/>
      <c r="S1138" s="203"/>
      <c r="T1138" s="310"/>
      <c r="U1138" s="289"/>
      <c r="V1138" s="57"/>
      <c r="W1138" s="288"/>
      <c r="X1138" s="288"/>
      <c r="Y1138" s="296"/>
      <c r="Z1138" s="57"/>
      <c r="AA1138" s="203"/>
      <c r="AB1138" s="288"/>
      <c r="AC1138" s="201"/>
      <c r="AD1138" s="298"/>
      <c r="AE1138" s="297"/>
      <c r="AF1138" s="58"/>
      <c r="AG1138" s="204"/>
      <c r="AH1138" s="57"/>
      <c r="AI1138" s="201"/>
      <c r="AJ1138" s="287"/>
      <c r="AK1138" s="452"/>
      <c r="AL1138" s="59"/>
      <c r="AM1138" s="60"/>
      <c r="AO1138" s="137" t="e">
        <f t="shared" si="144"/>
        <v>#N/A</v>
      </c>
      <c r="AP1138" s="138" t="e">
        <f t="shared" si="145"/>
        <v>#N/A</v>
      </c>
      <c r="AQ1138" s="138" t="e">
        <f t="shared" si="146"/>
        <v>#N/A</v>
      </c>
      <c r="AR1138" s="138" t="e">
        <f t="shared" si="147"/>
        <v>#N/A</v>
      </c>
      <c r="AS1138" s="138" t="e">
        <f t="shared" si="148"/>
        <v>#N/A</v>
      </c>
      <c r="AT1138" s="139" t="e">
        <f t="shared" si="149"/>
        <v>#N/A</v>
      </c>
    </row>
    <row r="1139" spans="1:46" ht="54" customHeight="1">
      <c r="A1139" s="428">
        <f t="shared" si="150"/>
        <v>1131</v>
      </c>
      <c r="B1139" s="294"/>
      <c r="C1139" s="201"/>
      <c r="D1139" s="290"/>
      <c r="E1139" s="301"/>
      <c r="F1139" s="301"/>
      <c r="G1139" s="290"/>
      <c r="H1139" s="291"/>
      <c r="I1139" s="292"/>
      <c r="J1139" s="61"/>
      <c r="K1139" s="57"/>
      <c r="L1139" s="303"/>
      <c r="M1139" s="201"/>
      <c r="N1139" s="84" t="str">
        <f>IF($AI1139&lt;&gt;"",Master!$N$37,IF($AC1139&lt;&gt;"",Master!$N$38,IF($S1139&lt;&gt;"",Master!$N$39,IF($C1139&lt;&gt;"",Master!$N$40,Master!$N$41))))</f>
        <v>起票</v>
      </c>
      <c r="O1139" s="202" t="str">
        <f>IF($N1139=Master!$N$37,MAX($S1139,$AC1139,$AI1139),"")</f>
        <v/>
      </c>
      <c r="P1139" s="65"/>
      <c r="Q1139" s="203"/>
      <c r="R1139" s="57"/>
      <c r="S1139" s="203"/>
      <c r="T1139" s="310"/>
      <c r="U1139" s="289"/>
      <c r="V1139" s="57"/>
      <c r="W1139" s="288"/>
      <c r="X1139" s="288"/>
      <c r="Y1139" s="296"/>
      <c r="Z1139" s="57"/>
      <c r="AA1139" s="203"/>
      <c r="AB1139" s="288"/>
      <c r="AC1139" s="201"/>
      <c r="AD1139" s="298"/>
      <c r="AE1139" s="297"/>
      <c r="AF1139" s="58"/>
      <c r="AG1139" s="204"/>
      <c r="AH1139" s="57"/>
      <c r="AI1139" s="201"/>
      <c r="AJ1139" s="287"/>
      <c r="AK1139" s="452"/>
      <c r="AL1139" s="59"/>
      <c r="AM1139" s="60"/>
      <c r="AO1139" s="137" t="e">
        <f t="shared" si="144"/>
        <v>#N/A</v>
      </c>
      <c r="AP1139" s="138" t="e">
        <f t="shared" si="145"/>
        <v>#N/A</v>
      </c>
      <c r="AQ1139" s="138" t="e">
        <f t="shared" si="146"/>
        <v>#N/A</v>
      </c>
      <c r="AR1139" s="138" t="e">
        <f t="shared" si="147"/>
        <v>#N/A</v>
      </c>
      <c r="AS1139" s="138" t="e">
        <f t="shared" si="148"/>
        <v>#N/A</v>
      </c>
      <c r="AT1139" s="139" t="e">
        <f t="shared" si="149"/>
        <v>#N/A</v>
      </c>
    </row>
    <row r="1140" spans="1:46" ht="54" customHeight="1">
      <c r="A1140" s="428">
        <f t="shared" si="150"/>
        <v>1132</v>
      </c>
      <c r="B1140" s="403"/>
      <c r="C1140" s="404"/>
      <c r="D1140" s="405"/>
      <c r="E1140" s="405"/>
      <c r="F1140" s="405"/>
      <c r="G1140" s="405"/>
      <c r="H1140" s="406"/>
      <c r="I1140" s="407"/>
      <c r="J1140" s="408"/>
      <c r="K1140" s="409"/>
      <c r="L1140" s="410"/>
      <c r="M1140" s="404"/>
      <c r="N1140" s="411" t="str">
        <f>IF($AI1140&lt;&gt;"",Master!$N$37,IF($AC1140&lt;&gt;"",Master!$N$38,IF($S1140&lt;&gt;"",Master!$N$39,IF($C1140&lt;&gt;"",Master!$N$40,Master!$N$41))))</f>
        <v>起票</v>
      </c>
      <c r="O1140" s="412" t="str">
        <f>IF($N1140=Master!$N$37,MAX($S1140,$AC1140,$AI1140),"")</f>
        <v/>
      </c>
      <c r="P1140" s="413"/>
      <c r="Q1140" s="414"/>
      <c r="R1140" s="409"/>
      <c r="S1140" s="404"/>
      <c r="T1140" s="418"/>
      <c r="U1140" s="415"/>
      <c r="V1140" s="409"/>
      <c r="W1140" s="419"/>
      <c r="X1140" s="419"/>
      <c r="Y1140" s="416"/>
      <c r="Z1140" s="417"/>
      <c r="AA1140" s="418"/>
      <c r="AB1140" s="419"/>
      <c r="AC1140" s="404"/>
      <c r="AD1140" s="404"/>
      <c r="AE1140" s="420"/>
      <c r="AF1140" s="421"/>
      <c r="AG1140" s="418"/>
      <c r="AH1140" s="409"/>
      <c r="AI1140" s="404"/>
      <c r="AJ1140" s="416"/>
      <c r="AK1140" s="453"/>
      <c r="AL1140" s="422"/>
      <c r="AM1140" s="423"/>
      <c r="AO1140" s="137" t="e">
        <f t="shared" si="144"/>
        <v>#N/A</v>
      </c>
      <c r="AP1140" s="138" t="e">
        <f t="shared" si="145"/>
        <v>#N/A</v>
      </c>
      <c r="AQ1140" s="138" t="e">
        <f t="shared" si="146"/>
        <v>#N/A</v>
      </c>
      <c r="AR1140" s="138" t="e">
        <f t="shared" si="147"/>
        <v>#N/A</v>
      </c>
      <c r="AS1140" s="138" t="e">
        <f t="shared" si="148"/>
        <v>#N/A</v>
      </c>
      <c r="AT1140" s="139" t="e">
        <f t="shared" si="149"/>
        <v>#N/A</v>
      </c>
    </row>
    <row r="1141" spans="1:46" ht="54" customHeight="1">
      <c r="A1141" s="428">
        <f t="shared" si="150"/>
        <v>1133</v>
      </c>
      <c r="B1141" s="403"/>
      <c r="C1141" s="404"/>
      <c r="D1141" s="405"/>
      <c r="E1141" s="405"/>
      <c r="F1141" s="405"/>
      <c r="G1141" s="405"/>
      <c r="H1141" s="406"/>
      <c r="I1141" s="407"/>
      <c r="J1141" s="408"/>
      <c r="K1141" s="409"/>
      <c r="L1141" s="410"/>
      <c r="M1141" s="404"/>
      <c r="N1141" s="411" t="str">
        <f>IF($AI1141&lt;&gt;"",Master!$N$37,IF($AC1141&lt;&gt;"",Master!$N$38,IF($S1141&lt;&gt;"",Master!$N$39,IF($C1141&lt;&gt;"",Master!$N$40,Master!$N$41))))</f>
        <v>起票</v>
      </c>
      <c r="O1141" s="412" t="str">
        <f>IF($N1141=Master!$N$37,MAX($S1141,$AC1141,$AI1141),"")</f>
        <v/>
      </c>
      <c r="P1141" s="413"/>
      <c r="Q1141" s="414"/>
      <c r="R1141" s="409"/>
      <c r="S1141" s="404"/>
      <c r="T1141" s="418"/>
      <c r="U1141" s="415"/>
      <c r="V1141" s="409"/>
      <c r="W1141" s="419"/>
      <c r="X1141" s="419"/>
      <c r="Y1141" s="416"/>
      <c r="Z1141" s="417"/>
      <c r="AA1141" s="418"/>
      <c r="AB1141" s="419"/>
      <c r="AC1141" s="404"/>
      <c r="AD1141" s="404"/>
      <c r="AE1141" s="420"/>
      <c r="AF1141" s="421"/>
      <c r="AG1141" s="418"/>
      <c r="AH1141" s="409"/>
      <c r="AI1141" s="404"/>
      <c r="AJ1141" s="416"/>
      <c r="AK1141" s="453"/>
      <c r="AL1141" s="422"/>
      <c r="AM1141" s="423"/>
      <c r="AO1141" s="137" t="e">
        <f t="shared" si="144"/>
        <v>#N/A</v>
      </c>
      <c r="AP1141" s="138" t="e">
        <f t="shared" si="145"/>
        <v>#N/A</v>
      </c>
      <c r="AQ1141" s="138" t="e">
        <f t="shared" si="146"/>
        <v>#N/A</v>
      </c>
      <c r="AR1141" s="138" t="e">
        <f t="shared" si="147"/>
        <v>#N/A</v>
      </c>
      <c r="AS1141" s="138" t="e">
        <f t="shared" si="148"/>
        <v>#N/A</v>
      </c>
      <c r="AT1141" s="139" t="e">
        <f t="shared" si="149"/>
        <v>#N/A</v>
      </c>
    </row>
    <row r="1142" spans="1:46" ht="54" customHeight="1">
      <c r="A1142" s="428">
        <f t="shared" si="150"/>
        <v>1134</v>
      </c>
      <c r="B1142" s="403"/>
      <c r="C1142" s="404"/>
      <c r="D1142" s="405"/>
      <c r="E1142" s="405"/>
      <c r="F1142" s="405"/>
      <c r="G1142" s="405"/>
      <c r="H1142" s="406"/>
      <c r="I1142" s="407"/>
      <c r="J1142" s="408"/>
      <c r="K1142" s="409"/>
      <c r="L1142" s="410"/>
      <c r="M1142" s="404"/>
      <c r="N1142" s="411" t="str">
        <f>IF($AI1142&lt;&gt;"",Master!$N$37,IF($AC1142&lt;&gt;"",Master!$N$38,IF($S1142&lt;&gt;"",Master!$N$39,IF($C1142&lt;&gt;"",Master!$N$40,Master!$N$41))))</f>
        <v>起票</v>
      </c>
      <c r="O1142" s="412" t="str">
        <f>IF($N1142=Master!$N$37,MAX($S1142,$AC1142,$AI1142),"")</f>
        <v/>
      </c>
      <c r="P1142" s="413"/>
      <c r="Q1142" s="414"/>
      <c r="R1142" s="409"/>
      <c r="S1142" s="404"/>
      <c r="T1142" s="418"/>
      <c r="U1142" s="415"/>
      <c r="V1142" s="409"/>
      <c r="W1142" s="419"/>
      <c r="X1142" s="419"/>
      <c r="Y1142" s="416"/>
      <c r="Z1142" s="417"/>
      <c r="AA1142" s="418"/>
      <c r="AB1142" s="419"/>
      <c r="AC1142" s="404"/>
      <c r="AD1142" s="404"/>
      <c r="AE1142" s="420"/>
      <c r="AF1142" s="421"/>
      <c r="AG1142" s="418"/>
      <c r="AH1142" s="409"/>
      <c r="AI1142" s="404"/>
      <c r="AJ1142" s="416"/>
      <c r="AK1142" s="453"/>
      <c r="AL1142" s="422"/>
      <c r="AM1142" s="423"/>
      <c r="AO1142" s="137" t="e">
        <f t="shared" si="144"/>
        <v>#N/A</v>
      </c>
      <c r="AP1142" s="138" t="e">
        <f t="shared" si="145"/>
        <v>#N/A</v>
      </c>
      <c r="AQ1142" s="138" t="e">
        <f t="shared" si="146"/>
        <v>#N/A</v>
      </c>
      <c r="AR1142" s="138" t="e">
        <f t="shared" si="147"/>
        <v>#N/A</v>
      </c>
      <c r="AS1142" s="138" t="e">
        <f t="shared" si="148"/>
        <v>#N/A</v>
      </c>
      <c r="AT1142" s="139" t="e">
        <f t="shared" si="149"/>
        <v>#N/A</v>
      </c>
    </row>
    <row r="1143" spans="1:46" ht="54" customHeight="1">
      <c r="A1143" s="428">
        <f t="shared" si="150"/>
        <v>1135</v>
      </c>
      <c r="B1143" s="294"/>
      <c r="C1143" s="201"/>
      <c r="D1143" s="290"/>
      <c r="E1143" s="301"/>
      <c r="F1143" s="301"/>
      <c r="G1143" s="290"/>
      <c r="H1143" s="291"/>
      <c r="I1143" s="292"/>
      <c r="J1143" s="61"/>
      <c r="K1143" s="57"/>
      <c r="L1143" s="303"/>
      <c r="M1143" s="201"/>
      <c r="N1143" s="84" t="str">
        <f>IF($AI1143&lt;&gt;"",Master!$N$37,IF($AC1143&lt;&gt;"",Master!$N$38,IF($S1143&lt;&gt;"",Master!$N$39,IF($C1143&lt;&gt;"",Master!$N$40,Master!$N$41))))</f>
        <v>起票</v>
      </c>
      <c r="O1143" s="202" t="str">
        <f>IF($N1143=Master!$N$37,MAX($S1143,$AC1143,$AI1143),"")</f>
        <v/>
      </c>
      <c r="P1143" s="65"/>
      <c r="Q1143" s="203"/>
      <c r="R1143" s="57"/>
      <c r="S1143" s="203"/>
      <c r="T1143" s="310"/>
      <c r="U1143" s="289"/>
      <c r="V1143" s="57"/>
      <c r="W1143" s="288"/>
      <c r="X1143" s="288"/>
      <c r="Y1143" s="296"/>
      <c r="Z1143" s="57"/>
      <c r="AA1143" s="203"/>
      <c r="AB1143" s="288"/>
      <c r="AC1143" s="201"/>
      <c r="AD1143" s="298"/>
      <c r="AE1143" s="297"/>
      <c r="AF1143" s="58"/>
      <c r="AG1143" s="204"/>
      <c r="AH1143" s="57"/>
      <c r="AI1143" s="201"/>
      <c r="AJ1143" s="287"/>
      <c r="AK1143" s="452"/>
      <c r="AL1143" s="59"/>
      <c r="AM1143" s="60"/>
      <c r="AO1143" s="137" t="e">
        <f t="shared" si="144"/>
        <v>#N/A</v>
      </c>
      <c r="AP1143" s="138" t="e">
        <f t="shared" si="145"/>
        <v>#N/A</v>
      </c>
      <c r="AQ1143" s="138" t="e">
        <f t="shared" si="146"/>
        <v>#N/A</v>
      </c>
      <c r="AR1143" s="138" t="e">
        <f t="shared" si="147"/>
        <v>#N/A</v>
      </c>
      <c r="AS1143" s="138" t="e">
        <f t="shared" si="148"/>
        <v>#N/A</v>
      </c>
      <c r="AT1143" s="139" t="e">
        <f t="shared" si="149"/>
        <v>#N/A</v>
      </c>
    </row>
    <row r="1144" spans="1:46" ht="54" customHeight="1">
      <c r="A1144" s="428">
        <f t="shared" si="150"/>
        <v>1136</v>
      </c>
      <c r="B1144" s="294"/>
      <c r="C1144" s="201"/>
      <c r="D1144" s="290"/>
      <c r="E1144" s="301"/>
      <c r="F1144" s="301"/>
      <c r="G1144" s="290"/>
      <c r="H1144" s="291"/>
      <c r="I1144" s="292"/>
      <c r="J1144" s="61"/>
      <c r="K1144" s="57"/>
      <c r="L1144" s="303"/>
      <c r="M1144" s="201"/>
      <c r="N1144" s="84" t="str">
        <f>IF($AI1144&lt;&gt;"",Master!$N$37,IF($AC1144&lt;&gt;"",Master!$N$38,IF($S1144&lt;&gt;"",Master!$N$39,IF($C1144&lt;&gt;"",Master!$N$40,Master!$N$41))))</f>
        <v>起票</v>
      </c>
      <c r="O1144" s="202" t="str">
        <f>IF($N1144=Master!$N$37,MAX($S1144,$AC1144,$AI1144),"")</f>
        <v/>
      </c>
      <c r="P1144" s="65"/>
      <c r="Q1144" s="203"/>
      <c r="R1144" s="57"/>
      <c r="S1144" s="203"/>
      <c r="T1144" s="310"/>
      <c r="U1144" s="289"/>
      <c r="V1144" s="57"/>
      <c r="W1144" s="288"/>
      <c r="X1144" s="288"/>
      <c r="Y1144" s="296"/>
      <c r="Z1144" s="57"/>
      <c r="AA1144" s="203"/>
      <c r="AB1144" s="288"/>
      <c r="AC1144" s="201"/>
      <c r="AD1144" s="298"/>
      <c r="AE1144" s="297"/>
      <c r="AF1144" s="58"/>
      <c r="AG1144" s="204"/>
      <c r="AH1144" s="57"/>
      <c r="AI1144" s="201"/>
      <c r="AJ1144" s="287"/>
      <c r="AK1144" s="452"/>
      <c r="AL1144" s="59"/>
      <c r="AM1144" s="60"/>
      <c r="AO1144" s="137" t="e">
        <f t="shared" si="144"/>
        <v>#N/A</v>
      </c>
      <c r="AP1144" s="138" t="e">
        <f t="shared" si="145"/>
        <v>#N/A</v>
      </c>
      <c r="AQ1144" s="138" t="e">
        <f t="shared" si="146"/>
        <v>#N/A</v>
      </c>
      <c r="AR1144" s="138" t="e">
        <f t="shared" si="147"/>
        <v>#N/A</v>
      </c>
      <c r="AS1144" s="138" t="e">
        <f t="shared" si="148"/>
        <v>#N/A</v>
      </c>
      <c r="AT1144" s="139" t="e">
        <f t="shared" si="149"/>
        <v>#N/A</v>
      </c>
    </row>
    <row r="1145" spans="1:46" ht="54" customHeight="1">
      <c r="A1145" s="428">
        <f t="shared" si="150"/>
        <v>1137</v>
      </c>
      <c r="B1145" s="403"/>
      <c r="C1145" s="404"/>
      <c r="D1145" s="405"/>
      <c r="E1145" s="405"/>
      <c r="F1145" s="405"/>
      <c r="G1145" s="405"/>
      <c r="H1145" s="406"/>
      <c r="I1145" s="407"/>
      <c r="J1145" s="408"/>
      <c r="K1145" s="409"/>
      <c r="L1145" s="410"/>
      <c r="M1145" s="404"/>
      <c r="N1145" s="411" t="str">
        <f>IF($AI1145&lt;&gt;"",Master!$N$37,IF($AC1145&lt;&gt;"",Master!$N$38,IF($S1145&lt;&gt;"",Master!$N$39,IF($C1145&lt;&gt;"",Master!$N$40,Master!$N$41))))</f>
        <v>起票</v>
      </c>
      <c r="O1145" s="412" t="str">
        <f>IF($N1145=Master!$N$37,MAX($S1145,$AC1145,$AI1145),"")</f>
        <v/>
      </c>
      <c r="P1145" s="413"/>
      <c r="Q1145" s="414"/>
      <c r="R1145" s="409"/>
      <c r="S1145" s="404"/>
      <c r="T1145" s="418"/>
      <c r="U1145" s="415"/>
      <c r="V1145" s="409"/>
      <c r="W1145" s="419"/>
      <c r="X1145" s="419"/>
      <c r="Y1145" s="416"/>
      <c r="Z1145" s="417"/>
      <c r="AA1145" s="418"/>
      <c r="AB1145" s="419"/>
      <c r="AC1145" s="404"/>
      <c r="AD1145" s="404"/>
      <c r="AE1145" s="420"/>
      <c r="AF1145" s="421"/>
      <c r="AG1145" s="418"/>
      <c r="AH1145" s="409"/>
      <c r="AI1145" s="404"/>
      <c r="AJ1145" s="416"/>
      <c r="AK1145" s="453"/>
      <c r="AL1145" s="422"/>
      <c r="AM1145" s="423"/>
      <c r="AO1145" s="137" t="e">
        <f t="shared" si="144"/>
        <v>#N/A</v>
      </c>
      <c r="AP1145" s="138" t="e">
        <f t="shared" si="145"/>
        <v>#N/A</v>
      </c>
      <c r="AQ1145" s="138" t="e">
        <f t="shared" si="146"/>
        <v>#N/A</v>
      </c>
      <c r="AR1145" s="138" t="e">
        <f t="shared" si="147"/>
        <v>#N/A</v>
      </c>
      <c r="AS1145" s="138" t="e">
        <f t="shared" si="148"/>
        <v>#N/A</v>
      </c>
      <c r="AT1145" s="139" t="e">
        <f t="shared" si="149"/>
        <v>#N/A</v>
      </c>
    </row>
    <row r="1146" spans="1:46" ht="54" customHeight="1">
      <c r="A1146" s="428">
        <f t="shared" si="150"/>
        <v>1138</v>
      </c>
      <c r="B1146" s="403"/>
      <c r="C1146" s="404"/>
      <c r="D1146" s="405"/>
      <c r="E1146" s="405"/>
      <c r="F1146" s="405"/>
      <c r="G1146" s="405"/>
      <c r="H1146" s="406"/>
      <c r="I1146" s="407"/>
      <c r="J1146" s="408"/>
      <c r="K1146" s="409"/>
      <c r="L1146" s="410"/>
      <c r="M1146" s="404"/>
      <c r="N1146" s="411" t="str">
        <f>IF($AI1146&lt;&gt;"",Master!$N$37,IF($AC1146&lt;&gt;"",Master!$N$38,IF($S1146&lt;&gt;"",Master!$N$39,IF($C1146&lt;&gt;"",Master!$N$40,Master!$N$41))))</f>
        <v>起票</v>
      </c>
      <c r="O1146" s="412" t="str">
        <f>IF($N1146=Master!$N$37,MAX($S1146,$AC1146,$AI1146),"")</f>
        <v/>
      </c>
      <c r="P1146" s="413"/>
      <c r="Q1146" s="414"/>
      <c r="R1146" s="409"/>
      <c r="S1146" s="404"/>
      <c r="T1146" s="418"/>
      <c r="U1146" s="415"/>
      <c r="V1146" s="409"/>
      <c r="W1146" s="419"/>
      <c r="X1146" s="419"/>
      <c r="Y1146" s="416"/>
      <c r="Z1146" s="417"/>
      <c r="AA1146" s="418"/>
      <c r="AB1146" s="419"/>
      <c r="AC1146" s="404"/>
      <c r="AD1146" s="404"/>
      <c r="AE1146" s="420"/>
      <c r="AF1146" s="421"/>
      <c r="AG1146" s="418"/>
      <c r="AH1146" s="409"/>
      <c r="AI1146" s="404"/>
      <c r="AJ1146" s="416"/>
      <c r="AK1146" s="453"/>
      <c r="AL1146" s="422"/>
      <c r="AM1146" s="423"/>
      <c r="AO1146" s="137" t="e">
        <f t="shared" ref="AO1146:AO1182" si="151">IF(AND(C1146&lt;&gt;"",C1146&lt;=$AI$3),IF(E1146="","",E1146),NA())</f>
        <v>#N/A</v>
      </c>
      <c r="AP1146" s="138" t="e">
        <f t="shared" ref="AP1146:AP1182" si="152">IF(AND(C1146&lt;&gt;"",C1146&lt;=$AI$3),IF(F1146="","",F1146),NA())</f>
        <v>#N/A</v>
      </c>
      <c r="AQ1146" s="138" t="e">
        <f t="shared" ref="AQ1146:AQ1182" si="153">IF(AND(C1146&lt;&gt;"",C1146&lt;=$AI$3),IF(H1146="","",H1146),NA())</f>
        <v>#N/A</v>
      </c>
      <c r="AR1146" s="138" t="e">
        <f t="shared" ref="AR1146:AR1182" si="154">IF(AND(C1146&lt;&gt;"",C1146&lt;=$AI$3),IF(U1146="","",U1146),NA())</f>
        <v>#N/A</v>
      </c>
      <c r="AS1146" s="138" t="e">
        <f t="shared" ref="AS1146:AS1182" si="155">IF(AND(C1146&lt;&gt;"",C1146&lt;=$AI$3),IF(V1146="","",V1146),NA())</f>
        <v>#N/A</v>
      </c>
      <c r="AT1146" s="139" t="e">
        <f t="shared" ref="AT1146:AT1182" si="156">IF(AND(C1146&lt;&gt;"",C1146&lt;=$AI$3),IF(AB1146="","",AB1146),NA())</f>
        <v>#N/A</v>
      </c>
    </row>
    <row r="1147" spans="1:46" ht="54" customHeight="1">
      <c r="A1147" s="428">
        <f t="shared" si="150"/>
        <v>1139</v>
      </c>
      <c r="B1147" s="403"/>
      <c r="C1147" s="404"/>
      <c r="D1147" s="405"/>
      <c r="E1147" s="405"/>
      <c r="F1147" s="405"/>
      <c r="G1147" s="405"/>
      <c r="H1147" s="406"/>
      <c r="I1147" s="407"/>
      <c r="J1147" s="408"/>
      <c r="K1147" s="409"/>
      <c r="L1147" s="410"/>
      <c r="M1147" s="404"/>
      <c r="N1147" s="411" t="str">
        <f>IF($AI1147&lt;&gt;"",Master!$N$37,IF($AC1147&lt;&gt;"",Master!$N$38,IF($S1147&lt;&gt;"",Master!$N$39,IF($C1147&lt;&gt;"",Master!$N$40,Master!$N$41))))</f>
        <v>起票</v>
      </c>
      <c r="O1147" s="412" t="str">
        <f>IF($N1147=Master!$N$37,MAX($S1147,$AC1147,$AI1147),"")</f>
        <v/>
      </c>
      <c r="P1147" s="413"/>
      <c r="Q1147" s="414"/>
      <c r="R1147" s="409"/>
      <c r="S1147" s="404"/>
      <c r="T1147" s="418"/>
      <c r="U1147" s="415"/>
      <c r="V1147" s="409"/>
      <c r="W1147" s="419"/>
      <c r="X1147" s="419"/>
      <c r="Y1147" s="416"/>
      <c r="Z1147" s="417"/>
      <c r="AA1147" s="418"/>
      <c r="AB1147" s="419"/>
      <c r="AC1147" s="404"/>
      <c r="AD1147" s="404"/>
      <c r="AE1147" s="420"/>
      <c r="AF1147" s="421"/>
      <c r="AG1147" s="418"/>
      <c r="AH1147" s="409"/>
      <c r="AI1147" s="404"/>
      <c r="AJ1147" s="416"/>
      <c r="AK1147" s="453"/>
      <c r="AL1147" s="422"/>
      <c r="AM1147" s="423"/>
      <c r="AO1147" s="137" t="e">
        <f t="shared" si="151"/>
        <v>#N/A</v>
      </c>
      <c r="AP1147" s="138" t="e">
        <f t="shared" si="152"/>
        <v>#N/A</v>
      </c>
      <c r="AQ1147" s="138" t="e">
        <f t="shared" si="153"/>
        <v>#N/A</v>
      </c>
      <c r="AR1147" s="138" t="e">
        <f t="shared" si="154"/>
        <v>#N/A</v>
      </c>
      <c r="AS1147" s="138" t="e">
        <f t="shared" si="155"/>
        <v>#N/A</v>
      </c>
      <c r="AT1147" s="139" t="e">
        <f t="shared" si="156"/>
        <v>#N/A</v>
      </c>
    </row>
    <row r="1148" spans="1:46" ht="54" customHeight="1">
      <c r="A1148" s="428">
        <f t="shared" si="150"/>
        <v>1140</v>
      </c>
      <c r="B1148" s="294"/>
      <c r="C1148" s="201"/>
      <c r="D1148" s="290"/>
      <c r="E1148" s="301"/>
      <c r="F1148" s="301"/>
      <c r="G1148" s="290"/>
      <c r="H1148" s="291"/>
      <c r="I1148" s="292"/>
      <c r="J1148" s="61"/>
      <c r="K1148" s="57"/>
      <c r="L1148" s="303"/>
      <c r="M1148" s="201"/>
      <c r="N1148" s="84" t="str">
        <f>IF($AI1148&lt;&gt;"",Master!$N$37,IF($AC1148&lt;&gt;"",Master!$N$38,IF($S1148&lt;&gt;"",Master!$N$39,IF($C1148&lt;&gt;"",Master!$N$40,Master!$N$41))))</f>
        <v>起票</v>
      </c>
      <c r="O1148" s="202" t="str">
        <f>IF($N1148=Master!$N$37,MAX($S1148,$AC1148,$AI1148),"")</f>
        <v/>
      </c>
      <c r="P1148" s="65"/>
      <c r="Q1148" s="203"/>
      <c r="R1148" s="57"/>
      <c r="S1148" s="203"/>
      <c r="T1148" s="310"/>
      <c r="U1148" s="289"/>
      <c r="V1148" s="57"/>
      <c r="W1148" s="288"/>
      <c r="X1148" s="288"/>
      <c r="Y1148" s="296"/>
      <c r="Z1148" s="57"/>
      <c r="AA1148" s="203"/>
      <c r="AB1148" s="288"/>
      <c r="AC1148" s="201"/>
      <c r="AD1148" s="298"/>
      <c r="AE1148" s="297"/>
      <c r="AF1148" s="58"/>
      <c r="AG1148" s="204"/>
      <c r="AH1148" s="57"/>
      <c r="AI1148" s="201"/>
      <c r="AJ1148" s="287"/>
      <c r="AK1148" s="452"/>
      <c r="AL1148" s="59"/>
      <c r="AM1148" s="60"/>
      <c r="AO1148" s="137" t="e">
        <f t="shared" si="151"/>
        <v>#N/A</v>
      </c>
      <c r="AP1148" s="138" t="e">
        <f t="shared" si="152"/>
        <v>#N/A</v>
      </c>
      <c r="AQ1148" s="138" t="e">
        <f t="shared" si="153"/>
        <v>#N/A</v>
      </c>
      <c r="AR1148" s="138" t="e">
        <f t="shared" si="154"/>
        <v>#N/A</v>
      </c>
      <c r="AS1148" s="138" t="e">
        <f t="shared" si="155"/>
        <v>#N/A</v>
      </c>
      <c r="AT1148" s="139" t="e">
        <f t="shared" si="156"/>
        <v>#N/A</v>
      </c>
    </row>
    <row r="1149" spans="1:46" ht="54" customHeight="1">
      <c r="A1149" s="428">
        <f t="shared" si="150"/>
        <v>1141</v>
      </c>
      <c r="B1149" s="294"/>
      <c r="C1149" s="201"/>
      <c r="D1149" s="290"/>
      <c r="E1149" s="301"/>
      <c r="F1149" s="301"/>
      <c r="G1149" s="290"/>
      <c r="H1149" s="291"/>
      <c r="I1149" s="292"/>
      <c r="J1149" s="61"/>
      <c r="K1149" s="57"/>
      <c r="L1149" s="303"/>
      <c r="M1149" s="201"/>
      <c r="N1149" s="84" t="str">
        <f>IF($AI1149&lt;&gt;"",Master!$N$37,IF($AC1149&lt;&gt;"",Master!$N$38,IF($S1149&lt;&gt;"",Master!$N$39,IF($C1149&lt;&gt;"",Master!$N$40,Master!$N$41))))</f>
        <v>起票</v>
      </c>
      <c r="O1149" s="202" t="str">
        <f>IF($N1149=Master!$N$37,MAX($S1149,$AC1149,$AI1149),"")</f>
        <v/>
      </c>
      <c r="P1149" s="65"/>
      <c r="Q1149" s="203"/>
      <c r="R1149" s="57"/>
      <c r="S1149" s="203"/>
      <c r="T1149" s="310"/>
      <c r="U1149" s="289"/>
      <c r="V1149" s="57"/>
      <c r="W1149" s="288"/>
      <c r="X1149" s="288"/>
      <c r="Y1149" s="296"/>
      <c r="Z1149" s="57"/>
      <c r="AA1149" s="203"/>
      <c r="AB1149" s="288"/>
      <c r="AC1149" s="201"/>
      <c r="AD1149" s="298"/>
      <c r="AE1149" s="297"/>
      <c r="AF1149" s="58"/>
      <c r="AG1149" s="204"/>
      <c r="AH1149" s="57"/>
      <c r="AI1149" s="201"/>
      <c r="AJ1149" s="287"/>
      <c r="AK1149" s="452"/>
      <c r="AL1149" s="59"/>
      <c r="AM1149" s="60"/>
      <c r="AO1149" s="137" t="e">
        <f t="shared" si="151"/>
        <v>#N/A</v>
      </c>
      <c r="AP1149" s="138" t="e">
        <f t="shared" si="152"/>
        <v>#N/A</v>
      </c>
      <c r="AQ1149" s="138" t="e">
        <f t="shared" si="153"/>
        <v>#N/A</v>
      </c>
      <c r="AR1149" s="138" t="e">
        <f t="shared" si="154"/>
        <v>#N/A</v>
      </c>
      <c r="AS1149" s="138" t="e">
        <f t="shared" si="155"/>
        <v>#N/A</v>
      </c>
      <c r="AT1149" s="139" t="e">
        <f t="shared" si="156"/>
        <v>#N/A</v>
      </c>
    </row>
    <row r="1150" spans="1:46" ht="54" customHeight="1">
      <c r="A1150" s="428">
        <f t="shared" si="150"/>
        <v>1142</v>
      </c>
      <c r="B1150" s="403"/>
      <c r="C1150" s="404"/>
      <c r="D1150" s="405"/>
      <c r="E1150" s="405"/>
      <c r="F1150" s="405"/>
      <c r="G1150" s="405"/>
      <c r="H1150" s="406"/>
      <c r="I1150" s="407"/>
      <c r="J1150" s="408"/>
      <c r="K1150" s="409"/>
      <c r="L1150" s="410"/>
      <c r="M1150" s="404"/>
      <c r="N1150" s="411" t="str">
        <f>IF($AI1150&lt;&gt;"",Master!$N$37,IF($AC1150&lt;&gt;"",Master!$N$38,IF($S1150&lt;&gt;"",Master!$N$39,IF($C1150&lt;&gt;"",Master!$N$40,Master!$N$41))))</f>
        <v>起票</v>
      </c>
      <c r="O1150" s="412" t="str">
        <f>IF($N1150=Master!$N$37,MAX($S1150,$AC1150,$AI1150),"")</f>
        <v/>
      </c>
      <c r="P1150" s="413"/>
      <c r="Q1150" s="414"/>
      <c r="R1150" s="409"/>
      <c r="S1150" s="404"/>
      <c r="T1150" s="418"/>
      <c r="U1150" s="415"/>
      <c r="V1150" s="409"/>
      <c r="W1150" s="419"/>
      <c r="X1150" s="419"/>
      <c r="Y1150" s="416"/>
      <c r="Z1150" s="417"/>
      <c r="AA1150" s="418"/>
      <c r="AB1150" s="419"/>
      <c r="AC1150" s="404"/>
      <c r="AD1150" s="404"/>
      <c r="AE1150" s="420"/>
      <c r="AF1150" s="421"/>
      <c r="AG1150" s="418"/>
      <c r="AH1150" s="409"/>
      <c r="AI1150" s="404"/>
      <c r="AJ1150" s="416"/>
      <c r="AK1150" s="453"/>
      <c r="AL1150" s="422"/>
      <c r="AM1150" s="423"/>
      <c r="AO1150" s="137" t="e">
        <f t="shared" si="151"/>
        <v>#N/A</v>
      </c>
      <c r="AP1150" s="138" t="e">
        <f t="shared" si="152"/>
        <v>#N/A</v>
      </c>
      <c r="AQ1150" s="138" t="e">
        <f t="shared" si="153"/>
        <v>#N/A</v>
      </c>
      <c r="AR1150" s="138" t="e">
        <f t="shared" si="154"/>
        <v>#N/A</v>
      </c>
      <c r="AS1150" s="138" t="e">
        <f t="shared" si="155"/>
        <v>#N/A</v>
      </c>
      <c r="AT1150" s="139" t="e">
        <f t="shared" si="156"/>
        <v>#N/A</v>
      </c>
    </row>
    <row r="1151" spans="1:46" ht="54" customHeight="1">
      <c r="A1151" s="428">
        <f t="shared" si="150"/>
        <v>1143</v>
      </c>
      <c r="B1151" s="403"/>
      <c r="C1151" s="404"/>
      <c r="D1151" s="405"/>
      <c r="E1151" s="405"/>
      <c r="F1151" s="405"/>
      <c r="G1151" s="405"/>
      <c r="H1151" s="406"/>
      <c r="I1151" s="407"/>
      <c r="J1151" s="408"/>
      <c r="K1151" s="409"/>
      <c r="L1151" s="410"/>
      <c r="M1151" s="404"/>
      <c r="N1151" s="411" t="str">
        <f>IF($AI1151&lt;&gt;"",Master!$N$37,IF($AC1151&lt;&gt;"",Master!$N$38,IF($S1151&lt;&gt;"",Master!$N$39,IF($C1151&lt;&gt;"",Master!$N$40,Master!$N$41))))</f>
        <v>起票</v>
      </c>
      <c r="O1151" s="412" t="str">
        <f>IF($N1151=Master!$N$37,MAX($S1151,$AC1151,$AI1151),"")</f>
        <v/>
      </c>
      <c r="P1151" s="413"/>
      <c r="Q1151" s="414"/>
      <c r="R1151" s="409"/>
      <c r="S1151" s="404"/>
      <c r="T1151" s="418"/>
      <c r="U1151" s="415"/>
      <c r="V1151" s="409"/>
      <c r="W1151" s="419"/>
      <c r="X1151" s="419"/>
      <c r="Y1151" s="416"/>
      <c r="Z1151" s="417"/>
      <c r="AA1151" s="418"/>
      <c r="AB1151" s="419"/>
      <c r="AC1151" s="404"/>
      <c r="AD1151" s="404"/>
      <c r="AE1151" s="420"/>
      <c r="AF1151" s="421"/>
      <c r="AG1151" s="418"/>
      <c r="AH1151" s="409"/>
      <c r="AI1151" s="404"/>
      <c r="AJ1151" s="416"/>
      <c r="AK1151" s="453"/>
      <c r="AL1151" s="422"/>
      <c r="AM1151" s="423"/>
      <c r="AO1151" s="137" t="e">
        <f t="shared" si="151"/>
        <v>#N/A</v>
      </c>
      <c r="AP1151" s="138" t="e">
        <f t="shared" si="152"/>
        <v>#N/A</v>
      </c>
      <c r="AQ1151" s="138" t="e">
        <f t="shared" si="153"/>
        <v>#N/A</v>
      </c>
      <c r="AR1151" s="138" t="e">
        <f t="shared" si="154"/>
        <v>#N/A</v>
      </c>
      <c r="AS1151" s="138" t="e">
        <f t="shared" si="155"/>
        <v>#N/A</v>
      </c>
      <c r="AT1151" s="139" t="e">
        <f t="shared" si="156"/>
        <v>#N/A</v>
      </c>
    </row>
    <row r="1152" spans="1:46" ht="54" customHeight="1">
      <c r="A1152" s="428">
        <f t="shared" si="150"/>
        <v>1144</v>
      </c>
      <c r="B1152" s="403"/>
      <c r="C1152" s="404"/>
      <c r="D1152" s="405"/>
      <c r="E1152" s="405"/>
      <c r="F1152" s="405"/>
      <c r="G1152" s="405"/>
      <c r="H1152" s="406"/>
      <c r="I1152" s="407"/>
      <c r="J1152" s="408"/>
      <c r="K1152" s="409"/>
      <c r="L1152" s="410"/>
      <c r="M1152" s="404"/>
      <c r="N1152" s="411" t="str">
        <f>IF($AI1152&lt;&gt;"",Master!$N$37,IF($AC1152&lt;&gt;"",Master!$N$38,IF($S1152&lt;&gt;"",Master!$N$39,IF($C1152&lt;&gt;"",Master!$N$40,Master!$N$41))))</f>
        <v>起票</v>
      </c>
      <c r="O1152" s="412" t="str">
        <f>IF($N1152=Master!$N$37,MAX($S1152,$AC1152,$AI1152),"")</f>
        <v/>
      </c>
      <c r="P1152" s="413"/>
      <c r="Q1152" s="414"/>
      <c r="R1152" s="409"/>
      <c r="S1152" s="404"/>
      <c r="T1152" s="418"/>
      <c r="U1152" s="415"/>
      <c r="V1152" s="409"/>
      <c r="W1152" s="419"/>
      <c r="X1152" s="419"/>
      <c r="Y1152" s="416"/>
      <c r="Z1152" s="417"/>
      <c r="AA1152" s="418"/>
      <c r="AB1152" s="419"/>
      <c r="AC1152" s="404"/>
      <c r="AD1152" s="404"/>
      <c r="AE1152" s="420"/>
      <c r="AF1152" s="421"/>
      <c r="AG1152" s="418"/>
      <c r="AH1152" s="409"/>
      <c r="AI1152" s="404"/>
      <c r="AJ1152" s="416"/>
      <c r="AK1152" s="453"/>
      <c r="AL1152" s="422"/>
      <c r="AM1152" s="423"/>
      <c r="AO1152" s="137" t="e">
        <f t="shared" si="151"/>
        <v>#N/A</v>
      </c>
      <c r="AP1152" s="138" t="e">
        <f t="shared" si="152"/>
        <v>#N/A</v>
      </c>
      <c r="AQ1152" s="138" t="e">
        <f t="shared" si="153"/>
        <v>#N/A</v>
      </c>
      <c r="AR1152" s="138" t="e">
        <f t="shared" si="154"/>
        <v>#N/A</v>
      </c>
      <c r="AS1152" s="138" t="e">
        <f t="shared" si="155"/>
        <v>#N/A</v>
      </c>
      <c r="AT1152" s="139" t="e">
        <f t="shared" si="156"/>
        <v>#N/A</v>
      </c>
    </row>
    <row r="1153" spans="1:46" ht="54" customHeight="1">
      <c r="A1153" s="428">
        <f t="shared" si="150"/>
        <v>1145</v>
      </c>
      <c r="B1153" s="294"/>
      <c r="C1153" s="201"/>
      <c r="D1153" s="290"/>
      <c r="E1153" s="301"/>
      <c r="F1153" s="301"/>
      <c r="G1153" s="290"/>
      <c r="H1153" s="291"/>
      <c r="I1153" s="292"/>
      <c r="J1153" s="61"/>
      <c r="K1153" s="57"/>
      <c r="L1153" s="303"/>
      <c r="M1153" s="201"/>
      <c r="N1153" s="84" t="str">
        <f>IF($AI1153&lt;&gt;"",Master!$N$37,IF($AC1153&lt;&gt;"",Master!$N$38,IF($S1153&lt;&gt;"",Master!$N$39,IF($C1153&lt;&gt;"",Master!$N$40,Master!$N$41))))</f>
        <v>起票</v>
      </c>
      <c r="O1153" s="202" t="str">
        <f>IF($N1153=Master!$N$37,MAX($S1153,$AC1153,$AI1153),"")</f>
        <v/>
      </c>
      <c r="P1153" s="65"/>
      <c r="Q1153" s="203"/>
      <c r="R1153" s="57"/>
      <c r="S1153" s="203"/>
      <c r="T1153" s="310"/>
      <c r="U1153" s="289"/>
      <c r="V1153" s="57"/>
      <c r="W1153" s="288"/>
      <c r="X1153" s="288"/>
      <c r="Y1153" s="296"/>
      <c r="Z1153" s="57"/>
      <c r="AA1153" s="203"/>
      <c r="AB1153" s="288"/>
      <c r="AC1153" s="201"/>
      <c r="AD1153" s="298"/>
      <c r="AE1153" s="297"/>
      <c r="AF1153" s="58"/>
      <c r="AG1153" s="204"/>
      <c r="AH1153" s="57"/>
      <c r="AI1153" s="201"/>
      <c r="AJ1153" s="287"/>
      <c r="AK1153" s="452"/>
      <c r="AL1153" s="59"/>
      <c r="AM1153" s="60"/>
      <c r="AO1153" s="137" t="e">
        <f t="shared" si="151"/>
        <v>#N/A</v>
      </c>
      <c r="AP1153" s="138" t="e">
        <f t="shared" si="152"/>
        <v>#N/A</v>
      </c>
      <c r="AQ1153" s="138" t="e">
        <f t="shared" si="153"/>
        <v>#N/A</v>
      </c>
      <c r="AR1153" s="138" t="e">
        <f t="shared" si="154"/>
        <v>#N/A</v>
      </c>
      <c r="AS1153" s="138" t="e">
        <f t="shared" si="155"/>
        <v>#N/A</v>
      </c>
      <c r="AT1153" s="139" t="e">
        <f t="shared" si="156"/>
        <v>#N/A</v>
      </c>
    </row>
    <row r="1154" spans="1:46" ht="54" customHeight="1">
      <c r="A1154" s="428">
        <f t="shared" si="150"/>
        <v>1146</v>
      </c>
      <c r="B1154" s="294"/>
      <c r="C1154" s="201"/>
      <c r="D1154" s="290"/>
      <c r="E1154" s="301"/>
      <c r="F1154" s="301"/>
      <c r="G1154" s="290"/>
      <c r="H1154" s="291"/>
      <c r="I1154" s="292"/>
      <c r="J1154" s="61"/>
      <c r="K1154" s="57"/>
      <c r="L1154" s="303"/>
      <c r="M1154" s="201"/>
      <c r="N1154" s="84" t="str">
        <f>IF($AI1154&lt;&gt;"",Master!$N$37,IF($AC1154&lt;&gt;"",Master!$N$38,IF($S1154&lt;&gt;"",Master!$N$39,IF($C1154&lt;&gt;"",Master!$N$40,Master!$N$41))))</f>
        <v>起票</v>
      </c>
      <c r="O1154" s="202" t="str">
        <f>IF($N1154=Master!$N$37,MAX($S1154,$AC1154,$AI1154),"")</f>
        <v/>
      </c>
      <c r="P1154" s="65"/>
      <c r="Q1154" s="203"/>
      <c r="R1154" s="57"/>
      <c r="S1154" s="203"/>
      <c r="T1154" s="310"/>
      <c r="U1154" s="289"/>
      <c r="V1154" s="57"/>
      <c r="W1154" s="288"/>
      <c r="X1154" s="288"/>
      <c r="Y1154" s="296"/>
      <c r="Z1154" s="57"/>
      <c r="AA1154" s="203"/>
      <c r="AB1154" s="288"/>
      <c r="AC1154" s="201"/>
      <c r="AD1154" s="298"/>
      <c r="AE1154" s="297"/>
      <c r="AF1154" s="58"/>
      <c r="AG1154" s="204"/>
      <c r="AH1154" s="57"/>
      <c r="AI1154" s="201"/>
      <c r="AJ1154" s="287"/>
      <c r="AK1154" s="452"/>
      <c r="AL1154" s="59"/>
      <c r="AM1154" s="60"/>
      <c r="AO1154" s="137" t="e">
        <f t="shared" si="151"/>
        <v>#N/A</v>
      </c>
      <c r="AP1154" s="138" t="e">
        <f t="shared" si="152"/>
        <v>#N/A</v>
      </c>
      <c r="AQ1154" s="138" t="e">
        <f t="shared" si="153"/>
        <v>#N/A</v>
      </c>
      <c r="AR1154" s="138" t="e">
        <f t="shared" si="154"/>
        <v>#N/A</v>
      </c>
      <c r="AS1154" s="138" t="e">
        <f t="shared" si="155"/>
        <v>#N/A</v>
      </c>
      <c r="AT1154" s="139" t="e">
        <f t="shared" si="156"/>
        <v>#N/A</v>
      </c>
    </row>
    <row r="1155" spans="1:46" ht="54" customHeight="1">
      <c r="A1155" s="428">
        <f t="shared" si="150"/>
        <v>1147</v>
      </c>
      <c r="B1155" s="403"/>
      <c r="C1155" s="404"/>
      <c r="D1155" s="405"/>
      <c r="E1155" s="405"/>
      <c r="F1155" s="405"/>
      <c r="G1155" s="405"/>
      <c r="H1155" s="406"/>
      <c r="I1155" s="407"/>
      <c r="J1155" s="408"/>
      <c r="K1155" s="409"/>
      <c r="L1155" s="410"/>
      <c r="M1155" s="404"/>
      <c r="N1155" s="411" t="str">
        <f>IF($AI1155&lt;&gt;"",Master!$N$37,IF($AC1155&lt;&gt;"",Master!$N$38,IF($S1155&lt;&gt;"",Master!$N$39,IF($C1155&lt;&gt;"",Master!$N$40,Master!$N$41))))</f>
        <v>起票</v>
      </c>
      <c r="O1155" s="412" t="str">
        <f>IF($N1155=Master!$N$37,MAX($S1155,$AC1155,$AI1155),"")</f>
        <v/>
      </c>
      <c r="P1155" s="413"/>
      <c r="Q1155" s="414"/>
      <c r="R1155" s="409"/>
      <c r="S1155" s="404"/>
      <c r="T1155" s="418"/>
      <c r="U1155" s="415"/>
      <c r="V1155" s="409"/>
      <c r="W1155" s="419"/>
      <c r="X1155" s="419"/>
      <c r="Y1155" s="416"/>
      <c r="Z1155" s="417"/>
      <c r="AA1155" s="418"/>
      <c r="AB1155" s="419"/>
      <c r="AC1155" s="404"/>
      <c r="AD1155" s="404"/>
      <c r="AE1155" s="420"/>
      <c r="AF1155" s="421"/>
      <c r="AG1155" s="418"/>
      <c r="AH1155" s="409"/>
      <c r="AI1155" s="404"/>
      <c r="AJ1155" s="416"/>
      <c r="AK1155" s="453"/>
      <c r="AL1155" s="422"/>
      <c r="AM1155" s="423"/>
      <c r="AO1155" s="137" t="e">
        <f t="shared" si="151"/>
        <v>#N/A</v>
      </c>
      <c r="AP1155" s="138" t="e">
        <f t="shared" si="152"/>
        <v>#N/A</v>
      </c>
      <c r="AQ1155" s="138" t="e">
        <f t="shared" si="153"/>
        <v>#N/A</v>
      </c>
      <c r="AR1155" s="138" t="e">
        <f t="shared" si="154"/>
        <v>#N/A</v>
      </c>
      <c r="AS1155" s="138" t="e">
        <f t="shared" si="155"/>
        <v>#N/A</v>
      </c>
      <c r="AT1155" s="139" t="e">
        <f t="shared" si="156"/>
        <v>#N/A</v>
      </c>
    </row>
    <row r="1156" spans="1:46" ht="54" customHeight="1">
      <c r="A1156" s="428">
        <f t="shared" si="150"/>
        <v>1148</v>
      </c>
      <c r="B1156" s="403"/>
      <c r="C1156" s="404"/>
      <c r="D1156" s="405"/>
      <c r="E1156" s="405"/>
      <c r="F1156" s="405"/>
      <c r="G1156" s="405"/>
      <c r="H1156" s="406"/>
      <c r="I1156" s="407"/>
      <c r="J1156" s="408"/>
      <c r="K1156" s="409"/>
      <c r="L1156" s="410"/>
      <c r="M1156" s="404"/>
      <c r="N1156" s="411" t="str">
        <f>IF($AI1156&lt;&gt;"",Master!$N$37,IF($AC1156&lt;&gt;"",Master!$N$38,IF($S1156&lt;&gt;"",Master!$N$39,IF($C1156&lt;&gt;"",Master!$N$40,Master!$N$41))))</f>
        <v>起票</v>
      </c>
      <c r="O1156" s="412" t="str">
        <f>IF($N1156=Master!$N$37,MAX($S1156,$AC1156,$AI1156),"")</f>
        <v/>
      </c>
      <c r="P1156" s="413"/>
      <c r="Q1156" s="414"/>
      <c r="R1156" s="409"/>
      <c r="S1156" s="404"/>
      <c r="T1156" s="418"/>
      <c r="U1156" s="415"/>
      <c r="V1156" s="409"/>
      <c r="W1156" s="419"/>
      <c r="X1156" s="419"/>
      <c r="Y1156" s="416"/>
      <c r="Z1156" s="417"/>
      <c r="AA1156" s="418"/>
      <c r="AB1156" s="419"/>
      <c r="AC1156" s="404"/>
      <c r="AD1156" s="404"/>
      <c r="AE1156" s="420"/>
      <c r="AF1156" s="421"/>
      <c r="AG1156" s="418"/>
      <c r="AH1156" s="409"/>
      <c r="AI1156" s="404"/>
      <c r="AJ1156" s="416"/>
      <c r="AK1156" s="453"/>
      <c r="AL1156" s="422"/>
      <c r="AM1156" s="423"/>
      <c r="AO1156" s="137" t="e">
        <f t="shared" si="151"/>
        <v>#N/A</v>
      </c>
      <c r="AP1156" s="138" t="e">
        <f t="shared" si="152"/>
        <v>#N/A</v>
      </c>
      <c r="AQ1156" s="138" t="e">
        <f t="shared" si="153"/>
        <v>#N/A</v>
      </c>
      <c r="AR1156" s="138" t="e">
        <f t="shared" si="154"/>
        <v>#N/A</v>
      </c>
      <c r="AS1156" s="138" t="e">
        <f t="shared" si="155"/>
        <v>#N/A</v>
      </c>
      <c r="AT1156" s="139" t="e">
        <f t="shared" si="156"/>
        <v>#N/A</v>
      </c>
    </row>
    <row r="1157" spans="1:46" ht="54" customHeight="1">
      <c r="A1157" s="428">
        <f t="shared" si="150"/>
        <v>1149</v>
      </c>
      <c r="B1157" s="403"/>
      <c r="C1157" s="404"/>
      <c r="D1157" s="405"/>
      <c r="E1157" s="405"/>
      <c r="F1157" s="405"/>
      <c r="G1157" s="405"/>
      <c r="H1157" s="406"/>
      <c r="I1157" s="407"/>
      <c r="J1157" s="408"/>
      <c r="K1157" s="409"/>
      <c r="L1157" s="410"/>
      <c r="M1157" s="404"/>
      <c r="N1157" s="411" t="str">
        <f>IF($AI1157&lt;&gt;"",Master!$N$37,IF($AC1157&lt;&gt;"",Master!$N$38,IF($S1157&lt;&gt;"",Master!$N$39,IF($C1157&lt;&gt;"",Master!$N$40,Master!$N$41))))</f>
        <v>起票</v>
      </c>
      <c r="O1157" s="412" t="str">
        <f>IF($N1157=Master!$N$37,MAX($S1157,$AC1157,$AI1157),"")</f>
        <v/>
      </c>
      <c r="P1157" s="413"/>
      <c r="Q1157" s="414"/>
      <c r="R1157" s="409"/>
      <c r="S1157" s="404"/>
      <c r="T1157" s="418"/>
      <c r="U1157" s="415"/>
      <c r="V1157" s="409"/>
      <c r="W1157" s="419"/>
      <c r="X1157" s="419"/>
      <c r="Y1157" s="416"/>
      <c r="Z1157" s="417"/>
      <c r="AA1157" s="418"/>
      <c r="AB1157" s="419"/>
      <c r="AC1157" s="404"/>
      <c r="AD1157" s="404"/>
      <c r="AE1157" s="420"/>
      <c r="AF1157" s="421"/>
      <c r="AG1157" s="418"/>
      <c r="AH1157" s="409"/>
      <c r="AI1157" s="404"/>
      <c r="AJ1157" s="416"/>
      <c r="AK1157" s="453"/>
      <c r="AL1157" s="422"/>
      <c r="AM1157" s="423"/>
      <c r="AO1157" s="137" t="e">
        <f t="shared" si="151"/>
        <v>#N/A</v>
      </c>
      <c r="AP1157" s="138" t="e">
        <f t="shared" si="152"/>
        <v>#N/A</v>
      </c>
      <c r="AQ1157" s="138" t="e">
        <f t="shared" si="153"/>
        <v>#N/A</v>
      </c>
      <c r="AR1157" s="138" t="e">
        <f t="shared" si="154"/>
        <v>#N/A</v>
      </c>
      <c r="AS1157" s="138" t="e">
        <f t="shared" si="155"/>
        <v>#N/A</v>
      </c>
      <c r="AT1157" s="139" t="e">
        <f t="shared" si="156"/>
        <v>#N/A</v>
      </c>
    </row>
    <row r="1158" spans="1:46" ht="54" customHeight="1">
      <c r="A1158" s="428">
        <f t="shared" si="150"/>
        <v>1150</v>
      </c>
      <c r="B1158" s="294"/>
      <c r="C1158" s="201"/>
      <c r="D1158" s="290"/>
      <c r="E1158" s="301"/>
      <c r="F1158" s="301"/>
      <c r="G1158" s="290"/>
      <c r="H1158" s="291"/>
      <c r="I1158" s="292"/>
      <c r="J1158" s="61"/>
      <c r="K1158" s="57"/>
      <c r="L1158" s="303"/>
      <c r="M1158" s="201"/>
      <c r="N1158" s="84" t="str">
        <f>IF($AI1158&lt;&gt;"",Master!$N$37,IF($AC1158&lt;&gt;"",Master!$N$38,IF($S1158&lt;&gt;"",Master!$N$39,IF($C1158&lt;&gt;"",Master!$N$40,Master!$N$41))))</f>
        <v>起票</v>
      </c>
      <c r="O1158" s="202" t="str">
        <f>IF($N1158=Master!$N$37,MAX($S1158,$AC1158,$AI1158),"")</f>
        <v/>
      </c>
      <c r="P1158" s="65"/>
      <c r="Q1158" s="203"/>
      <c r="R1158" s="57"/>
      <c r="S1158" s="203"/>
      <c r="T1158" s="310"/>
      <c r="U1158" s="289"/>
      <c r="V1158" s="57"/>
      <c r="W1158" s="288"/>
      <c r="X1158" s="288"/>
      <c r="Y1158" s="296"/>
      <c r="Z1158" s="57"/>
      <c r="AA1158" s="203"/>
      <c r="AB1158" s="288"/>
      <c r="AC1158" s="201"/>
      <c r="AD1158" s="298"/>
      <c r="AE1158" s="297"/>
      <c r="AF1158" s="58"/>
      <c r="AG1158" s="204"/>
      <c r="AH1158" s="57"/>
      <c r="AI1158" s="201"/>
      <c r="AJ1158" s="287"/>
      <c r="AK1158" s="452"/>
      <c r="AL1158" s="59"/>
      <c r="AM1158" s="60"/>
      <c r="AO1158" s="137" t="e">
        <f t="shared" si="151"/>
        <v>#N/A</v>
      </c>
      <c r="AP1158" s="138" t="e">
        <f t="shared" si="152"/>
        <v>#N/A</v>
      </c>
      <c r="AQ1158" s="138" t="e">
        <f t="shared" si="153"/>
        <v>#N/A</v>
      </c>
      <c r="AR1158" s="138" t="e">
        <f t="shared" si="154"/>
        <v>#N/A</v>
      </c>
      <c r="AS1158" s="138" t="e">
        <f t="shared" si="155"/>
        <v>#N/A</v>
      </c>
      <c r="AT1158" s="139" t="e">
        <f t="shared" si="156"/>
        <v>#N/A</v>
      </c>
    </row>
    <row r="1159" spans="1:46" ht="54" customHeight="1">
      <c r="A1159" s="428">
        <f t="shared" si="150"/>
        <v>1151</v>
      </c>
      <c r="B1159" s="294"/>
      <c r="C1159" s="201"/>
      <c r="D1159" s="290"/>
      <c r="E1159" s="301"/>
      <c r="F1159" s="301"/>
      <c r="G1159" s="290"/>
      <c r="H1159" s="291"/>
      <c r="I1159" s="292"/>
      <c r="J1159" s="61"/>
      <c r="K1159" s="57"/>
      <c r="L1159" s="303"/>
      <c r="M1159" s="201"/>
      <c r="N1159" s="84" t="str">
        <f>IF($AI1159&lt;&gt;"",Master!$N$37,IF($AC1159&lt;&gt;"",Master!$N$38,IF($S1159&lt;&gt;"",Master!$N$39,IF($C1159&lt;&gt;"",Master!$N$40,Master!$N$41))))</f>
        <v>起票</v>
      </c>
      <c r="O1159" s="202" t="str">
        <f>IF($N1159=Master!$N$37,MAX($S1159,$AC1159,$AI1159),"")</f>
        <v/>
      </c>
      <c r="P1159" s="65"/>
      <c r="Q1159" s="203"/>
      <c r="R1159" s="57"/>
      <c r="S1159" s="203"/>
      <c r="T1159" s="310"/>
      <c r="U1159" s="289"/>
      <c r="V1159" s="57"/>
      <c r="W1159" s="288"/>
      <c r="X1159" s="288"/>
      <c r="Y1159" s="296"/>
      <c r="Z1159" s="57"/>
      <c r="AA1159" s="203"/>
      <c r="AB1159" s="288"/>
      <c r="AC1159" s="201"/>
      <c r="AD1159" s="298"/>
      <c r="AE1159" s="297"/>
      <c r="AF1159" s="58"/>
      <c r="AG1159" s="204"/>
      <c r="AH1159" s="57"/>
      <c r="AI1159" s="201"/>
      <c r="AJ1159" s="287"/>
      <c r="AK1159" s="452"/>
      <c r="AL1159" s="59"/>
      <c r="AM1159" s="60"/>
      <c r="AO1159" s="137" t="e">
        <f t="shared" si="151"/>
        <v>#N/A</v>
      </c>
      <c r="AP1159" s="138" t="e">
        <f t="shared" si="152"/>
        <v>#N/A</v>
      </c>
      <c r="AQ1159" s="138" t="e">
        <f t="shared" si="153"/>
        <v>#N/A</v>
      </c>
      <c r="AR1159" s="138" t="e">
        <f t="shared" si="154"/>
        <v>#N/A</v>
      </c>
      <c r="AS1159" s="138" t="e">
        <f t="shared" si="155"/>
        <v>#N/A</v>
      </c>
      <c r="AT1159" s="139" t="e">
        <f t="shared" si="156"/>
        <v>#N/A</v>
      </c>
    </row>
    <row r="1160" spans="1:46" ht="54" customHeight="1">
      <c r="A1160" s="428">
        <f t="shared" si="150"/>
        <v>1152</v>
      </c>
      <c r="B1160" s="403"/>
      <c r="C1160" s="404"/>
      <c r="D1160" s="405"/>
      <c r="E1160" s="405"/>
      <c r="F1160" s="405"/>
      <c r="G1160" s="405"/>
      <c r="H1160" s="406"/>
      <c r="I1160" s="407"/>
      <c r="J1160" s="408"/>
      <c r="K1160" s="409"/>
      <c r="L1160" s="410"/>
      <c r="M1160" s="404"/>
      <c r="N1160" s="411" t="str">
        <f>IF($AI1160&lt;&gt;"",Master!$N$37,IF($AC1160&lt;&gt;"",Master!$N$38,IF($S1160&lt;&gt;"",Master!$N$39,IF($C1160&lt;&gt;"",Master!$N$40,Master!$N$41))))</f>
        <v>起票</v>
      </c>
      <c r="O1160" s="412" t="str">
        <f>IF($N1160=Master!$N$37,MAX($S1160,$AC1160,$AI1160),"")</f>
        <v/>
      </c>
      <c r="P1160" s="413"/>
      <c r="Q1160" s="414"/>
      <c r="R1160" s="409"/>
      <c r="S1160" s="404"/>
      <c r="T1160" s="418"/>
      <c r="U1160" s="415"/>
      <c r="V1160" s="409"/>
      <c r="W1160" s="419"/>
      <c r="X1160" s="419"/>
      <c r="Y1160" s="416"/>
      <c r="Z1160" s="417"/>
      <c r="AA1160" s="418"/>
      <c r="AB1160" s="419"/>
      <c r="AC1160" s="404"/>
      <c r="AD1160" s="404"/>
      <c r="AE1160" s="420"/>
      <c r="AF1160" s="421"/>
      <c r="AG1160" s="418"/>
      <c r="AH1160" s="409"/>
      <c r="AI1160" s="404"/>
      <c r="AJ1160" s="416"/>
      <c r="AK1160" s="453"/>
      <c r="AL1160" s="422"/>
      <c r="AM1160" s="423"/>
      <c r="AO1160" s="137" t="e">
        <f t="shared" si="151"/>
        <v>#N/A</v>
      </c>
      <c r="AP1160" s="138" t="e">
        <f t="shared" si="152"/>
        <v>#N/A</v>
      </c>
      <c r="AQ1160" s="138" t="e">
        <f t="shared" si="153"/>
        <v>#N/A</v>
      </c>
      <c r="AR1160" s="138" t="e">
        <f t="shared" si="154"/>
        <v>#N/A</v>
      </c>
      <c r="AS1160" s="138" t="e">
        <f t="shared" si="155"/>
        <v>#N/A</v>
      </c>
      <c r="AT1160" s="139" t="e">
        <f t="shared" si="156"/>
        <v>#N/A</v>
      </c>
    </row>
    <row r="1161" spans="1:46" ht="54" customHeight="1">
      <c r="A1161" s="428">
        <f t="shared" si="150"/>
        <v>1153</v>
      </c>
      <c r="B1161" s="403"/>
      <c r="C1161" s="404"/>
      <c r="D1161" s="405"/>
      <c r="E1161" s="405"/>
      <c r="F1161" s="405"/>
      <c r="G1161" s="405"/>
      <c r="H1161" s="406"/>
      <c r="I1161" s="407"/>
      <c r="J1161" s="408"/>
      <c r="K1161" s="409"/>
      <c r="L1161" s="410"/>
      <c r="M1161" s="404"/>
      <c r="N1161" s="411" t="str">
        <f>IF($AI1161&lt;&gt;"",Master!$N$37,IF($AC1161&lt;&gt;"",Master!$N$38,IF($S1161&lt;&gt;"",Master!$N$39,IF($C1161&lt;&gt;"",Master!$N$40,Master!$N$41))))</f>
        <v>起票</v>
      </c>
      <c r="O1161" s="412" t="str">
        <f>IF($N1161=Master!$N$37,MAX($S1161,$AC1161,$AI1161),"")</f>
        <v/>
      </c>
      <c r="P1161" s="413"/>
      <c r="Q1161" s="414"/>
      <c r="R1161" s="409"/>
      <c r="S1161" s="404"/>
      <c r="T1161" s="418"/>
      <c r="U1161" s="415"/>
      <c r="V1161" s="409"/>
      <c r="W1161" s="419"/>
      <c r="X1161" s="419"/>
      <c r="Y1161" s="416"/>
      <c r="Z1161" s="417"/>
      <c r="AA1161" s="418"/>
      <c r="AB1161" s="419"/>
      <c r="AC1161" s="404"/>
      <c r="AD1161" s="404"/>
      <c r="AE1161" s="420"/>
      <c r="AF1161" s="421"/>
      <c r="AG1161" s="418"/>
      <c r="AH1161" s="409"/>
      <c r="AI1161" s="404"/>
      <c r="AJ1161" s="416"/>
      <c r="AK1161" s="453"/>
      <c r="AL1161" s="422"/>
      <c r="AM1161" s="423"/>
      <c r="AO1161" s="137" t="e">
        <f t="shared" si="151"/>
        <v>#N/A</v>
      </c>
      <c r="AP1161" s="138" t="e">
        <f t="shared" si="152"/>
        <v>#N/A</v>
      </c>
      <c r="AQ1161" s="138" t="e">
        <f t="shared" si="153"/>
        <v>#N/A</v>
      </c>
      <c r="AR1161" s="138" t="e">
        <f t="shared" si="154"/>
        <v>#N/A</v>
      </c>
      <c r="AS1161" s="138" t="e">
        <f t="shared" si="155"/>
        <v>#N/A</v>
      </c>
      <c r="AT1161" s="139" t="e">
        <f t="shared" si="156"/>
        <v>#N/A</v>
      </c>
    </row>
    <row r="1162" spans="1:46" ht="54" customHeight="1">
      <c r="A1162" s="428">
        <f t="shared" si="150"/>
        <v>1154</v>
      </c>
      <c r="B1162" s="403"/>
      <c r="C1162" s="404"/>
      <c r="D1162" s="405"/>
      <c r="E1162" s="405"/>
      <c r="F1162" s="405"/>
      <c r="G1162" s="405"/>
      <c r="H1162" s="406"/>
      <c r="I1162" s="407"/>
      <c r="J1162" s="408"/>
      <c r="K1162" s="409"/>
      <c r="L1162" s="410"/>
      <c r="M1162" s="404"/>
      <c r="N1162" s="411" t="str">
        <f>IF($AI1162&lt;&gt;"",Master!$N$37,IF($AC1162&lt;&gt;"",Master!$N$38,IF($S1162&lt;&gt;"",Master!$N$39,IF($C1162&lt;&gt;"",Master!$N$40,Master!$N$41))))</f>
        <v>起票</v>
      </c>
      <c r="O1162" s="412" t="str">
        <f>IF($N1162=Master!$N$37,MAX($S1162,$AC1162,$AI1162),"")</f>
        <v/>
      </c>
      <c r="P1162" s="413"/>
      <c r="Q1162" s="414"/>
      <c r="R1162" s="409"/>
      <c r="S1162" s="404"/>
      <c r="T1162" s="418"/>
      <c r="U1162" s="415"/>
      <c r="V1162" s="409"/>
      <c r="W1162" s="419"/>
      <c r="X1162" s="419"/>
      <c r="Y1162" s="416"/>
      <c r="Z1162" s="417"/>
      <c r="AA1162" s="418"/>
      <c r="AB1162" s="419"/>
      <c r="AC1162" s="404"/>
      <c r="AD1162" s="404"/>
      <c r="AE1162" s="420"/>
      <c r="AF1162" s="421"/>
      <c r="AG1162" s="418"/>
      <c r="AH1162" s="409"/>
      <c r="AI1162" s="404"/>
      <c r="AJ1162" s="416"/>
      <c r="AK1162" s="453"/>
      <c r="AL1162" s="422"/>
      <c r="AM1162" s="423"/>
      <c r="AO1162" s="137" t="e">
        <f t="shared" si="151"/>
        <v>#N/A</v>
      </c>
      <c r="AP1162" s="138" t="e">
        <f t="shared" si="152"/>
        <v>#N/A</v>
      </c>
      <c r="AQ1162" s="138" t="e">
        <f t="shared" si="153"/>
        <v>#N/A</v>
      </c>
      <c r="AR1162" s="138" t="e">
        <f t="shared" si="154"/>
        <v>#N/A</v>
      </c>
      <c r="AS1162" s="138" t="e">
        <f t="shared" si="155"/>
        <v>#N/A</v>
      </c>
      <c r="AT1162" s="139" t="e">
        <f t="shared" si="156"/>
        <v>#N/A</v>
      </c>
    </row>
    <row r="1163" spans="1:46" ht="54" customHeight="1">
      <c r="A1163" s="428">
        <f t="shared" si="150"/>
        <v>1155</v>
      </c>
      <c r="B1163" s="294"/>
      <c r="C1163" s="201"/>
      <c r="D1163" s="290"/>
      <c r="E1163" s="301"/>
      <c r="F1163" s="301"/>
      <c r="G1163" s="290"/>
      <c r="H1163" s="291"/>
      <c r="I1163" s="292"/>
      <c r="J1163" s="61"/>
      <c r="K1163" s="57"/>
      <c r="L1163" s="303"/>
      <c r="M1163" s="201"/>
      <c r="N1163" s="84" t="str">
        <f>IF($AI1163&lt;&gt;"",Master!$N$37,IF($AC1163&lt;&gt;"",Master!$N$38,IF($S1163&lt;&gt;"",Master!$N$39,IF($C1163&lt;&gt;"",Master!$N$40,Master!$N$41))))</f>
        <v>起票</v>
      </c>
      <c r="O1163" s="202" t="str">
        <f>IF($N1163=Master!$N$37,MAX($S1163,$AC1163,$AI1163),"")</f>
        <v/>
      </c>
      <c r="P1163" s="65"/>
      <c r="Q1163" s="203"/>
      <c r="R1163" s="57"/>
      <c r="S1163" s="203"/>
      <c r="T1163" s="310"/>
      <c r="U1163" s="289"/>
      <c r="V1163" s="57"/>
      <c r="W1163" s="288"/>
      <c r="X1163" s="288"/>
      <c r="Y1163" s="296"/>
      <c r="Z1163" s="57"/>
      <c r="AA1163" s="203"/>
      <c r="AB1163" s="288"/>
      <c r="AC1163" s="201"/>
      <c r="AD1163" s="298"/>
      <c r="AE1163" s="297"/>
      <c r="AF1163" s="58"/>
      <c r="AG1163" s="204"/>
      <c r="AH1163" s="57"/>
      <c r="AI1163" s="201"/>
      <c r="AJ1163" s="287"/>
      <c r="AK1163" s="452"/>
      <c r="AL1163" s="59"/>
      <c r="AM1163" s="60"/>
      <c r="AO1163" s="137" t="e">
        <f t="shared" si="151"/>
        <v>#N/A</v>
      </c>
      <c r="AP1163" s="138" t="e">
        <f t="shared" si="152"/>
        <v>#N/A</v>
      </c>
      <c r="AQ1163" s="138" t="e">
        <f t="shared" si="153"/>
        <v>#N/A</v>
      </c>
      <c r="AR1163" s="138" t="e">
        <f t="shared" si="154"/>
        <v>#N/A</v>
      </c>
      <c r="AS1163" s="138" t="e">
        <f t="shared" si="155"/>
        <v>#N/A</v>
      </c>
      <c r="AT1163" s="139" t="e">
        <f t="shared" si="156"/>
        <v>#N/A</v>
      </c>
    </row>
    <row r="1164" spans="1:46" ht="54" customHeight="1">
      <c r="A1164" s="428">
        <f t="shared" ref="A1164:A1183" si="157">A1163+1</f>
        <v>1156</v>
      </c>
      <c r="B1164" s="294"/>
      <c r="C1164" s="201"/>
      <c r="D1164" s="290"/>
      <c r="E1164" s="301"/>
      <c r="F1164" s="301"/>
      <c r="G1164" s="290"/>
      <c r="H1164" s="291"/>
      <c r="I1164" s="292"/>
      <c r="J1164" s="61"/>
      <c r="K1164" s="57"/>
      <c r="L1164" s="303"/>
      <c r="M1164" s="201"/>
      <c r="N1164" s="84" t="str">
        <f>IF($AI1164&lt;&gt;"",Master!$N$37,IF($AC1164&lt;&gt;"",Master!$N$38,IF($S1164&lt;&gt;"",Master!$N$39,IF($C1164&lt;&gt;"",Master!$N$40,Master!$N$41))))</f>
        <v>起票</v>
      </c>
      <c r="O1164" s="202" t="str">
        <f>IF($N1164=Master!$N$37,MAX($S1164,$AC1164,$AI1164),"")</f>
        <v/>
      </c>
      <c r="P1164" s="65"/>
      <c r="Q1164" s="203"/>
      <c r="R1164" s="57"/>
      <c r="S1164" s="203"/>
      <c r="T1164" s="310"/>
      <c r="U1164" s="289"/>
      <c r="V1164" s="57"/>
      <c r="W1164" s="288"/>
      <c r="X1164" s="288"/>
      <c r="Y1164" s="296"/>
      <c r="Z1164" s="57"/>
      <c r="AA1164" s="203"/>
      <c r="AB1164" s="288"/>
      <c r="AC1164" s="201"/>
      <c r="AD1164" s="298"/>
      <c r="AE1164" s="297"/>
      <c r="AF1164" s="58"/>
      <c r="AG1164" s="204"/>
      <c r="AH1164" s="57"/>
      <c r="AI1164" s="201"/>
      <c r="AJ1164" s="287"/>
      <c r="AK1164" s="452"/>
      <c r="AL1164" s="59"/>
      <c r="AM1164" s="60"/>
      <c r="AO1164" s="137" t="e">
        <f t="shared" si="151"/>
        <v>#N/A</v>
      </c>
      <c r="AP1164" s="138" t="e">
        <f t="shared" si="152"/>
        <v>#N/A</v>
      </c>
      <c r="AQ1164" s="138" t="e">
        <f t="shared" si="153"/>
        <v>#N/A</v>
      </c>
      <c r="AR1164" s="138" t="e">
        <f t="shared" si="154"/>
        <v>#N/A</v>
      </c>
      <c r="AS1164" s="138" t="e">
        <f t="shared" si="155"/>
        <v>#N/A</v>
      </c>
      <c r="AT1164" s="139" t="e">
        <f t="shared" si="156"/>
        <v>#N/A</v>
      </c>
    </row>
    <row r="1165" spans="1:46" ht="54" customHeight="1">
      <c r="A1165" s="428">
        <f t="shared" si="157"/>
        <v>1157</v>
      </c>
      <c r="B1165" s="403"/>
      <c r="C1165" s="404"/>
      <c r="D1165" s="405"/>
      <c r="E1165" s="405"/>
      <c r="F1165" s="405"/>
      <c r="G1165" s="405"/>
      <c r="H1165" s="406"/>
      <c r="I1165" s="407"/>
      <c r="J1165" s="408"/>
      <c r="K1165" s="409"/>
      <c r="L1165" s="410"/>
      <c r="M1165" s="404"/>
      <c r="N1165" s="411" t="str">
        <f>IF($AI1165&lt;&gt;"",Master!$N$37,IF($AC1165&lt;&gt;"",Master!$N$38,IF($S1165&lt;&gt;"",Master!$N$39,IF($C1165&lt;&gt;"",Master!$N$40,Master!$N$41))))</f>
        <v>起票</v>
      </c>
      <c r="O1165" s="412" t="str">
        <f>IF($N1165=Master!$N$37,MAX($S1165,$AC1165,$AI1165),"")</f>
        <v/>
      </c>
      <c r="P1165" s="413"/>
      <c r="Q1165" s="414"/>
      <c r="R1165" s="409"/>
      <c r="S1165" s="404"/>
      <c r="T1165" s="418"/>
      <c r="U1165" s="415"/>
      <c r="V1165" s="409"/>
      <c r="W1165" s="419"/>
      <c r="X1165" s="419"/>
      <c r="Y1165" s="416"/>
      <c r="Z1165" s="417"/>
      <c r="AA1165" s="418"/>
      <c r="AB1165" s="419"/>
      <c r="AC1165" s="404"/>
      <c r="AD1165" s="404"/>
      <c r="AE1165" s="420"/>
      <c r="AF1165" s="421"/>
      <c r="AG1165" s="418"/>
      <c r="AH1165" s="409"/>
      <c r="AI1165" s="404"/>
      <c r="AJ1165" s="416"/>
      <c r="AK1165" s="453"/>
      <c r="AL1165" s="422"/>
      <c r="AM1165" s="423"/>
      <c r="AO1165" s="137" t="e">
        <f t="shared" si="151"/>
        <v>#N/A</v>
      </c>
      <c r="AP1165" s="138" t="e">
        <f t="shared" si="152"/>
        <v>#N/A</v>
      </c>
      <c r="AQ1165" s="138" t="e">
        <f t="shared" si="153"/>
        <v>#N/A</v>
      </c>
      <c r="AR1165" s="138" t="e">
        <f t="shared" si="154"/>
        <v>#N/A</v>
      </c>
      <c r="AS1165" s="138" t="e">
        <f t="shared" si="155"/>
        <v>#N/A</v>
      </c>
      <c r="AT1165" s="139" t="e">
        <f t="shared" si="156"/>
        <v>#N/A</v>
      </c>
    </row>
    <row r="1166" spans="1:46" ht="54" customHeight="1">
      <c r="A1166" s="428">
        <f t="shared" si="157"/>
        <v>1158</v>
      </c>
      <c r="B1166" s="403"/>
      <c r="C1166" s="404"/>
      <c r="D1166" s="405"/>
      <c r="E1166" s="405"/>
      <c r="F1166" s="405"/>
      <c r="G1166" s="405"/>
      <c r="H1166" s="406"/>
      <c r="I1166" s="407"/>
      <c r="J1166" s="408"/>
      <c r="K1166" s="409"/>
      <c r="L1166" s="410"/>
      <c r="M1166" s="404"/>
      <c r="N1166" s="411" t="str">
        <f>IF($AI1166&lt;&gt;"",Master!$N$37,IF($AC1166&lt;&gt;"",Master!$N$38,IF($S1166&lt;&gt;"",Master!$N$39,IF($C1166&lt;&gt;"",Master!$N$40,Master!$N$41))))</f>
        <v>起票</v>
      </c>
      <c r="O1166" s="412" t="str">
        <f>IF($N1166=Master!$N$37,MAX($S1166,$AC1166,$AI1166),"")</f>
        <v/>
      </c>
      <c r="P1166" s="413"/>
      <c r="Q1166" s="414"/>
      <c r="R1166" s="409"/>
      <c r="S1166" s="404"/>
      <c r="T1166" s="418"/>
      <c r="U1166" s="415"/>
      <c r="V1166" s="409"/>
      <c r="W1166" s="419"/>
      <c r="X1166" s="419"/>
      <c r="Y1166" s="416"/>
      <c r="Z1166" s="417"/>
      <c r="AA1166" s="418"/>
      <c r="AB1166" s="419"/>
      <c r="AC1166" s="404"/>
      <c r="AD1166" s="404"/>
      <c r="AE1166" s="420"/>
      <c r="AF1166" s="421"/>
      <c r="AG1166" s="418"/>
      <c r="AH1166" s="409"/>
      <c r="AI1166" s="404"/>
      <c r="AJ1166" s="416"/>
      <c r="AK1166" s="453"/>
      <c r="AL1166" s="422"/>
      <c r="AM1166" s="423"/>
      <c r="AO1166" s="137" t="e">
        <f t="shared" si="151"/>
        <v>#N/A</v>
      </c>
      <c r="AP1166" s="138" t="e">
        <f t="shared" si="152"/>
        <v>#N/A</v>
      </c>
      <c r="AQ1166" s="138" t="e">
        <f t="shared" si="153"/>
        <v>#N/A</v>
      </c>
      <c r="AR1166" s="138" t="e">
        <f t="shared" si="154"/>
        <v>#N/A</v>
      </c>
      <c r="AS1166" s="138" t="e">
        <f t="shared" si="155"/>
        <v>#N/A</v>
      </c>
      <c r="AT1166" s="139" t="e">
        <f t="shared" si="156"/>
        <v>#N/A</v>
      </c>
    </row>
    <row r="1167" spans="1:46" ht="54" customHeight="1">
      <c r="A1167" s="428">
        <f t="shared" si="157"/>
        <v>1159</v>
      </c>
      <c r="B1167" s="403"/>
      <c r="C1167" s="404"/>
      <c r="D1167" s="405"/>
      <c r="E1167" s="405"/>
      <c r="F1167" s="405"/>
      <c r="G1167" s="405"/>
      <c r="H1167" s="406"/>
      <c r="I1167" s="407"/>
      <c r="J1167" s="408"/>
      <c r="K1167" s="409"/>
      <c r="L1167" s="410"/>
      <c r="M1167" s="404"/>
      <c r="N1167" s="411" t="str">
        <f>IF($AI1167&lt;&gt;"",Master!$N$37,IF($AC1167&lt;&gt;"",Master!$N$38,IF($S1167&lt;&gt;"",Master!$N$39,IF($C1167&lt;&gt;"",Master!$N$40,Master!$N$41))))</f>
        <v>起票</v>
      </c>
      <c r="O1167" s="412" t="str">
        <f>IF($N1167=Master!$N$37,MAX($S1167,$AC1167,$AI1167),"")</f>
        <v/>
      </c>
      <c r="P1167" s="413"/>
      <c r="Q1167" s="414"/>
      <c r="R1167" s="409"/>
      <c r="S1167" s="404"/>
      <c r="T1167" s="418"/>
      <c r="U1167" s="415"/>
      <c r="V1167" s="409"/>
      <c r="W1167" s="419"/>
      <c r="X1167" s="419"/>
      <c r="Y1167" s="416"/>
      <c r="Z1167" s="417"/>
      <c r="AA1167" s="418"/>
      <c r="AB1167" s="419"/>
      <c r="AC1167" s="404"/>
      <c r="AD1167" s="404"/>
      <c r="AE1167" s="420"/>
      <c r="AF1167" s="421"/>
      <c r="AG1167" s="418"/>
      <c r="AH1167" s="409"/>
      <c r="AI1167" s="404"/>
      <c r="AJ1167" s="416"/>
      <c r="AK1167" s="453"/>
      <c r="AL1167" s="422"/>
      <c r="AM1167" s="423"/>
      <c r="AO1167" s="137" t="e">
        <f t="shared" si="151"/>
        <v>#N/A</v>
      </c>
      <c r="AP1167" s="138" t="e">
        <f t="shared" si="152"/>
        <v>#N/A</v>
      </c>
      <c r="AQ1167" s="138" t="e">
        <f t="shared" si="153"/>
        <v>#N/A</v>
      </c>
      <c r="AR1167" s="138" t="e">
        <f t="shared" si="154"/>
        <v>#N/A</v>
      </c>
      <c r="AS1167" s="138" t="e">
        <f t="shared" si="155"/>
        <v>#N/A</v>
      </c>
      <c r="AT1167" s="139" t="e">
        <f t="shared" si="156"/>
        <v>#N/A</v>
      </c>
    </row>
    <row r="1168" spans="1:46" ht="54" customHeight="1">
      <c r="A1168" s="428">
        <f t="shared" si="157"/>
        <v>1160</v>
      </c>
      <c r="B1168" s="294"/>
      <c r="C1168" s="201"/>
      <c r="D1168" s="290"/>
      <c r="E1168" s="301"/>
      <c r="F1168" s="301"/>
      <c r="G1168" s="290"/>
      <c r="H1168" s="291"/>
      <c r="I1168" s="292"/>
      <c r="J1168" s="61"/>
      <c r="K1168" s="57"/>
      <c r="L1168" s="303"/>
      <c r="M1168" s="201"/>
      <c r="N1168" s="84" t="str">
        <f>IF($AI1168&lt;&gt;"",Master!$N$37,IF($AC1168&lt;&gt;"",Master!$N$38,IF($S1168&lt;&gt;"",Master!$N$39,IF($C1168&lt;&gt;"",Master!$N$40,Master!$N$41))))</f>
        <v>起票</v>
      </c>
      <c r="O1168" s="202" t="str">
        <f>IF($N1168=Master!$N$37,MAX($S1168,$AC1168,$AI1168),"")</f>
        <v/>
      </c>
      <c r="P1168" s="65"/>
      <c r="Q1168" s="203"/>
      <c r="R1168" s="57"/>
      <c r="S1168" s="203"/>
      <c r="T1168" s="310"/>
      <c r="U1168" s="289"/>
      <c r="V1168" s="57"/>
      <c r="W1168" s="288"/>
      <c r="X1168" s="288"/>
      <c r="Y1168" s="296"/>
      <c r="Z1168" s="57"/>
      <c r="AA1168" s="203"/>
      <c r="AB1168" s="288"/>
      <c r="AC1168" s="201"/>
      <c r="AD1168" s="298"/>
      <c r="AE1168" s="297"/>
      <c r="AF1168" s="58"/>
      <c r="AG1168" s="204"/>
      <c r="AH1168" s="57"/>
      <c r="AI1168" s="201"/>
      <c r="AJ1168" s="287"/>
      <c r="AK1168" s="452"/>
      <c r="AL1168" s="59"/>
      <c r="AM1168" s="60"/>
      <c r="AO1168" s="137" t="e">
        <f t="shared" si="151"/>
        <v>#N/A</v>
      </c>
      <c r="AP1168" s="138" t="e">
        <f t="shared" si="152"/>
        <v>#N/A</v>
      </c>
      <c r="AQ1168" s="138" t="e">
        <f t="shared" si="153"/>
        <v>#N/A</v>
      </c>
      <c r="AR1168" s="138" t="e">
        <f t="shared" si="154"/>
        <v>#N/A</v>
      </c>
      <c r="AS1168" s="138" t="e">
        <f t="shared" si="155"/>
        <v>#N/A</v>
      </c>
      <c r="AT1168" s="139" t="e">
        <f t="shared" si="156"/>
        <v>#N/A</v>
      </c>
    </row>
    <row r="1169" spans="1:46" ht="54" customHeight="1">
      <c r="A1169" s="428">
        <f t="shared" si="157"/>
        <v>1161</v>
      </c>
      <c r="B1169" s="294"/>
      <c r="C1169" s="201"/>
      <c r="D1169" s="290"/>
      <c r="E1169" s="301"/>
      <c r="F1169" s="301"/>
      <c r="G1169" s="290"/>
      <c r="H1169" s="291"/>
      <c r="I1169" s="292"/>
      <c r="J1169" s="61"/>
      <c r="K1169" s="57"/>
      <c r="L1169" s="303"/>
      <c r="M1169" s="201"/>
      <c r="N1169" s="84" t="str">
        <f>IF($AI1169&lt;&gt;"",Master!$N$37,IF($AC1169&lt;&gt;"",Master!$N$38,IF($S1169&lt;&gt;"",Master!$N$39,IF($C1169&lt;&gt;"",Master!$N$40,Master!$N$41))))</f>
        <v>起票</v>
      </c>
      <c r="O1169" s="202" t="str">
        <f>IF($N1169=Master!$N$37,MAX($S1169,$AC1169,$AI1169),"")</f>
        <v/>
      </c>
      <c r="P1169" s="65"/>
      <c r="Q1169" s="203"/>
      <c r="R1169" s="57"/>
      <c r="S1169" s="203"/>
      <c r="T1169" s="310"/>
      <c r="U1169" s="289"/>
      <c r="V1169" s="57"/>
      <c r="W1169" s="288"/>
      <c r="X1169" s="288"/>
      <c r="Y1169" s="296"/>
      <c r="Z1169" s="57"/>
      <c r="AA1169" s="203"/>
      <c r="AB1169" s="288"/>
      <c r="AC1169" s="201"/>
      <c r="AD1169" s="298"/>
      <c r="AE1169" s="297"/>
      <c r="AF1169" s="58"/>
      <c r="AG1169" s="204"/>
      <c r="AH1169" s="57"/>
      <c r="AI1169" s="201"/>
      <c r="AJ1169" s="287"/>
      <c r="AK1169" s="452"/>
      <c r="AL1169" s="59"/>
      <c r="AM1169" s="60"/>
      <c r="AO1169" s="137" t="e">
        <f t="shared" si="151"/>
        <v>#N/A</v>
      </c>
      <c r="AP1169" s="138" t="e">
        <f t="shared" si="152"/>
        <v>#N/A</v>
      </c>
      <c r="AQ1169" s="138" t="e">
        <f t="shared" si="153"/>
        <v>#N/A</v>
      </c>
      <c r="AR1169" s="138" t="e">
        <f t="shared" si="154"/>
        <v>#N/A</v>
      </c>
      <c r="AS1169" s="138" t="e">
        <f t="shared" si="155"/>
        <v>#N/A</v>
      </c>
      <c r="AT1169" s="139" t="e">
        <f t="shared" si="156"/>
        <v>#N/A</v>
      </c>
    </row>
    <row r="1170" spans="1:46" ht="54" customHeight="1">
      <c r="A1170" s="428">
        <f t="shared" si="157"/>
        <v>1162</v>
      </c>
      <c r="B1170" s="403"/>
      <c r="C1170" s="404"/>
      <c r="D1170" s="405"/>
      <c r="E1170" s="405"/>
      <c r="F1170" s="405"/>
      <c r="G1170" s="405"/>
      <c r="H1170" s="406"/>
      <c r="I1170" s="407"/>
      <c r="J1170" s="408"/>
      <c r="K1170" s="409"/>
      <c r="L1170" s="410"/>
      <c r="M1170" s="404"/>
      <c r="N1170" s="411" t="str">
        <f>IF($AI1170&lt;&gt;"",Master!$N$37,IF($AC1170&lt;&gt;"",Master!$N$38,IF($S1170&lt;&gt;"",Master!$N$39,IF($C1170&lt;&gt;"",Master!$N$40,Master!$N$41))))</f>
        <v>起票</v>
      </c>
      <c r="O1170" s="412" t="str">
        <f>IF($N1170=Master!$N$37,MAX($S1170,$AC1170,$AI1170),"")</f>
        <v/>
      </c>
      <c r="P1170" s="413"/>
      <c r="Q1170" s="414"/>
      <c r="R1170" s="409"/>
      <c r="S1170" s="404"/>
      <c r="T1170" s="418"/>
      <c r="U1170" s="415"/>
      <c r="V1170" s="409"/>
      <c r="W1170" s="419"/>
      <c r="X1170" s="419"/>
      <c r="Y1170" s="416"/>
      <c r="Z1170" s="417"/>
      <c r="AA1170" s="418"/>
      <c r="AB1170" s="419"/>
      <c r="AC1170" s="404"/>
      <c r="AD1170" s="404"/>
      <c r="AE1170" s="420"/>
      <c r="AF1170" s="421"/>
      <c r="AG1170" s="418"/>
      <c r="AH1170" s="409"/>
      <c r="AI1170" s="404"/>
      <c r="AJ1170" s="416"/>
      <c r="AK1170" s="453"/>
      <c r="AL1170" s="422"/>
      <c r="AM1170" s="423"/>
      <c r="AO1170" s="137" t="e">
        <f t="shared" si="151"/>
        <v>#N/A</v>
      </c>
      <c r="AP1170" s="138" t="e">
        <f t="shared" si="152"/>
        <v>#N/A</v>
      </c>
      <c r="AQ1170" s="138" t="e">
        <f t="shared" si="153"/>
        <v>#N/A</v>
      </c>
      <c r="AR1170" s="138" t="e">
        <f t="shared" si="154"/>
        <v>#N/A</v>
      </c>
      <c r="AS1170" s="138" t="e">
        <f t="shared" si="155"/>
        <v>#N/A</v>
      </c>
      <c r="AT1170" s="139" t="e">
        <f t="shared" si="156"/>
        <v>#N/A</v>
      </c>
    </row>
    <row r="1171" spans="1:46" ht="54" customHeight="1">
      <c r="A1171" s="428">
        <f t="shared" si="157"/>
        <v>1163</v>
      </c>
      <c r="B1171" s="403"/>
      <c r="C1171" s="404"/>
      <c r="D1171" s="405"/>
      <c r="E1171" s="405"/>
      <c r="F1171" s="405"/>
      <c r="G1171" s="405"/>
      <c r="H1171" s="406"/>
      <c r="I1171" s="407"/>
      <c r="J1171" s="408"/>
      <c r="K1171" s="409"/>
      <c r="L1171" s="410"/>
      <c r="M1171" s="404"/>
      <c r="N1171" s="411" t="str">
        <f>IF($AI1171&lt;&gt;"",Master!$N$37,IF($AC1171&lt;&gt;"",Master!$N$38,IF($S1171&lt;&gt;"",Master!$N$39,IF($C1171&lt;&gt;"",Master!$N$40,Master!$N$41))))</f>
        <v>起票</v>
      </c>
      <c r="O1171" s="412" t="str">
        <f>IF($N1171=Master!$N$37,MAX($S1171,$AC1171,$AI1171),"")</f>
        <v/>
      </c>
      <c r="P1171" s="413"/>
      <c r="Q1171" s="414"/>
      <c r="R1171" s="409"/>
      <c r="S1171" s="404"/>
      <c r="T1171" s="418"/>
      <c r="U1171" s="415"/>
      <c r="V1171" s="409"/>
      <c r="W1171" s="419"/>
      <c r="X1171" s="419"/>
      <c r="Y1171" s="416"/>
      <c r="Z1171" s="417"/>
      <c r="AA1171" s="418"/>
      <c r="AB1171" s="419"/>
      <c r="AC1171" s="404"/>
      <c r="AD1171" s="404"/>
      <c r="AE1171" s="420"/>
      <c r="AF1171" s="421"/>
      <c r="AG1171" s="418"/>
      <c r="AH1171" s="409"/>
      <c r="AI1171" s="404"/>
      <c r="AJ1171" s="416"/>
      <c r="AK1171" s="453"/>
      <c r="AL1171" s="422"/>
      <c r="AM1171" s="423"/>
      <c r="AO1171" s="137" t="e">
        <f t="shared" si="151"/>
        <v>#N/A</v>
      </c>
      <c r="AP1171" s="138" t="e">
        <f t="shared" si="152"/>
        <v>#N/A</v>
      </c>
      <c r="AQ1171" s="138" t="e">
        <f t="shared" si="153"/>
        <v>#N/A</v>
      </c>
      <c r="AR1171" s="138" t="e">
        <f t="shared" si="154"/>
        <v>#N/A</v>
      </c>
      <c r="AS1171" s="138" t="e">
        <f t="shared" si="155"/>
        <v>#N/A</v>
      </c>
      <c r="AT1171" s="139" t="e">
        <f t="shared" si="156"/>
        <v>#N/A</v>
      </c>
    </row>
    <row r="1172" spans="1:46" ht="54" customHeight="1">
      <c r="A1172" s="428">
        <f t="shared" si="157"/>
        <v>1164</v>
      </c>
      <c r="B1172" s="403"/>
      <c r="C1172" s="404"/>
      <c r="D1172" s="405"/>
      <c r="E1172" s="405"/>
      <c r="F1172" s="405"/>
      <c r="G1172" s="405"/>
      <c r="H1172" s="406"/>
      <c r="I1172" s="407"/>
      <c r="J1172" s="408"/>
      <c r="K1172" s="409"/>
      <c r="L1172" s="410"/>
      <c r="M1172" s="404"/>
      <c r="N1172" s="411" t="str">
        <f>IF($AI1172&lt;&gt;"",Master!$N$37,IF($AC1172&lt;&gt;"",Master!$N$38,IF($S1172&lt;&gt;"",Master!$N$39,IF($C1172&lt;&gt;"",Master!$N$40,Master!$N$41))))</f>
        <v>起票</v>
      </c>
      <c r="O1172" s="412" t="str">
        <f>IF($N1172=Master!$N$37,MAX($S1172,$AC1172,$AI1172),"")</f>
        <v/>
      </c>
      <c r="P1172" s="413"/>
      <c r="Q1172" s="414"/>
      <c r="R1172" s="409"/>
      <c r="S1172" s="404"/>
      <c r="T1172" s="418"/>
      <c r="U1172" s="415"/>
      <c r="V1172" s="409"/>
      <c r="W1172" s="419"/>
      <c r="X1172" s="419"/>
      <c r="Y1172" s="416"/>
      <c r="Z1172" s="417"/>
      <c r="AA1172" s="418"/>
      <c r="AB1172" s="419"/>
      <c r="AC1172" s="404"/>
      <c r="AD1172" s="404"/>
      <c r="AE1172" s="420"/>
      <c r="AF1172" s="421"/>
      <c r="AG1172" s="418"/>
      <c r="AH1172" s="409"/>
      <c r="AI1172" s="404"/>
      <c r="AJ1172" s="416"/>
      <c r="AK1172" s="453"/>
      <c r="AL1172" s="422"/>
      <c r="AM1172" s="423"/>
      <c r="AO1172" s="137" t="e">
        <f t="shared" si="151"/>
        <v>#N/A</v>
      </c>
      <c r="AP1172" s="138" t="e">
        <f t="shared" si="152"/>
        <v>#N/A</v>
      </c>
      <c r="AQ1172" s="138" t="e">
        <f t="shared" si="153"/>
        <v>#N/A</v>
      </c>
      <c r="AR1172" s="138" t="e">
        <f t="shared" si="154"/>
        <v>#N/A</v>
      </c>
      <c r="AS1172" s="138" t="e">
        <f t="shared" si="155"/>
        <v>#N/A</v>
      </c>
      <c r="AT1172" s="139" t="e">
        <f t="shared" si="156"/>
        <v>#N/A</v>
      </c>
    </row>
    <row r="1173" spans="1:46" ht="54" customHeight="1">
      <c r="A1173" s="428">
        <f t="shared" si="157"/>
        <v>1165</v>
      </c>
      <c r="B1173" s="294"/>
      <c r="C1173" s="201"/>
      <c r="D1173" s="290"/>
      <c r="E1173" s="301"/>
      <c r="F1173" s="301"/>
      <c r="G1173" s="290"/>
      <c r="H1173" s="291"/>
      <c r="I1173" s="292"/>
      <c r="J1173" s="61"/>
      <c r="K1173" s="57"/>
      <c r="L1173" s="303"/>
      <c r="M1173" s="201"/>
      <c r="N1173" s="84" t="str">
        <f>IF($AI1173&lt;&gt;"",Master!$N$37,IF($AC1173&lt;&gt;"",Master!$N$38,IF($S1173&lt;&gt;"",Master!$N$39,IF($C1173&lt;&gt;"",Master!$N$40,Master!$N$41))))</f>
        <v>起票</v>
      </c>
      <c r="O1173" s="202" t="str">
        <f>IF($N1173=Master!$N$37,MAX($S1173,$AC1173,$AI1173),"")</f>
        <v/>
      </c>
      <c r="P1173" s="65"/>
      <c r="Q1173" s="203"/>
      <c r="R1173" s="57"/>
      <c r="S1173" s="203"/>
      <c r="T1173" s="310"/>
      <c r="U1173" s="289"/>
      <c r="V1173" s="57"/>
      <c r="W1173" s="288"/>
      <c r="X1173" s="288"/>
      <c r="Y1173" s="296"/>
      <c r="Z1173" s="57"/>
      <c r="AA1173" s="203"/>
      <c r="AB1173" s="288"/>
      <c r="AC1173" s="201"/>
      <c r="AD1173" s="298"/>
      <c r="AE1173" s="297"/>
      <c r="AF1173" s="58"/>
      <c r="AG1173" s="204"/>
      <c r="AH1173" s="57"/>
      <c r="AI1173" s="201"/>
      <c r="AJ1173" s="287"/>
      <c r="AK1173" s="452"/>
      <c r="AL1173" s="59"/>
      <c r="AM1173" s="60"/>
      <c r="AO1173" s="137" t="e">
        <f t="shared" si="151"/>
        <v>#N/A</v>
      </c>
      <c r="AP1173" s="138" t="e">
        <f t="shared" si="152"/>
        <v>#N/A</v>
      </c>
      <c r="AQ1173" s="138" t="e">
        <f t="shared" si="153"/>
        <v>#N/A</v>
      </c>
      <c r="AR1173" s="138" t="e">
        <f t="shared" si="154"/>
        <v>#N/A</v>
      </c>
      <c r="AS1173" s="138" t="e">
        <f t="shared" si="155"/>
        <v>#N/A</v>
      </c>
      <c r="AT1173" s="139" t="e">
        <f t="shared" si="156"/>
        <v>#N/A</v>
      </c>
    </row>
    <row r="1174" spans="1:46" ht="54" customHeight="1">
      <c r="A1174" s="428">
        <f t="shared" si="157"/>
        <v>1166</v>
      </c>
      <c r="B1174" s="294"/>
      <c r="C1174" s="201"/>
      <c r="D1174" s="290"/>
      <c r="E1174" s="301"/>
      <c r="F1174" s="301"/>
      <c r="G1174" s="290"/>
      <c r="H1174" s="291"/>
      <c r="I1174" s="292"/>
      <c r="J1174" s="61"/>
      <c r="K1174" s="57"/>
      <c r="L1174" s="303"/>
      <c r="M1174" s="201"/>
      <c r="N1174" s="84" t="str">
        <f>IF($AI1174&lt;&gt;"",Master!$N$37,IF($AC1174&lt;&gt;"",Master!$N$38,IF($S1174&lt;&gt;"",Master!$N$39,IF($C1174&lt;&gt;"",Master!$N$40,Master!$N$41))))</f>
        <v>起票</v>
      </c>
      <c r="O1174" s="202" t="str">
        <f>IF($N1174=Master!$N$37,MAX($S1174,$AC1174,$AI1174),"")</f>
        <v/>
      </c>
      <c r="P1174" s="65"/>
      <c r="Q1174" s="203"/>
      <c r="R1174" s="57"/>
      <c r="S1174" s="203"/>
      <c r="T1174" s="310"/>
      <c r="U1174" s="289"/>
      <c r="V1174" s="57"/>
      <c r="W1174" s="288"/>
      <c r="X1174" s="288"/>
      <c r="Y1174" s="296"/>
      <c r="Z1174" s="57"/>
      <c r="AA1174" s="203"/>
      <c r="AB1174" s="288"/>
      <c r="AC1174" s="201"/>
      <c r="AD1174" s="298"/>
      <c r="AE1174" s="297"/>
      <c r="AF1174" s="58"/>
      <c r="AG1174" s="204"/>
      <c r="AH1174" s="57"/>
      <c r="AI1174" s="201"/>
      <c r="AJ1174" s="287"/>
      <c r="AK1174" s="452"/>
      <c r="AL1174" s="59"/>
      <c r="AM1174" s="60"/>
      <c r="AO1174" s="137" t="e">
        <f t="shared" si="151"/>
        <v>#N/A</v>
      </c>
      <c r="AP1174" s="138" t="e">
        <f t="shared" si="152"/>
        <v>#N/A</v>
      </c>
      <c r="AQ1174" s="138" t="e">
        <f t="shared" si="153"/>
        <v>#N/A</v>
      </c>
      <c r="AR1174" s="138" t="e">
        <f t="shared" si="154"/>
        <v>#N/A</v>
      </c>
      <c r="AS1174" s="138" t="e">
        <f t="shared" si="155"/>
        <v>#N/A</v>
      </c>
      <c r="AT1174" s="139" t="e">
        <f t="shared" si="156"/>
        <v>#N/A</v>
      </c>
    </row>
    <row r="1175" spans="1:46" ht="54" customHeight="1">
      <c r="A1175" s="428">
        <f t="shared" si="157"/>
        <v>1167</v>
      </c>
      <c r="B1175" s="403"/>
      <c r="C1175" s="404"/>
      <c r="D1175" s="405"/>
      <c r="E1175" s="405"/>
      <c r="F1175" s="405"/>
      <c r="G1175" s="405"/>
      <c r="H1175" s="406"/>
      <c r="I1175" s="407"/>
      <c r="J1175" s="408"/>
      <c r="K1175" s="409"/>
      <c r="L1175" s="410"/>
      <c r="M1175" s="404"/>
      <c r="N1175" s="411" t="str">
        <f>IF($AI1175&lt;&gt;"",Master!$N$37,IF($AC1175&lt;&gt;"",Master!$N$38,IF($S1175&lt;&gt;"",Master!$N$39,IF($C1175&lt;&gt;"",Master!$N$40,Master!$N$41))))</f>
        <v>起票</v>
      </c>
      <c r="O1175" s="412" t="str">
        <f>IF($N1175=Master!$N$37,MAX($S1175,$AC1175,$AI1175),"")</f>
        <v/>
      </c>
      <c r="P1175" s="413"/>
      <c r="Q1175" s="414"/>
      <c r="R1175" s="409"/>
      <c r="S1175" s="404"/>
      <c r="T1175" s="418"/>
      <c r="U1175" s="415"/>
      <c r="V1175" s="409"/>
      <c r="W1175" s="419"/>
      <c r="X1175" s="419"/>
      <c r="Y1175" s="416"/>
      <c r="Z1175" s="417"/>
      <c r="AA1175" s="418"/>
      <c r="AB1175" s="419"/>
      <c r="AC1175" s="404"/>
      <c r="AD1175" s="404"/>
      <c r="AE1175" s="420"/>
      <c r="AF1175" s="421"/>
      <c r="AG1175" s="418"/>
      <c r="AH1175" s="409"/>
      <c r="AI1175" s="404"/>
      <c r="AJ1175" s="416"/>
      <c r="AK1175" s="453"/>
      <c r="AL1175" s="422"/>
      <c r="AM1175" s="423"/>
      <c r="AO1175" s="137" t="e">
        <f t="shared" si="151"/>
        <v>#N/A</v>
      </c>
      <c r="AP1175" s="138" t="e">
        <f t="shared" si="152"/>
        <v>#N/A</v>
      </c>
      <c r="AQ1175" s="138" t="e">
        <f t="shared" si="153"/>
        <v>#N/A</v>
      </c>
      <c r="AR1175" s="138" t="e">
        <f t="shared" si="154"/>
        <v>#N/A</v>
      </c>
      <c r="AS1175" s="138" t="e">
        <f t="shared" si="155"/>
        <v>#N/A</v>
      </c>
      <c r="AT1175" s="139" t="e">
        <f t="shared" si="156"/>
        <v>#N/A</v>
      </c>
    </row>
    <row r="1176" spans="1:46" ht="54" customHeight="1">
      <c r="A1176" s="428">
        <f t="shared" si="157"/>
        <v>1168</v>
      </c>
      <c r="B1176" s="403"/>
      <c r="C1176" s="404"/>
      <c r="D1176" s="405"/>
      <c r="E1176" s="405"/>
      <c r="F1176" s="405"/>
      <c r="G1176" s="405"/>
      <c r="H1176" s="406"/>
      <c r="I1176" s="407"/>
      <c r="J1176" s="408"/>
      <c r="K1176" s="409"/>
      <c r="L1176" s="410"/>
      <c r="M1176" s="404"/>
      <c r="N1176" s="411" t="str">
        <f>IF($AI1176&lt;&gt;"",Master!$N$37,IF($AC1176&lt;&gt;"",Master!$N$38,IF($S1176&lt;&gt;"",Master!$N$39,IF($C1176&lt;&gt;"",Master!$N$40,Master!$N$41))))</f>
        <v>起票</v>
      </c>
      <c r="O1176" s="412" t="str">
        <f>IF($N1176=Master!$N$37,MAX($S1176,$AC1176,$AI1176),"")</f>
        <v/>
      </c>
      <c r="P1176" s="413"/>
      <c r="Q1176" s="414"/>
      <c r="R1176" s="409"/>
      <c r="S1176" s="404"/>
      <c r="T1176" s="418"/>
      <c r="U1176" s="415"/>
      <c r="V1176" s="409"/>
      <c r="W1176" s="419"/>
      <c r="X1176" s="419"/>
      <c r="Y1176" s="416"/>
      <c r="Z1176" s="417"/>
      <c r="AA1176" s="418"/>
      <c r="AB1176" s="419"/>
      <c r="AC1176" s="404"/>
      <c r="AD1176" s="404"/>
      <c r="AE1176" s="420"/>
      <c r="AF1176" s="421"/>
      <c r="AG1176" s="418"/>
      <c r="AH1176" s="409"/>
      <c r="AI1176" s="404"/>
      <c r="AJ1176" s="416"/>
      <c r="AK1176" s="453"/>
      <c r="AL1176" s="422"/>
      <c r="AM1176" s="423"/>
      <c r="AO1176" s="137" t="e">
        <f t="shared" si="151"/>
        <v>#N/A</v>
      </c>
      <c r="AP1176" s="138" t="e">
        <f t="shared" si="152"/>
        <v>#N/A</v>
      </c>
      <c r="AQ1176" s="138" t="e">
        <f t="shared" si="153"/>
        <v>#N/A</v>
      </c>
      <c r="AR1176" s="138" t="e">
        <f t="shared" si="154"/>
        <v>#N/A</v>
      </c>
      <c r="AS1176" s="138" t="e">
        <f t="shared" si="155"/>
        <v>#N/A</v>
      </c>
      <c r="AT1176" s="139" t="e">
        <f t="shared" si="156"/>
        <v>#N/A</v>
      </c>
    </row>
    <row r="1177" spans="1:46" ht="54" customHeight="1">
      <c r="A1177" s="428">
        <f t="shared" si="157"/>
        <v>1169</v>
      </c>
      <c r="B1177" s="403"/>
      <c r="C1177" s="404"/>
      <c r="D1177" s="405"/>
      <c r="E1177" s="405"/>
      <c r="F1177" s="405"/>
      <c r="G1177" s="405"/>
      <c r="H1177" s="406"/>
      <c r="I1177" s="407"/>
      <c r="J1177" s="408"/>
      <c r="K1177" s="409"/>
      <c r="L1177" s="410"/>
      <c r="M1177" s="404"/>
      <c r="N1177" s="411" t="str">
        <f>IF($AI1177&lt;&gt;"",Master!$N$37,IF($AC1177&lt;&gt;"",Master!$N$38,IF($S1177&lt;&gt;"",Master!$N$39,IF($C1177&lt;&gt;"",Master!$N$40,Master!$N$41))))</f>
        <v>起票</v>
      </c>
      <c r="O1177" s="412" t="str">
        <f>IF($N1177=Master!$N$37,MAX($S1177,$AC1177,$AI1177),"")</f>
        <v/>
      </c>
      <c r="P1177" s="413"/>
      <c r="Q1177" s="414"/>
      <c r="R1177" s="409"/>
      <c r="S1177" s="404"/>
      <c r="T1177" s="418"/>
      <c r="U1177" s="415"/>
      <c r="V1177" s="409"/>
      <c r="W1177" s="419"/>
      <c r="X1177" s="419"/>
      <c r="Y1177" s="416"/>
      <c r="Z1177" s="417"/>
      <c r="AA1177" s="418"/>
      <c r="AB1177" s="419"/>
      <c r="AC1177" s="404"/>
      <c r="AD1177" s="404"/>
      <c r="AE1177" s="420"/>
      <c r="AF1177" s="421"/>
      <c r="AG1177" s="418"/>
      <c r="AH1177" s="409"/>
      <c r="AI1177" s="404"/>
      <c r="AJ1177" s="416"/>
      <c r="AK1177" s="453"/>
      <c r="AL1177" s="422"/>
      <c r="AM1177" s="423"/>
      <c r="AO1177" s="137" t="e">
        <f t="shared" si="151"/>
        <v>#N/A</v>
      </c>
      <c r="AP1177" s="138" t="e">
        <f t="shared" si="152"/>
        <v>#N/A</v>
      </c>
      <c r="AQ1177" s="138" t="e">
        <f t="shared" si="153"/>
        <v>#N/A</v>
      </c>
      <c r="AR1177" s="138" t="e">
        <f t="shared" si="154"/>
        <v>#N/A</v>
      </c>
      <c r="AS1177" s="138" t="e">
        <f t="shared" si="155"/>
        <v>#N/A</v>
      </c>
      <c r="AT1177" s="139" t="e">
        <f t="shared" si="156"/>
        <v>#N/A</v>
      </c>
    </row>
    <row r="1178" spans="1:46" ht="54" customHeight="1">
      <c r="A1178" s="428">
        <f t="shared" si="157"/>
        <v>1170</v>
      </c>
      <c r="B1178" s="294"/>
      <c r="C1178" s="201"/>
      <c r="D1178" s="290"/>
      <c r="E1178" s="301"/>
      <c r="F1178" s="301"/>
      <c r="G1178" s="290"/>
      <c r="H1178" s="291"/>
      <c r="I1178" s="292"/>
      <c r="J1178" s="61"/>
      <c r="K1178" s="57"/>
      <c r="L1178" s="303"/>
      <c r="M1178" s="201"/>
      <c r="N1178" s="84" t="str">
        <f>IF($AI1178&lt;&gt;"",Master!$N$37,IF($AC1178&lt;&gt;"",Master!$N$38,IF($S1178&lt;&gt;"",Master!$N$39,IF($C1178&lt;&gt;"",Master!$N$40,Master!$N$41))))</f>
        <v>起票</v>
      </c>
      <c r="O1178" s="202" t="str">
        <f>IF($N1178=Master!$N$37,MAX($S1178,$AC1178,$AI1178),"")</f>
        <v/>
      </c>
      <c r="P1178" s="65"/>
      <c r="Q1178" s="203"/>
      <c r="R1178" s="57"/>
      <c r="S1178" s="203"/>
      <c r="T1178" s="310"/>
      <c r="U1178" s="289"/>
      <c r="V1178" s="57"/>
      <c r="W1178" s="288"/>
      <c r="X1178" s="288"/>
      <c r="Y1178" s="296"/>
      <c r="Z1178" s="57"/>
      <c r="AA1178" s="203"/>
      <c r="AB1178" s="288"/>
      <c r="AC1178" s="201"/>
      <c r="AD1178" s="298"/>
      <c r="AE1178" s="297"/>
      <c r="AF1178" s="58"/>
      <c r="AG1178" s="204"/>
      <c r="AH1178" s="57"/>
      <c r="AI1178" s="201"/>
      <c r="AJ1178" s="287"/>
      <c r="AK1178" s="452"/>
      <c r="AL1178" s="59"/>
      <c r="AM1178" s="60"/>
      <c r="AO1178" s="137" t="e">
        <f t="shared" si="151"/>
        <v>#N/A</v>
      </c>
      <c r="AP1178" s="138" t="e">
        <f t="shared" si="152"/>
        <v>#N/A</v>
      </c>
      <c r="AQ1178" s="138" t="e">
        <f t="shared" si="153"/>
        <v>#N/A</v>
      </c>
      <c r="AR1178" s="138" t="e">
        <f t="shared" si="154"/>
        <v>#N/A</v>
      </c>
      <c r="AS1178" s="138" t="e">
        <f t="shared" si="155"/>
        <v>#N/A</v>
      </c>
      <c r="AT1178" s="139" t="e">
        <f t="shared" si="156"/>
        <v>#N/A</v>
      </c>
    </row>
    <row r="1179" spans="1:46" ht="54" customHeight="1">
      <c r="A1179" s="428">
        <f t="shared" si="157"/>
        <v>1171</v>
      </c>
      <c r="B1179" s="294"/>
      <c r="C1179" s="201"/>
      <c r="D1179" s="290"/>
      <c r="E1179" s="301"/>
      <c r="F1179" s="301"/>
      <c r="G1179" s="290"/>
      <c r="H1179" s="291"/>
      <c r="I1179" s="292"/>
      <c r="J1179" s="61"/>
      <c r="K1179" s="57"/>
      <c r="L1179" s="303"/>
      <c r="M1179" s="201"/>
      <c r="N1179" s="84" t="str">
        <f>IF($AI1179&lt;&gt;"",Master!$N$37,IF($AC1179&lt;&gt;"",Master!$N$38,IF($S1179&lt;&gt;"",Master!$N$39,IF($C1179&lt;&gt;"",Master!$N$40,Master!$N$41))))</f>
        <v>起票</v>
      </c>
      <c r="O1179" s="202" t="str">
        <f>IF($N1179=Master!$N$37,MAX($S1179,$AC1179,$AI1179),"")</f>
        <v/>
      </c>
      <c r="P1179" s="65"/>
      <c r="Q1179" s="203"/>
      <c r="R1179" s="57"/>
      <c r="S1179" s="203"/>
      <c r="T1179" s="310"/>
      <c r="U1179" s="289"/>
      <c r="V1179" s="57"/>
      <c r="W1179" s="288"/>
      <c r="X1179" s="288"/>
      <c r="Y1179" s="296"/>
      <c r="Z1179" s="57"/>
      <c r="AA1179" s="203"/>
      <c r="AB1179" s="288"/>
      <c r="AC1179" s="201"/>
      <c r="AD1179" s="298"/>
      <c r="AE1179" s="297"/>
      <c r="AF1179" s="58"/>
      <c r="AG1179" s="204"/>
      <c r="AH1179" s="57"/>
      <c r="AI1179" s="201"/>
      <c r="AJ1179" s="287"/>
      <c r="AK1179" s="452"/>
      <c r="AL1179" s="59"/>
      <c r="AM1179" s="60"/>
      <c r="AO1179" s="137" t="e">
        <f t="shared" si="151"/>
        <v>#N/A</v>
      </c>
      <c r="AP1179" s="138" t="e">
        <f t="shared" si="152"/>
        <v>#N/A</v>
      </c>
      <c r="AQ1179" s="138" t="e">
        <f t="shared" si="153"/>
        <v>#N/A</v>
      </c>
      <c r="AR1179" s="138" t="e">
        <f t="shared" si="154"/>
        <v>#N/A</v>
      </c>
      <c r="AS1179" s="138" t="e">
        <f t="shared" si="155"/>
        <v>#N/A</v>
      </c>
      <c r="AT1179" s="139" t="e">
        <f t="shared" si="156"/>
        <v>#N/A</v>
      </c>
    </row>
    <row r="1180" spans="1:46" ht="54" customHeight="1">
      <c r="A1180" s="428">
        <f t="shared" si="157"/>
        <v>1172</v>
      </c>
      <c r="B1180" s="403"/>
      <c r="C1180" s="404"/>
      <c r="D1180" s="405"/>
      <c r="E1180" s="405"/>
      <c r="F1180" s="405"/>
      <c r="G1180" s="405"/>
      <c r="H1180" s="406"/>
      <c r="I1180" s="407"/>
      <c r="J1180" s="408"/>
      <c r="K1180" s="409"/>
      <c r="L1180" s="410"/>
      <c r="M1180" s="404"/>
      <c r="N1180" s="411" t="str">
        <f>IF($AI1180&lt;&gt;"",Master!$N$37,IF($AC1180&lt;&gt;"",Master!$N$38,IF($S1180&lt;&gt;"",Master!$N$39,IF($C1180&lt;&gt;"",Master!$N$40,Master!$N$41))))</f>
        <v>起票</v>
      </c>
      <c r="O1180" s="412" t="str">
        <f>IF($N1180=Master!$N$37,MAX($S1180,$AC1180,$AI1180),"")</f>
        <v/>
      </c>
      <c r="P1180" s="413"/>
      <c r="Q1180" s="414"/>
      <c r="R1180" s="409"/>
      <c r="S1180" s="404"/>
      <c r="T1180" s="418"/>
      <c r="U1180" s="415"/>
      <c r="V1180" s="409"/>
      <c r="W1180" s="419"/>
      <c r="X1180" s="419"/>
      <c r="Y1180" s="416"/>
      <c r="Z1180" s="417"/>
      <c r="AA1180" s="418"/>
      <c r="AB1180" s="419"/>
      <c r="AC1180" s="404"/>
      <c r="AD1180" s="404"/>
      <c r="AE1180" s="420"/>
      <c r="AF1180" s="421"/>
      <c r="AG1180" s="418"/>
      <c r="AH1180" s="409"/>
      <c r="AI1180" s="404"/>
      <c r="AJ1180" s="416"/>
      <c r="AK1180" s="453"/>
      <c r="AL1180" s="422"/>
      <c r="AM1180" s="423"/>
      <c r="AO1180" s="137" t="e">
        <f t="shared" si="151"/>
        <v>#N/A</v>
      </c>
      <c r="AP1180" s="138" t="e">
        <f t="shared" si="152"/>
        <v>#N/A</v>
      </c>
      <c r="AQ1180" s="138" t="e">
        <f t="shared" si="153"/>
        <v>#N/A</v>
      </c>
      <c r="AR1180" s="138" t="e">
        <f t="shared" si="154"/>
        <v>#N/A</v>
      </c>
      <c r="AS1180" s="138" t="e">
        <f t="shared" si="155"/>
        <v>#N/A</v>
      </c>
      <c r="AT1180" s="139" t="e">
        <f t="shared" si="156"/>
        <v>#N/A</v>
      </c>
    </row>
    <row r="1181" spans="1:46" ht="54" customHeight="1">
      <c r="A1181" s="428">
        <f t="shared" si="157"/>
        <v>1173</v>
      </c>
      <c r="B1181" s="403"/>
      <c r="C1181" s="404"/>
      <c r="D1181" s="405"/>
      <c r="E1181" s="405"/>
      <c r="F1181" s="405"/>
      <c r="G1181" s="405"/>
      <c r="H1181" s="406"/>
      <c r="I1181" s="407"/>
      <c r="J1181" s="408"/>
      <c r="K1181" s="409"/>
      <c r="L1181" s="410"/>
      <c r="M1181" s="404"/>
      <c r="N1181" s="411" t="str">
        <f>IF($AI1181&lt;&gt;"",Master!$N$37,IF($AC1181&lt;&gt;"",Master!$N$38,IF($S1181&lt;&gt;"",Master!$N$39,IF($C1181&lt;&gt;"",Master!$N$40,Master!$N$41))))</f>
        <v>起票</v>
      </c>
      <c r="O1181" s="412" t="str">
        <f>IF($N1181=Master!$N$37,MAX($S1181,$AC1181,$AI1181),"")</f>
        <v/>
      </c>
      <c r="P1181" s="413"/>
      <c r="Q1181" s="414"/>
      <c r="R1181" s="409"/>
      <c r="S1181" s="404"/>
      <c r="T1181" s="418"/>
      <c r="U1181" s="415"/>
      <c r="V1181" s="409"/>
      <c r="W1181" s="419"/>
      <c r="X1181" s="419"/>
      <c r="Y1181" s="416"/>
      <c r="Z1181" s="417"/>
      <c r="AA1181" s="418"/>
      <c r="AB1181" s="419"/>
      <c r="AC1181" s="404"/>
      <c r="AD1181" s="404"/>
      <c r="AE1181" s="420"/>
      <c r="AF1181" s="421"/>
      <c r="AG1181" s="418"/>
      <c r="AH1181" s="409"/>
      <c r="AI1181" s="404"/>
      <c r="AJ1181" s="416"/>
      <c r="AK1181" s="453"/>
      <c r="AL1181" s="422"/>
      <c r="AM1181" s="423"/>
      <c r="AO1181" s="137" t="e">
        <f t="shared" si="151"/>
        <v>#N/A</v>
      </c>
      <c r="AP1181" s="138" t="e">
        <f t="shared" si="152"/>
        <v>#N/A</v>
      </c>
      <c r="AQ1181" s="138" t="e">
        <f t="shared" si="153"/>
        <v>#N/A</v>
      </c>
      <c r="AR1181" s="138" t="e">
        <f t="shared" si="154"/>
        <v>#N/A</v>
      </c>
      <c r="AS1181" s="138" t="e">
        <f t="shared" si="155"/>
        <v>#N/A</v>
      </c>
      <c r="AT1181" s="139" t="e">
        <f t="shared" si="156"/>
        <v>#N/A</v>
      </c>
    </row>
    <row r="1182" spans="1:46" ht="54" customHeight="1">
      <c r="A1182" s="428">
        <f t="shared" si="157"/>
        <v>1174</v>
      </c>
      <c r="B1182" s="403"/>
      <c r="C1182" s="404"/>
      <c r="D1182" s="405"/>
      <c r="E1182" s="405"/>
      <c r="F1182" s="405"/>
      <c r="G1182" s="405"/>
      <c r="H1182" s="406"/>
      <c r="I1182" s="407"/>
      <c r="J1182" s="408"/>
      <c r="K1182" s="409"/>
      <c r="L1182" s="410"/>
      <c r="M1182" s="404"/>
      <c r="N1182" s="411" t="str">
        <f>IF($AI1182&lt;&gt;"",Master!$N$37,IF($AC1182&lt;&gt;"",Master!$N$38,IF($S1182&lt;&gt;"",Master!$N$39,IF($C1182&lt;&gt;"",Master!$N$40,Master!$N$41))))</f>
        <v>起票</v>
      </c>
      <c r="O1182" s="412" t="str">
        <f>IF($N1182=Master!$N$37,MAX($S1182,$AC1182,$AI1182),"")</f>
        <v/>
      </c>
      <c r="P1182" s="413"/>
      <c r="Q1182" s="414"/>
      <c r="R1182" s="409"/>
      <c r="S1182" s="404"/>
      <c r="T1182" s="418"/>
      <c r="U1182" s="415"/>
      <c r="V1182" s="409"/>
      <c r="W1182" s="419"/>
      <c r="X1182" s="419"/>
      <c r="Y1182" s="416"/>
      <c r="Z1182" s="417"/>
      <c r="AA1182" s="418"/>
      <c r="AB1182" s="419"/>
      <c r="AC1182" s="404"/>
      <c r="AD1182" s="404"/>
      <c r="AE1182" s="420"/>
      <c r="AF1182" s="421"/>
      <c r="AG1182" s="418"/>
      <c r="AH1182" s="409"/>
      <c r="AI1182" s="404"/>
      <c r="AJ1182" s="416"/>
      <c r="AK1182" s="453"/>
      <c r="AL1182" s="422"/>
      <c r="AM1182" s="423"/>
      <c r="AO1182" s="137" t="e">
        <f t="shared" si="151"/>
        <v>#N/A</v>
      </c>
      <c r="AP1182" s="138" t="e">
        <f t="shared" si="152"/>
        <v>#N/A</v>
      </c>
      <c r="AQ1182" s="138" t="e">
        <f t="shared" si="153"/>
        <v>#N/A</v>
      </c>
      <c r="AR1182" s="138" t="e">
        <f t="shared" si="154"/>
        <v>#N/A</v>
      </c>
      <c r="AS1182" s="138" t="e">
        <f t="shared" si="155"/>
        <v>#N/A</v>
      </c>
      <c r="AT1182" s="139" t="e">
        <f t="shared" si="156"/>
        <v>#N/A</v>
      </c>
    </row>
    <row r="1183" spans="1:46" ht="71.25" customHeight="1" thickBot="1">
      <c r="A1183" s="428">
        <f t="shared" si="157"/>
        <v>1175</v>
      </c>
      <c r="B1183" s="382"/>
      <c r="C1183" s="383"/>
      <c r="D1183" s="384"/>
      <c r="E1183" s="384"/>
      <c r="F1183" s="384"/>
      <c r="G1183" s="384"/>
      <c r="H1183" s="385"/>
      <c r="I1183" s="386"/>
      <c r="J1183" s="387"/>
      <c r="K1183" s="388"/>
      <c r="L1183" s="389"/>
      <c r="M1183" s="383"/>
      <c r="N1183" s="390" t="str">
        <f>IF($AI1183&lt;&gt;"",Master!$N$37,IF($AC1183&lt;&gt;"",Master!$N$38,IF($S1183&lt;&gt;"",Master!$N$39,IF($C1183&lt;&gt;"",Master!$N$40,Master!$N$41))))</f>
        <v>起票</v>
      </c>
      <c r="O1183" s="391" t="str">
        <f>IF($N1183=Master!$N$37,MAX($S1183,$AC1183,$AI1183),"")</f>
        <v/>
      </c>
      <c r="P1183" s="392"/>
      <c r="Q1183" s="393"/>
      <c r="R1183" s="388"/>
      <c r="S1183" s="383"/>
      <c r="T1183" s="397"/>
      <c r="U1183" s="394"/>
      <c r="V1183" s="388"/>
      <c r="W1183" s="398"/>
      <c r="X1183" s="398"/>
      <c r="Y1183" s="395"/>
      <c r="Z1183" s="396"/>
      <c r="AA1183" s="397"/>
      <c r="AB1183" s="398"/>
      <c r="AC1183" s="383"/>
      <c r="AD1183" s="383"/>
      <c r="AE1183" s="399"/>
      <c r="AF1183" s="400"/>
      <c r="AG1183" s="397"/>
      <c r="AH1183" s="388"/>
      <c r="AI1183" s="383"/>
      <c r="AJ1183" s="395"/>
      <c r="AK1183" s="454"/>
      <c r="AL1183" s="401"/>
      <c r="AM1183" s="402"/>
      <c r="AO1183" s="424" t="e">
        <f t="shared" si="35"/>
        <v>#N/A</v>
      </c>
      <c r="AP1183" s="425" t="e">
        <f t="shared" si="36"/>
        <v>#N/A</v>
      </c>
      <c r="AQ1183" s="425" t="e">
        <f t="shared" si="37"/>
        <v>#N/A</v>
      </c>
      <c r="AR1183" s="425" t="e">
        <f t="shared" si="38"/>
        <v>#N/A</v>
      </c>
      <c r="AS1183" s="425" t="e">
        <f t="shared" si="39"/>
        <v>#N/A</v>
      </c>
      <c r="AT1183" s="426" t="e">
        <f t="shared" si="40"/>
        <v>#N/A</v>
      </c>
    </row>
  </sheetData>
  <autoFilter ref="A8:BA1183" xr:uid="{00000000-0001-0000-0100-000000000000}"/>
  <sortState xmlns:xlrd2="http://schemas.microsoft.com/office/spreadsheetml/2017/richdata2" ref="A9:DA9">
    <sortCondition ref="B9"/>
  </sortState>
  <mergeCells count="3">
    <mergeCell ref="AI2:AJ2"/>
    <mergeCell ref="AI3:AJ5"/>
    <mergeCell ref="D1:H1"/>
  </mergeCells>
  <phoneticPr fontId="4"/>
  <dataValidations count="7">
    <dataValidation type="list" allowBlank="1" showInputMessage="1" showErrorMessage="1" sqref="F9:F1183 V9:V1183" xr:uid="{00000000-0002-0000-0100-000003000000}">
      <formula1>INDIRECT(E9)</formula1>
    </dataValidation>
    <dataValidation type="list" allowBlank="1" showInputMessage="1" showErrorMessage="1" sqref="E9:E1183" xr:uid="{701BBECB-93BF-46BD-A1AF-B44B4AD21855}">
      <formula1>機能名FW</formula1>
    </dataValidation>
    <dataValidation type="list" allowBlank="1" showInputMessage="1" showErrorMessage="1" sqref="J9:J1183" xr:uid="{00000000-0002-0000-0100-000000000000}">
      <formula1>優先度</formula1>
    </dataValidation>
    <dataValidation type="list" allowBlank="1" showInputMessage="1" showErrorMessage="1" sqref="K9:K1183" xr:uid="{00000000-0002-0000-0100-000001000000}">
      <formula1>対応方針</formula1>
    </dataValidation>
    <dataValidation type="list" allowBlank="1" showInputMessage="1" showErrorMessage="1" sqref="U9:U1183" xr:uid="{00000000-0002-0000-0100-000002000000}">
      <formula1>RootCause2</formula1>
    </dataValidation>
    <dataValidation type="list" allowBlank="1" showInputMessage="1" showErrorMessage="1" sqref="H9:H1183" xr:uid="{00000000-0002-0000-0100-000004000000}">
      <formula1>Master_Priorty</formula1>
    </dataValidation>
    <dataValidation type="list" allowBlank="1" showInputMessage="1" showErrorMessage="1" sqref="AJ9:AK1183" xr:uid="{00000000-0002-0000-0100-000005000000}">
      <formula1>検証結果</formula1>
    </dataValidation>
  </dataValidations>
  <pageMargins left="0.23622047244094491" right="0.23622047244094491" top="0.74803149606299213" bottom="0.74803149606299213" header="0.31496062992125984" footer="0.31496062992125984"/>
  <pageSetup paperSize="8" scale="39" fitToHeight="0" orientation="landscape" r:id="rId1"/>
  <headerFooter>
    <oddFooter>&amp;L&amp;9TOMATO&amp;C&amp;10&amp;P／&amp;N&amp;R&amp;9Copyright (c) TOYOTSU SYSCOM CO., LTD. All Rights Reserved.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1">
              <controlPr defaultSize="0" print="0" autoFill="0" autoPict="0" macro="[0]!Button1_Click" altText="Import">
                <anchor moveWithCells="1" sizeWithCells="1">
                  <from>
                    <xdr:col>1</xdr:col>
                    <xdr:colOff>38100</xdr:colOff>
                    <xdr:row>0</xdr:row>
                    <xdr:rowOff>95250</xdr:rowOff>
                  </from>
                  <to>
                    <xdr:col>2</xdr:col>
                    <xdr:colOff>371475</xdr:colOff>
                    <xdr:row>0</xdr:row>
                    <xdr:rowOff>266700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388" stopIfTrue="1" id="{BE25641A-368C-4DAC-A178-6B7BBDBFB960}">
            <xm:f>$N9=Master!$H$65</xm:f>
            <x14:dxf>
              <fill>
                <patternFill>
                  <bgColor theme="0" tint="-0.14996795556505021"/>
                </patternFill>
              </fill>
            </x14:dxf>
          </x14:cfRule>
          <xm:sqref>B26:B46 B48:B51 K79:K80 B77:B218 H88:K89 Z79:AT80 C81:D145 AF84:AT87 C951:D951 H30:K30 Y30:AT30 AE41:AT41 B53:D62 D77 B64:D73 AL74:AT77 C26:D52 O63:AT63 G90:K289 G81:K87 G31:K78 M74:AK76 M63 M81:AT83 M84:AC87 M41:AC41 M31:AT40 M53:AT62 M77:Y77 M64:AT73 M42:AT51 M52:X52 M78:AT78 M30:T30 M88:AT289 M79:O80 B22:D25 E950:AT951 C591:D591 B592:AT594 E587:AT591 C583:D583 E574:AT578 B584:AT586 E582:AT583 C578:D578 B579:AT581 C570:D570 E569:AT570 C565:D565 B566:AT568 E561:AT565 C557:D557 E548:AT552 B558:AT560 E556:AT557 C552:D552 B553:AT555 C544:D544 B545:AT547 E543:AT544 C539:D539 B540:AT542 E535:AT539 C531:D531 E522:AT526 B532:AT534 E530:AT531 C526:D526 B527:AT529 C518:D518 B519:AT521 E517:AT518 C513:D513 B514:AT516 E509:AT513 C505:D505 E496:AT500 B506:AT508 E504:AT505 C500:D500 B501:AT503 C492:D492 B493:AT495 E491:AT492 C487:D487 B488:AT490 E483:AT487 C479:D479 E470:AT474 B480:AT482 E478:AT479 C474:D474 B475:AT477 C466:D466 B467:AT469 E465:AT466 C461:D461 B462:AT464 E457:AT461 C453:D453 E444:AT448 B454:AT456 E452:AT453 C448:D448 B449:AT451 C442:D442 B443:AT443 E441:AT442 C437:D437 B438:AT440 E433:AT437 C429:D429 E420:AT424 B430:AT432 E428:AT429 C424:D424 B425:AT427 C416:D416 B417:AT419 E415:AT416 C411:D411 B412:AT414 E407:AT411 C403:D403 E394:AT398 B404:AT406 E402:AT403 C398:D398 B399:AT401 C390:D390 B391:AT393 E389:AT390 C385:D385 B386:AT388 E381:AT385 C377:D377 E368:AT372 B378:AT380 E376:AT377 C372:D372 B373:AT375 C364:D364 B365:AT367 E363:AT364 C359:D359 B360:AT362 E355:AT359 C351:D351 E342:AT346 B352:AT354 E350:AT351 C346:D346 B347:AT349 C338:D338 B339:AT341 E337:AT338 C333:D333 B334:AT336 E329:AT333 C325:D325 E316:AT320 B326:AT328 E324:AT325 C320:D320 B321:AT323 C312:D312 B313:AT315 E311:AT312 C307:D307 B308:AT310 E303:AT307 C299:D299 E290:AT294 B300:AT302 E298:AT299 C294:D294 B295:AT297 C946:D946 E945:AT946 B947:AT949 C941:D941 E940:AT941 B942:AT944 C936:D936 E935:AT936 B937:AT939 C931:D931 E930:AT931 B932:AT934 C926:D926 E925:AT926 B927:AT929 C921:D921 E920:AT921 B922:AT924 C916:D916 E915:AT916 B917:AT919 C911:D911 E910:AT911 B912:AT914 C906:D906 E905:AT906 B907:AT909 C901:D901 E900:AT901 B902:AT904 C896:D896 E895:AT896 B897:AT899 C891:D891 E890:AT891 B892:AT894 C886:D886 E885:AT886 B887:AT889 C881:D881 E880:AT881 B882:AT884 C876:D876 E875:AT876 B877:AT879 C871:D871 E870:AT871 B872:AT874 C866:D866 E865:AT866 B867:AT869 C861:D861 E860:AT861 B862:AT864 C856:D856 E855:AT856 B857:AT859 C851:D851 E850:AT851 B852:AT854 C846:D846 E845:AT846 B847:AT849 C841:D841 E840:AT841 B842:AT844 C836:D836 E835:AT836 B837:AT839 C831:D831 E830:AT831 B832:AT834 C826:D826 E825:AT826 B827:AT829 C821:D821 E820:AT821 B822:AT824 C816:D816 E815:AT816 B817:AT819 C811:D811 E810:AT811 B812:AT814 C806:D806 E805:AT806 B807:AT809 C801:D801 E800:AT801 B802:AT804 C796:D796 E795:AT796 B797:AT799 C791:D791 E790:AT791 B792:AT794 C786:D786 E785:AT786 B787:AT789 C781:D781 E780:AT781 B782:AT784 C776:D776 E775:AT776 B777:AT779 C771:D771 E770:AT771 B772:AT774 C766:D766 E765:AT766 B767:AT769 C761:D761 E760:AT761 B762:AT764 C756:D756 E755:AT756 B757:AT759 C751:D751 E750:AT751 B752:AT754 C746:D746 E745:AT746 B747:AT749 C741:D741 E740:AT741 B742:AT744 C736:D736 E735:AT736 B737:AT739 C731:D731 E730:AT731 B732:AT734 C726:D726 E725:AT726 B727:AT729 C721:D721 E720:AT721 B722:AT724 C716:D716 E715:AT716 B717:AT719 C711:D711 E710:AT711 B712:AT714 C706:D706 E705:AT706 B707:AT709 C701:D701 E700:AT701 B702:AT704 C696:D696 E695:AT696 B697:AT699 C691:D691 E690:AT691 B692:AT694 C686:D686 E685:AT686 B687:AT689 C681:D681 E680:AT681 B682:AT684 C676:D676 E675:AT676 B677:AT679 C671:D671 E670:AT671 B672:AT674 C666:D666 E665:AT666 B667:AT669 C661:D661 E660:AT661 B662:AT664 C656:D656 E655:AT656 B657:AT659 C651:D651 E650:AT651 B652:AT654 C646:D646 E645:AT646 B647:AT649 C641:D641 E640:AT641 B642:AT644 C636:D636 E635:AT636 B637:AT639 C631:D631 E630:AT631 B632:AT634 C626:D626 E625:AT626 B627:AT629 C621:D621 E620:AT621 B622:AT624 C616:D616 E615:AT616 B617:AT619 C611:D611 E610:AT611 B612:AT614 C606:D606 E605:AT606 B607:AT609 C601:D601 E600:AT601 B602:AT604 C596:D596 E595:AT596 B597:AT599 B571:AT573 A1183:AT1184 C1027:D1027 E1026:AT1027 C1022:D1022 E1021:AT1022 B1023:AT1025 C1017:D1017 E1016:AT1017 B1018:AT1020 C1012:D1012 E1011:AT1012 B1013:AT1015 C1007:D1007 E1006:AT1007 B1008:AT1010 C1002:D1002 E1001:AT1002 B1003:AT1005 C997:D997 E996:AT997 B998:AT1000 C992:D992 E991:AT992 B993:AT995 C987:D987 E986:AT987 B988:AT990 C982:D982 E981:AT982 B983:AT985 C977:D977 E976:AT977 B978:AT980 C972:D972 E971:AT972 B973:AT975 C967:D967 E966:AT967 B968:AT970 C962:D962 E961:AT962 B963:AT965 C957:D957 E956:AT957 B958:AT960 B952:AT955 C1103:D1103 E1102:AT1103 C1098:D1098 E1097:AT1098 B1099:AT1101 C1093:D1093 E1092:AT1093 B1094:AT1096 C1088:D1088 E1087:AT1088 B1089:AT1091 C1083:D1083 E1082:AT1083 B1084:AT1086 C1078:D1078 E1077:AT1078 B1079:AT1081 C1073:D1073 E1072:AT1073 B1074:AT1076 C1068:D1068 E1067:AT1068 B1069:AT1071 C1063:D1063 E1062:AT1063 B1064:AT1066 C1058:D1058 E1057:AT1058 B1059:AT1061 C1053:D1053 E1052:AT1053 B1054:AT1056 C1048:D1048 E1047:AT1048 B1049:AT1051 C1043:D1043 E1042:AT1043 B1044:AT1046 C1038:D1038 E1037:AT1038 B1039:AT1041 C1033:D1033 E1032:AT1033 B1034:AT1036 B1028:AT1031 C1179:D1179 E1178:AT1179 C1174:D1174 E1173:AT1174 B1175:AT1177 C1169:D1169 E1168:AT1169 B1170:AT1172 C1164:D1164 E1163:AT1164 B1165:AT1167 C1159:D1159 E1158:AT1159 B1160:AT1162 C1154:D1154 E1153:AT1154 B1155:AT1157 C1149:D1149 E1148:AT1149 B1150:AT1152 C1144:D1144 E1143:AT1144 B1145:AT1147 C1139:D1139 E1138:AT1139 B1140:AT1142 C1134:D1134 E1133:AT1134 B1135:AT1137 C1129:D1129 E1128:AT1129 B1130:AT1132 C1124:D1124 E1123:AT1124 B1125:AT1127 C1119:D1119 E1118:AT1119 B1120:AT1122 C1114:D1114 E1113:AT1114 B1115:AT1117 C1109:D1109 E1108:AT1109 B1110:AT1112 B1104:AT1107 B1180:AT1182 A19:A1183 E19:F20 L19:L289 B19:D19 A11:M18 M19 A9:AT10 B20:B21 C20:D20 G19:K29 E22:F289 D21:F21 M20:AT20 M22:AT29 AB21 M21:P21 R21 AJ21:AT21 AD21:AF21 AH21 T21:Z21 N11:AT19</xm:sqref>
        </x14:conditionalFormatting>
        <x14:conditionalFormatting xmlns:xm="http://schemas.microsoft.com/office/excel/2006/main">
          <x14:cfRule type="expression" priority="312" stopIfTrue="1" id="{F8CBD74E-9A8F-4D1A-824B-CA7A8B7162EE}">
            <xm:f>$N146=Master!$H$65</xm:f>
            <x14:dxf>
              <fill>
                <patternFill>
                  <bgColor theme="0" tint="-0.14996795556505021"/>
                </patternFill>
              </fill>
            </x14:dxf>
          </x14:cfRule>
          <xm:sqref>C146:D218</xm:sqref>
        </x14:conditionalFormatting>
        <x14:conditionalFormatting xmlns:xm="http://schemas.microsoft.com/office/excel/2006/main">
          <x14:cfRule type="expression" priority="310" stopIfTrue="1" id="{6172C9A7-08E3-455F-8D9A-4FC644CA5A70}">
            <xm:f>$N219=Master!$H$65</xm:f>
            <x14:dxf>
              <fill>
                <patternFill>
                  <bgColor theme="0" tint="-0.14996795556505021"/>
                </patternFill>
              </fill>
            </x14:dxf>
          </x14:cfRule>
          <xm:sqref>B950:B951 B587:B591 B582:B583 B574:B578 B569:B570 B561:B565 B556:B557 B548:B552 B543:B544 B535:B539 B530:B531 B522:B526 B517:B518 B509:B513 B504:B505 B496:B500 B491:B492 B483:B487 B478:B479 B470:B474 B465:B466 B457:B461 B452:B453 B444:B448 B441:B442 B433:B437 B428:B429 B420:B424 B415:B416 B407:B411 B402:B403 B394:B398 B389:B390 B381:B385 B376:B377 B368:B372 B363:B364 B355:B359 B350:B351 B342:B346 B337:B338 B329:B333 B324:B325 B316:B320 B311:B312 B303:B307 B298:B299 B219:B294</xm:sqref>
        </x14:conditionalFormatting>
        <x14:conditionalFormatting xmlns:xm="http://schemas.microsoft.com/office/excel/2006/main">
          <x14:cfRule type="expression" priority="309" stopIfTrue="1" id="{5E5439F8-B23C-4E50-863F-2E8820B910A7}">
            <xm:f>$N219=Master!$H$65</xm:f>
            <x14:dxf>
              <fill>
                <patternFill>
                  <bgColor theme="0" tint="-0.14996795556505021"/>
                </patternFill>
              </fill>
            </x14:dxf>
          </x14:cfRule>
          <xm:sqref>C950:D950 C587:D590 C582:D582 C574:D577 C569:D569 C561:D564 C556:D556 C548:D551 C543:D543 C535:D538 C530:D530 C522:D525 C517:D517 C509:D512 C504:D504 C496:D499 C491:D491 C483:D486 C478:D478 C470:D473 C465:D465 C457:D460 C452:D452 C444:D447 C441:D441 C433:D436 C428:D428 C420:D423 C415:D415 C407:D410 C402:D402 C394:D397 C389:D389 C381:D384 C376:D376 C368:D371 C363:D363 C355:D358 C350:D350 C342:D345 C337:D337 C329:D332 C324:D324 C316:D319 C311:D311 C303:D306 C298:D298 C219:D293</xm:sqref>
        </x14:conditionalFormatting>
        <x14:conditionalFormatting xmlns:xm="http://schemas.microsoft.com/office/excel/2006/main">
          <x14:cfRule type="expression" priority="308" stopIfTrue="1" id="{33544F23-8FCB-421F-BA66-3B2891796874}">
            <xm:f>$N30=Master!$H$65</xm:f>
            <x14:dxf>
              <fill>
                <patternFill>
                  <bgColor theme="0" tint="-0.14996795556505021"/>
                </patternFill>
              </fill>
            </x14:dxf>
          </x14:cfRule>
          <xm:sqref>G30</xm:sqref>
        </x14:conditionalFormatting>
        <x14:conditionalFormatting xmlns:xm="http://schemas.microsoft.com/office/excel/2006/main">
          <x14:cfRule type="expression" priority="305" stopIfTrue="1" id="{5B378640-6FA7-480E-BEB5-D9DFAB71A920}">
            <xm:f>$N47=Master!$H$65</xm:f>
            <x14:dxf>
              <fill>
                <patternFill>
                  <bgColor theme="0" tint="-0.14996795556505021"/>
                </patternFill>
              </fill>
            </x14:dxf>
          </x14:cfRule>
          <xm:sqref>B47</xm:sqref>
        </x14:conditionalFormatting>
        <x14:conditionalFormatting xmlns:xm="http://schemas.microsoft.com/office/excel/2006/main">
          <x14:cfRule type="expression" priority="302" stopIfTrue="1" id="{D43A608A-070B-4710-935F-57E46F4238C1}">
            <xm:f>$N30=Master!$H$65</xm:f>
            <x14:dxf>
              <fill>
                <patternFill>
                  <bgColor theme="0" tint="-0.14996795556505021"/>
                </patternFill>
              </fill>
            </x14:dxf>
          </x14:cfRule>
          <xm:sqref>U30:X30</xm:sqref>
        </x14:conditionalFormatting>
        <x14:conditionalFormatting xmlns:xm="http://schemas.microsoft.com/office/excel/2006/main">
          <x14:cfRule type="expression" priority="301" stopIfTrue="1" id="{A9B97F2D-7154-4CF4-A4CF-409A99B5B64E}">
            <xm:f>$N41=Master!$H$65</xm:f>
            <x14:dxf>
              <fill>
                <patternFill>
                  <bgColor theme="0" tint="-0.14996795556505021"/>
                </patternFill>
              </fill>
            </x14:dxf>
          </x14:cfRule>
          <xm:sqref>AD41</xm:sqref>
        </x14:conditionalFormatting>
        <x14:conditionalFormatting xmlns:xm="http://schemas.microsoft.com/office/excel/2006/main">
          <x14:cfRule type="expression" priority="295" stopIfTrue="1" id="{5D21C477-9D9E-4F39-B70E-00F9795AD6AF}">
            <xm:f>$N52=Master!$H$65</xm:f>
            <x14:dxf>
              <fill>
                <patternFill>
                  <bgColor theme="0" tint="-0.14996795556505021"/>
                </patternFill>
              </fill>
            </x14:dxf>
          </x14:cfRule>
          <xm:sqref>B52</xm:sqref>
        </x14:conditionalFormatting>
        <x14:conditionalFormatting xmlns:xm="http://schemas.microsoft.com/office/excel/2006/main">
          <x14:cfRule type="expression" priority="294" stopIfTrue="1" id="{C26B1060-CA91-46CC-8DD1-37C925E3C97B}">
            <xm:f>$N52=Master!$H$65</xm:f>
            <x14:dxf>
              <fill>
                <patternFill>
                  <bgColor theme="0" tint="-0.14996795556505021"/>
                </patternFill>
              </fill>
            </x14:dxf>
          </x14:cfRule>
          <xm:sqref>Z52:AT52</xm:sqref>
        </x14:conditionalFormatting>
        <x14:conditionalFormatting xmlns:xm="http://schemas.microsoft.com/office/excel/2006/main">
          <x14:cfRule type="expression" priority="293" stopIfTrue="1" id="{88042701-0DBF-4331-B9DA-979233D9688C}">
            <xm:f>$N52=Master!$H$65</xm:f>
            <x14:dxf>
              <fill>
                <patternFill>
                  <bgColor theme="0" tint="-0.14996795556505021"/>
                </patternFill>
              </fill>
            </x14:dxf>
          </x14:cfRule>
          <xm:sqref>Y52</xm:sqref>
        </x14:conditionalFormatting>
        <x14:conditionalFormatting xmlns:xm="http://schemas.microsoft.com/office/excel/2006/main">
          <x14:cfRule type="expression" priority="291" stopIfTrue="1" id="{CDCDE8D2-931D-4B7A-B1C2-F56AC581CF99}">
            <xm:f>$N63=Master!$H$65</xm:f>
            <x14:dxf>
              <fill>
                <patternFill>
                  <bgColor theme="0" tint="-0.14996795556505021"/>
                </patternFill>
              </fill>
            </x14:dxf>
          </x14:cfRule>
          <xm:sqref>B63</xm:sqref>
        </x14:conditionalFormatting>
        <x14:conditionalFormatting xmlns:xm="http://schemas.microsoft.com/office/excel/2006/main">
          <x14:cfRule type="expression" priority="290" stopIfTrue="1" id="{8421DC19-0176-40F2-AC27-1F9BC618A0D7}">
            <xm:f>$N63=Master!$H$65</xm:f>
            <x14:dxf>
              <fill>
                <patternFill>
                  <bgColor theme="0" tint="-0.14996795556505021"/>
                </patternFill>
              </fill>
            </x14:dxf>
          </x14:cfRule>
          <xm:sqref>C63:D63</xm:sqref>
        </x14:conditionalFormatting>
        <x14:conditionalFormatting xmlns:xm="http://schemas.microsoft.com/office/excel/2006/main">
          <x14:cfRule type="expression" priority="289" stopIfTrue="1" id="{53BC5190-E357-4AB6-A079-2796357DE3FC}">
            <xm:f>$N63=Master!$H$65</xm:f>
            <x14:dxf>
              <fill>
                <patternFill>
                  <bgColor theme="0" tint="-0.14996795556505021"/>
                </patternFill>
              </fill>
            </x14:dxf>
          </x14:cfRule>
          <xm:sqref>N63</xm:sqref>
        </x14:conditionalFormatting>
        <x14:conditionalFormatting xmlns:xm="http://schemas.microsoft.com/office/excel/2006/main">
          <x14:cfRule type="expression" priority="276" stopIfTrue="1" id="{C299F7A4-0EF6-4FDE-8C7D-3C801D0111D2}">
            <xm:f>$N79=Master!$H$65</xm:f>
            <x14:dxf>
              <fill>
                <patternFill>
                  <bgColor theme="0" tint="-0.14996795556505021"/>
                </patternFill>
              </fill>
            </x14:dxf>
          </x14:cfRule>
          <xm:sqref>I79</xm:sqref>
        </x14:conditionalFormatting>
        <x14:conditionalFormatting xmlns:xm="http://schemas.microsoft.com/office/excel/2006/main">
          <x14:cfRule type="expression" priority="275" stopIfTrue="1" id="{FB8AD788-B766-4CC9-B953-5C9E91009D43}">
            <xm:f>$N80=Master!$H$65</xm:f>
            <x14:dxf>
              <fill>
                <patternFill>
                  <bgColor theme="0" tint="-0.14996795556505021"/>
                </patternFill>
              </fill>
            </x14:dxf>
          </x14:cfRule>
          <xm:sqref>I80</xm:sqref>
        </x14:conditionalFormatting>
        <x14:conditionalFormatting xmlns:xm="http://schemas.microsoft.com/office/excel/2006/main">
          <x14:cfRule type="expression" priority="273" stopIfTrue="1" id="{4BE221CB-9837-4D39-A578-5DD7DC328B39}">
            <xm:f>$N79=Master!$H$65</xm:f>
            <x14:dxf>
              <fill>
                <patternFill>
                  <bgColor theme="0" tint="-0.14996795556505021"/>
                </patternFill>
              </fill>
            </x14:dxf>
          </x14:cfRule>
          <xm:sqref>G79:H79</xm:sqref>
        </x14:conditionalFormatting>
        <x14:conditionalFormatting xmlns:xm="http://schemas.microsoft.com/office/excel/2006/main">
          <x14:cfRule type="expression" priority="272" stopIfTrue="1" id="{246CC9CE-205C-41E3-9D6F-F267C362EB9D}">
            <xm:f>$N80=Master!$H$65</xm:f>
            <x14:dxf>
              <fill>
                <patternFill>
                  <bgColor theme="0" tint="-0.14996795556505021"/>
                </patternFill>
              </fill>
            </x14:dxf>
          </x14:cfRule>
          <xm:sqref>G80:H80</xm:sqref>
        </x14:conditionalFormatting>
        <x14:conditionalFormatting xmlns:xm="http://schemas.microsoft.com/office/excel/2006/main">
          <x14:cfRule type="expression" priority="271" stopIfTrue="1" id="{BBEDD79C-9699-44A8-B284-71BD0B263D29}">
            <xm:f>$N78=Master!$H$65</xm:f>
            <x14:dxf>
              <fill>
                <patternFill>
                  <bgColor theme="0" tint="-0.14996795556505021"/>
                </patternFill>
              </fill>
            </x14:dxf>
          </x14:cfRule>
          <xm:sqref>D78</xm:sqref>
        </x14:conditionalFormatting>
        <x14:conditionalFormatting xmlns:xm="http://schemas.microsoft.com/office/excel/2006/main">
          <x14:cfRule type="expression" priority="269" stopIfTrue="1" id="{53D3CC3D-B498-44AF-965D-5C49C0B875AB}">
            <xm:f>$N79=Master!$H$65</xm:f>
            <x14:dxf>
              <fill>
                <patternFill>
                  <bgColor theme="0" tint="-0.14996795556505021"/>
                </patternFill>
              </fill>
            </x14:dxf>
          </x14:cfRule>
          <xm:sqref>D79</xm:sqref>
        </x14:conditionalFormatting>
        <x14:conditionalFormatting xmlns:xm="http://schemas.microsoft.com/office/excel/2006/main">
          <x14:cfRule type="expression" priority="267" stopIfTrue="1" id="{82CE20E7-E345-4E4E-B98C-E4A0A4F14D23}">
            <xm:f>$N80=Master!$H$65</xm:f>
            <x14:dxf>
              <fill>
                <patternFill>
                  <bgColor theme="0" tint="-0.14996795556505021"/>
                </patternFill>
              </fill>
            </x14:dxf>
          </x14:cfRule>
          <xm:sqref>D80</xm:sqref>
        </x14:conditionalFormatting>
        <x14:conditionalFormatting xmlns:xm="http://schemas.microsoft.com/office/excel/2006/main">
          <x14:cfRule type="expression" priority="265" stopIfTrue="1" id="{3B8526E0-CE68-402B-8F4D-817AE193B5F2}">
            <xm:f>$N79=Master!$H$65</xm:f>
            <x14:dxf>
              <fill>
                <patternFill>
                  <bgColor theme="0" tint="-0.14996795556505021"/>
                </patternFill>
              </fill>
            </x14:dxf>
          </x14:cfRule>
          <xm:sqref>J79</xm:sqref>
        </x14:conditionalFormatting>
        <x14:conditionalFormatting xmlns:xm="http://schemas.microsoft.com/office/excel/2006/main">
          <x14:cfRule type="expression" priority="264" stopIfTrue="1" id="{8BB72A94-24FE-4AE3-A5CF-CBE61250F7CC}">
            <xm:f>$N80=Master!$H$65</xm:f>
            <x14:dxf>
              <fill>
                <patternFill>
                  <bgColor theme="0" tint="-0.14996795556505021"/>
                </patternFill>
              </fill>
            </x14:dxf>
          </x14:cfRule>
          <xm:sqref>J80</xm:sqref>
        </x14:conditionalFormatting>
        <x14:conditionalFormatting xmlns:xm="http://schemas.microsoft.com/office/excel/2006/main">
          <x14:cfRule type="expression" priority="263" stopIfTrue="1" id="{75B5C09A-AB60-4F76-AC31-A8C3E0CB1E60}">
            <xm:f>$N79=Master!$H$65</xm:f>
            <x14:dxf>
              <fill>
                <patternFill>
                  <bgColor theme="0" tint="-0.14996795556505021"/>
                </patternFill>
              </fill>
            </x14:dxf>
          </x14:cfRule>
          <xm:sqref>P79:Y79</xm:sqref>
        </x14:conditionalFormatting>
        <x14:conditionalFormatting xmlns:xm="http://schemas.microsoft.com/office/excel/2006/main">
          <x14:cfRule type="expression" priority="262" stopIfTrue="1" id="{2293812D-DE28-4EF7-8792-F86C4839BE6D}">
            <xm:f>$N80=Master!$H$65</xm:f>
            <x14:dxf>
              <fill>
                <patternFill>
                  <bgColor theme="0" tint="-0.14996795556505021"/>
                </patternFill>
              </fill>
            </x14:dxf>
          </x14:cfRule>
          <xm:sqref>P80:X80</xm:sqref>
        </x14:conditionalFormatting>
        <x14:conditionalFormatting xmlns:xm="http://schemas.microsoft.com/office/excel/2006/main">
          <x14:cfRule type="expression" priority="261" stopIfTrue="1" id="{F82508AC-5EF3-44C9-8440-EAC72B0C973C}">
            <xm:f>$N80=Master!$H$65</xm:f>
            <x14:dxf>
              <fill>
                <patternFill>
                  <bgColor theme="0" tint="-0.14996795556505021"/>
                </patternFill>
              </fill>
            </x14:dxf>
          </x14:cfRule>
          <xm:sqref>Y80</xm:sqref>
        </x14:conditionalFormatting>
        <x14:conditionalFormatting xmlns:xm="http://schemas.microsoft.com/office/excel/2006/main">
          <x14:cfRule type="expression" priority="260" stopIfTrue="1" id="{C926BEBE-6FF7-45B8-BF62-E7A6F978E62E}">
            <xm:f>$N84=Master!$H$65</xm:f>
            <x14:dxf>
              <fill>
                <patternFill>
                  <bgColor theme="0" tint="-0.14996795556505021"/>
                </patternFill>
              </fill>
            </x14:dxf>
          </x14:cfRule>
          <xm:sqref>AD84:AE84</xm:sqref>
        </x14:conditionalFormatting>
        <x14:conditionalFormatting xmlns:xm="http://schemas.microsoft.com/office/excel/2006/main">
          <x14:cfRule type="expression" priority="259" stopIfTrue="1" id="{051A8444-F017-4D8E-B809-A71E2906478D}">
            <xm:f>$N80=Master!$H$65</xm:f>
            <x14:dxf>
              <fill>
                <patternFill>
                  <bgColor theme="0" tint="-0.14996795556505021"/>
                </patternFill>
              </fill>
            </x14:dxf>
          </x14:cfRule>
          <xm:sqref>C80</xm:sqref>
        </x14:conditionalFormatting>
        <x14:conditionalFormatting xmlns:xm="http://schemas.microsoft.com/office/excel/2006/main">
          <x14:cfRule type="expression" priority="255" stopIfTrue="1" id="{7B854F50-4A66-419E-8D33-18E25B83CB82}">
            <xm:f>$N74=Master!$H$65</xm:f>
            <x14:dxf>
              <fill>
                <patternFill>
                  <bgColor theme="0" tint="-0.14996795556505021"/>
                </patternFill>
              </fill>
            </x14:dxf>
          </x14:cfRule>
          <xm:sqref>B74:B76</xm:sqref>
        </x14:conditionalFormatting>
        <x14:conditionalFormatting xmlns:xm="http://schemas.microsoft.com/office/excel/2006/main">
          <x14:cfRule type="expression" priority="254" stopIfTrue="1" id="{C5E49954-419F-460B-BB6D-3403AEA55CFF}">
            <xm:f>$N74=Master!$H$65</xm:f>
            <x14:dxf>
              <fill>
                <patternFill>
                  <bgColor theme="0" tint="-0.14996795556505021"/>
                </patternFill>
              </fill>
            </x14:dxf>
          </x14:cfRule>
          <xm:sqref>C74:D76</xm:sqref>
        </x14:conditionalFormatting>
        <x14:conditionalFormatting xmlns:xm="http://schemas.microsoft.com/office/excel/2006/main">
          <x14:cfRule type="expression" priority="253" stopIfTrue="1" id="{68681B1A-F4AA-43D5-B577-62A54D791166}">
            <xm:f>$N87=Master!$H$65</xm:f>
            <x14:dxf>
              <fill>
                <patternFill>
                  <bgColor theme="0" tint="-0.14996795556505021"/>
                </patternFill>
              </fill>
            </x14:dxf>
          </x14:cfRule>
          <xm:sqref>AD87</xm:sqref>
        </x14:conditionalFormatting>
        <x14:conditionalFormatting xmlns:xm="http://schemas.microsoft.com/office/excel/2006/main">
          <x14:cfRule type="expression" priority="252" stopIfTrue="1" id="{6577BE28-5282-4040-B564-44B461ADD7D1}">
            <xm:f>$N87=Master!$H$65</xm:f>
            <x14:dxf>
              <fill>
                <patternFill>
                  <bgColor theme="0" tint="-0.14996795556505021"/>
                </patternFill>
              </fill>
            </x14:dxf>
          </x14:cfRule>
          <xm:sqref>AE87</xm:sqref>
        </x14:conditionalFormatting>
        <x14:conditionalFormatting xmlns:xm="http://schemas.microsoft.com/office/excel/2006/main">
          <x14:cfRule type="expression" priority="251" stopIfTrue="1" id="{F5428089-EFD5-47A7-92E8-E829562674B6}">
            <xm:f>$N88=Master!$H$65</xm:f>
            <x14:dxf>
              <fill>
                <patternFill>
                  <bgColor theme="0" tint="-0.14996795556505021"/>
                </patternFill>
              </fill>
            </x14:dxf>
          </x14:cfRule>
          <xm:sqref>G88</xm:sqref>
        </x14:conditionalFormatting>
        <x14:conditionalFormatting xmlns:xm="http://schemas.microsoft.com/office/excel/2006/main">
          <x14:cfRule type="expression" priority="250" stopIfTrue="1" id="{5E9E321B-1695-442E-B3AF-7796EC2560DE}">
            <xm:f>$N89=Master!$H$65</xm:f>
            <x14:dxf>
              <fill>
                <patternFill>
                  <bgColor theme="0" tint="-0.14996795556505021"/>
                </patternFill>
              </fill>
            </x14:dxf>
          </x14:cfRule>
          <xm:sqref>G89</xm:sqref>
        </x14:conditionalFormatting>
        <x14:conditionalFormatting xmlns:xm="http://schemas.microsoft.com/office/excel/2006/main">
          <x14:cfRule type="expression" priority="249" stopIfTrue="1" id="{12FF9BD5-316D-4D86-87AB-FACD04AE5802}">
            <xm:f>$N77=Master!$H$65</xm:f>
            <x14:dxf>
              <fill>
                <patternFill>
                  <bgColor theme="0" tint="-0.14996795556505021"/>
                </patternFill>
              </fill>
            </x14:dxf>
          </x14:cfRule>
          <xm:sqref>Z77:AK77</xm:sqref>
        </x14:conditionalFormatting>
        <x14:conditionalFormatting xmlns:xm="http://schemas.microsoft.com/office/excel/2006/main">
          <x14:cfRule type="expression" priority="248" stopIfTrue="1" id="{1EE7442B-3283-4182-B51B-66580C9DF11C}">
            <xm:f>$N85=Master!$H$65</xm:f>
            <x14:dxf>
              <fill>
                <patternFill>
                  <bgColor theme="0" tint="-0.14996795556505021"/>
                </patternFill>
              </fill>
            </x14:dxf>
          </x14:cfRule>
          <xm:sqref>AD85</xm:sqref>
        </x14:conditionalFormatting>
        <x14:conditionalFormatting xmlns:xm="http://schemas.microsoft.com/office/excel/2006/main">
          <x14:cfRule type="expression" priority="247" stopIfTrue="1" id="{E5173977-3631-462F-A681-72FDA2BA5200}">
            <xm:f>$N86=Master!$H$65</xm:f>
            <x14:dxf>
              <fill>
                <patternFill>
                  <bgColor theme="0" tint="-0.14996795556505021"/>
                </patternFill>
              </fill>
            </x14:dxf>
          </x14:cfRule>
          <xm:sqref>AD86</xm:sqref>
        </x14:conditionalFormatting>
        <x14:conditionalFormatting xmlns:xm="http://schemas.microsoft.com/office/excel/2006/main">
          <x14:cfRule type="expression" priority="246" stopIfTrue="1" id="{8D5ED74C-429F-412D-832F-EBF08FA639B8}">
            <xm:f>$N85=Master!$H$65</xm:f>
            <x14:dxf>
              <fill>
                <patternFill>
                  <bgColor theme="0" tint="-0.14996795556505021"/>
                </patternFill>
              </fill>
            </x14:dxf>
          </x14:cfRule>
          <xm:sqref>AE85</xm:sqref>
        </x14:conditionalFormatting>
        <x14:conditionalFormatting xmlns:xm="http://schemas.microsoft.com/office/excel/2006/main">
          <x14:cfRule type="expression" priority="244" stopIfTrue="1" id="{0C368500-3B55-483B-9157-19439630A2DA}">
            <xm:f>$N86=Master!$H$65</xm:f>
            <x14:dxf>
              <fill>
                <patternFill>
                  <bgColor theme="0" tint="-0.14996795556505021"/>
                </patternFill>
              </fill>
            </x14:dxf>
          </x14:cfRule>
          <xm:sqref>AE86</xm:sqref>
        </x14:conditionalFormatting>
        <x14:conditionalFormatting xmlns:xm="http://schemas.microsoft.com/office/excel/2006/main">
          <x14:cfRule type="expression" priority="447" stopIfTrue="1" id="{DAA16215-C9B4-4603-9453-04AF36B07761}">
            <xm:f>AND($C9&lt;&gt;"",$N9&lt;&gt;Master!$H$65,$M9&lt;$AI$3)</xm:f>
            <x14:dxf>
              <font>
                <color theme="0"/>
              </font>
              <fill>
                <patternFill>
                  <bgColor rgb="FFFF0000"/>
                </patternFill>
              </fill>
            </x14:dxf>
          </x14:cfRule>
          <xm:sqref>AG9:AG13 M9:M1184 Q9:Q15 AA9:AA15</xm:sqref>
        </x14:conditionalFormatting>
        <x14:conditionalFormatting xmlns:xm="http://schemas.microsoft.com/office/excel/2006/main">
          <x14:cfRule type="expression" priority="243" stopIfTrue="1" id="{93CE2208-6512-4C37-A533-07085E2AF44E}">
            <xm:f>$N21=Master!$H$65</xm:f>
            <x14:dxf>
              <fill>
                <patternFill>
                  <bgColor theme="0" tint="-0.14996795556505021"/>
                </patternFill>
              </fill>
            </x14:dxf>
          </x14:cfRule>
          <xm:sqref>C21</xm:sqref>
        </x14:conditionalFormatting>
        <x14:conditionalFormatting xmlns:xm="http://schemas.microsoft.com/office/excel/2006/main">
          <x14:cfRule type="expression" priority="242" stopIfTrue="1" id="{1D7F9364-3497-4BBF-A7E3-58CC1EB2855A}">
            <xm:f>$N945=Master!$H$65</xm:f>
            <x14:dxf>
              <fill>
                <patternFill>
                  <bgColor theme="0" tint="-0.14996795556505021"/>
                </patternFill>
              </fill>
            </x14:dxf>
          </x14:cfRule>
          <xm:sqref>B945:B946</xm:sqref>
        </x14:conditionalFormatting>
        <x14:conditionalFormatting xmlns:xm="http://schemas.microsoft.com/office/excel/2006/main">
          <x14:cfRule type="expression" priority="241" stopIfTrue="1" id="{22DB7FFA-733D-4A01-8B2D-F5F3C2EA4749}">
            <xm:f>$N945=Master!$H$65</xm:f>
            <x14:dxf>
              <fill>
                <patternFill>
                  <bgColor theme="0" tint="-0.14996795556505021"/>
                </patternFill>
              </fill>
            </x14:dxf>
          </x14:cfRule>
          <xm:sqref>C945:D945</xm:sqref>
        </x14:conditionalFormatting>
        <x14:conditionalFormatting xmlns:xm="http://schemas.microsoft.com/office/excel/2006/main">
          <x14:cfRule type="expression" priority="240" stopIfTrue="1" id="{97FCD41E-9251-4959-8018-E71CF710B1D8}">
            <xm:f>$N940=Master!$H$65</xm:f>
            <x14:dxf>
              <fill>
                <patternFill>
                  <bgColor theme="0" tint="-0.14996795556505021"/>
                </patternFill>
              </fill>
            </x14:dxf>
          </x14:cfRule>
          <xm:sqref>B940:B941</xm:sqref>
        </x14:conditionalFormatting>
        <x14:conditionalFormatting xmlns:xm="http://schemas.microsoft.com/office/excel/2006/main">
          <x14:cfRule type="expression" priority="239" stopIfTrue="1" id="{DC2B011C-FA92-4954-A7D7-1A7BC95F2630}">
            <xm:f>$N940=Master!$H$65</xm:f>
            <x14:dxf>
              <fill>
                <patternFill>
                  <bgColor theme="0" tint="-0.14996795556505021"/>
                </patternFill>
              </fill>
            </x14:dxf>
          </x14:cfRule>
          <xm:sqref>C940:D940</xm:sqref>
        </x14:conditionalFormatting>
        <x14:conditionalFormatting xmlns:xm="http://schemas.microsoft.com/office/excel/2006/main">
          <x14:cfRule type="expression" priority="238" stopIfTrue="1" id="{CBBC45E8-FA60-4EEF-9B64-6DE64504DA11}">
            <xm:f>$N935=Master!$H$65</xm:f>
            <x14:dxf>
              <fill>
                <patternFill>
                  <bgColor theme="0" tint="-0.14996795556505021"/>
                </patternFill>
              </fill>
            </x14:dxf>
          </x14:cfRule>
          <xm:sqref>B935:B936</xm:sqref>
        </x14:conditionalFormatting>
        <x14:conditionalFormatting xmlns:xm="http://schemas.microsoft.com/office/excel/2006/main">
          <x14:cfRule type="expression" priority="237" stopIfTrue="1" id="{0AF1B992-A049-4143-9DB9-32DE2391EC46}">
            <xm:f>$N935=Master!$H$65</xm:f>
            <x14:dxf>
              <fill>
                <patternFill>
                  <bgColor theme="0" tint="-0.14996795556505021"/>
                </patternFill>
              </fill>
            </x14:dxf>
          </x14:cfRule>
          <xm:sqref>C935:D935</xm:sqref>
        </x14:conditionalFormatting>
        <x14:conditionalFormatting xmlns:xm="http://schemas.microsoft.com/office/excel/2006/main">
          <x14:cfRule type="expression" priority="236" stopIfTrue="1" id="{38DEA4B7-6738-4677-B058-E1E77403ABD8}">
            <xm:f>$N930=Master!$H$65</xm:f>
            <x14:dxf>
              <fill>
                <patternFill>
                  <bgColor theme="0" tint="-0.14996795556505021"/>
                </patternFill>
              </fill>
            </x14:dxf>
          </x14:cfRule>
          <xm:sqref>B930:B931</xm:sqref>
        </x14:conditionalFormatting>
        <x14:conditionalFormatting xmlns:xm="http://schemas.microsoft.com/office/excel/2006/main">
          <x14:cfRule type="expression" priority="235" stopIfTrue="1" id="{1C388054-4E98-4577-AD41-08B47550776C}">
            <xm:f>$N930=Master!$H$65</xm:f>
            <x14:dxf>
              <fill>
                <patternFill>
                  <bgColor theme="0" tint="-0.14996795556505021"/>
                </patternFill>
              </fill>
            </x14:dxf>
          </x14:cfRule>
          <xm:sqref>C930:D930</xm:sqref>
        </x14:conditionalFormatting>
        <x14:conditionalFormatting xmlns:xm="http://schemas.microsoft.com/office/excel/2006/main">
          <x14:cfRule type="expression" priority="234" stopIfTrue="1" id="{773BA40B-2B6D-452A-9E4D-D71ECA1F408D}">
            <xm:f>$N925=Master!$H$65</xm:f>
            <x14:dxf>
              <fill>
                <patternFill>
                  <bgColor theme="0" tint="-0.14996795556505021"/>
                </patternFill>
              </fill>
            </x14:dxf>
          </x14:cfRule>
          <xm:sqref>B925:B926</xm:sqref>
        </x14:conditionalFormatting>
        <x14:conditionalFormatting xmlns:xm="http://schemas.microsoft.com/office/excel/2006/main">
          <x14:cfRule type="expression" priority="233" stopIfTrue="1" id="{C6F76C2D-ABED-451B-A9DB-1EBE7E2B6D2B}">
            <xm:f>$N925=Master!$H$65</xm:f>
            <x14:dxf>
              <fill>
                <patternFill>
                  <bgColor theme="0" tint="-0.14996795556505021"/>
                </patternFill>
              </fill>
            </x14:dxf>
          </x14:cfRule>
          <xm:sqref>C925:D925</xm:sqref>
        </x14:conditionalFormatting>
        <x14:conditionalFormatting xmlns:xm="http://schemas.microsoft.com/office/excel/2006/main">
          <x14:cfRule type="expression" priority="232" stopIfTrue="1" id="{6EDE8C31-517D-426C-B7BF-BDDE2828049B}">
            <xm:f>$N920=Master!$H$65</xm:f>
            <x14:dxf>
              <fill>
                <patternFill>
                  <bgColor theme="0" tint="-0.14996795556505021"/>
                </patternFill>
              </fill>
            </x14:dxf>
          </x14:cfRule>
          <xm:sqref>B920:B921</xm:sqref>
        </x14:conditionalFormatting>
        <x14:conditionalFormatting xmlns:xm="http://schemas.microsoft.com/office/excel/2006/main">
          <x14:cfRule type="expression" priority="231" stopIfTrue="1" id="{AB33B30F-8F04-4DE0-9E13-B3EE275BCDEF}">
            <xm:f>$N920=Master!$H$65</xm:f>
            <x14:dxf>
              <fill>
                <patternFill>
                  <bgColor theme="0" tint="-0.14996795556505021"/>
                </patternFill>
              </fill>
            </x14:dxf>
          </x14:cfRule>
          <xm:sqref>C920:D920</xm:sqref>
        </x14:conditionalFormatting>
        <x14:conditionalFormatting xmlns:xm="http://schemas.microsoft.com/office/excel/2006/main">
          <x14:cfRule type="expression" priority="230" stopIfTrue="1" id="{6C9D631A-EC10-4DEE-A3E1-05A4F9CD8D74}">
            <xm:f>$N915=Master!$H$65</xm:f>
            <x14:dxf>
              <fill>
                <patternFill>
                  <bgColor theme="0" tint="-0.14996795556505021"/>
                </patternFill>
              </fill>
            </x14:dxf>
          </x14:cfRule>
          <xm:sqref>B915:B916</xm:sqref>
        </x14:conditionalFormatting>
        <x14:conditionalFormatting xmlns:xm="http://schemas.microsoft.com/office/excel/2006/main">
          <x14:cfRule type="expression" priority="229" stopIfTrue="1" id="{FED77691-F1C3-4187-AE0F-1FFE10F62BBF}">
            <xm:f>$N915=Master!$H$65</xm:f>
            <x14:dxf>
              <fill>
                <patternFill>
                  <bgColor theme="0" tint="-0.14996795556505021"/>
                </patternFill>
              </fill>
            </x14:dxf>
          </x14:cfRule>
          <xm:sqref>C915:D915</xm:sqref>
        </x14:conditionalFormatting>
        <x14:conditionalFormatting xmlns:xm="http://schemas.microsoft.com/office/excel/2006/main">
          <x14:cfRule type="expression" priority="228" stopIfTrue="1" id="{33CA6E71-38B1-4D2F-8CFC-D6091751CEF0}">
            <xm:f>$N910=Master!$H$65</xm:f>
            <x14:dxf>
              <fill>
                <patternFill>
                  <bgColor theme="0" tint="-0.14996795556505021"/>
                </patternFill>
              </fill>
            </x14:dxf>
          </x14:cfRule>
          <xm:sqref>B910:B911</xm:sqref>
        </x14:conditionalFormatting>
        <x14:conditionalFormatting xmlns:xm="http://schemas.microsoft.com/office/excel/2006/main">
          <x14:cfRule type="expression" priority="227" stopIfTrue="1" id="{95D225DA-0D99-41B2-9E5B-73438DB4457D}">
            <xm:f>$N910=Master!$H$65</xm:f>
            <x14:dxf>
              <fill>
                <patternFill>
                  <bgColor theme="0" tint="-0.14996795556505021"/>
                </patternFill>
              </fill>
            </x14:dxf>
          </x14:cfRule>
          <xm:sqref>C910:D910</xm:sqref>
        </x14:conditionalFormatting>
        <x14:conditionalFormatting xmlns:xm="http://schemas.microsoft.com/office/excel/2006/main">
          <x14:cfRule type="expression" priority="226" stopIfTrue="1" id="{11581C12-0B46-4E7C-9812-D132C092237E}">
            <xm:f>$N905=Master!$H$65</xm:f>
            <x14:dxf>
              <fill>
                <patternFill>
                  <bgColor theme="0" tint="-0.14996795556505021"/>
                </patternFill>
              </fill>
            </x14:dxf>
          </x14:cfRule>
          <xm:sqref>B905:B906</xm:sqref>
        </x14:conditionalFormatting>
        <x14:conditionalFormatting xmlns:xm="http://schemas.microsoft.com/office/excel/2006/main">
          <x14:cfRule type="expression" priority="225" stopIfTrue="1" id="{456F0B41-A5EA-46F7-A957-0F4F620A1A76}">
            <xm:f>$N905=Master!$H$65</xm:f>
            <x14:dxf>
              <fill>
                <patternFill>
                  <bgColor theme="0" tint="-0.14996795556505021"/>
                </patternFill>
              </fill>
            </x14:dxf>
          </x14:cfRule>
          <xm:sqref>C905:D905</xm:sqref>
        </x14:conditionalFormatting>
        <x14:conditionalFormatting xmlns:xm="http://schemas.microsoft.com/office/excel/2006/main">
          <x14:cfRule type="expression" priority="224" stopIfTrue="1" id="{EDB22798-0E0D-4B4E-9DDD-3513D41EEC5F}">
            <xm:f>$N900=Master!$H$65</xm:f>
            <x14:dxf>
              <fill>
                <patternFill>
                  <bgColor theme="0" tint="-0.14996795556505021"/>
                </patternFill>
              </fill>
            </x14:dxf>
          </x14:cfRule>
          <xm:sqref>B900:B901</xm:sqref>
        </x14:conditionalFormatting>
        <x14:conditionalFormatting xmlns:xm="http://schemas.microsoft.com/office/excel/2006/main">
          <x14:cfRule type="expression" priority="223" stopIfTrue="1" id="{44780010-EF61-4C76-BF50-0A1AED9BF9A6}">
            <xm:f>$N900=Master!$H$65</xm:f>
            <x14:dxf>
              <fill>
                <patternFill>
                  <bgColor theme="0" tint="-0.14996795556505021"/>
                </patternFill>
              </fill>
            </x14:dxf>
          </x14:cfRule>
          <xm:sqref>C900:D900</xm:sqref>
        </x14:conditionalFormatting>
        <x14:conditionalFormatting xmlns:xm="http://schemas.microsoft.com/office/excel/2006/main">
          <x14:cfRule type="expression" priority="222" stopIfTrue="1" id="{854B7D3E-C3B6-4E7A-A261-9DAE13E8E7EB}">
            <xm:f>$N895=Master!$H$65</xm:f>
            <x14:dxf>
              <fill>
                <patternFill>
                  <bgColor theme="0" tint="-0.14996795556505021"/>
                </patternFill>
              </fill>
            </x14:dxf>
          </x14:cfRule>
          <xm:sqref>B895:B896</xm:sqref>
        </x14:conditionalFormatting>
        <x14:conditionalFormatting xmlns:xm="http://schemas.microsoft.com/office/excel/2006/main">
          <x14:cfRule type="expression" priority="221" stopIfTrue="1" id="{07E8B244-1034-48E6-9A55-FCD73AF2D329}">
            <xm:f>$N895=Master!$H$65</xm:f>
            <x14:dxf>
              <fill>
                <patternFill>
                  <bgColor theme="0" tint="-0.14996795556505021"/>
                </patternFill>
              </fill>
            </x14:dxf>
          </x14:cfRule>
          <xm:sqref>C895:D895</xm:sqref>
        </x14:conditionalFormatting>
        <x14:conditionalFormatting xmlns:xm="http://schemas.microsoft.com/office/excel/2006/main">
          <x14:cfRule type="expression" priority="220" stopIfTrue="1" id="{C1DFAED6-6484-468D-A530-3EA2D221E91C}">
            <xm:f>$N890=Master!$H$65</xm:f>
            <x14:dxf>
              <fill>
                <patternFill>
                  <bgColor theme="0" tint="-0.14996795556505021"/>
                </patternFill>
              </fill>
            </x14:dxf>
          </x14:cfRule>
          <xm:sqref>B890:B891</xm:sqref>
        </x14:conditionalFormatting>
        <x14:conditionalFormatting xmlns:xm="http://schemas.microsoft.com/office/excel/2006/main">
          <x14:cfRule type="expression" priority="219" stopIfTrue="1" id="{31B648B1-778C-446A-8FEF-F24D227AB107}">
            <xm:f>$N890=Master!$H$65</xm:f>
            <x14:dxf>
              <fill>
                <patternFill>
                  <bgColor theme="0" tint="-0.14996795556505021"/>
                </patternFill>
              </fill>
            </x14:dxf>
          </x14:cfRule>
          <xm:sqref>C890:D890</xm:sqref>
        </x14:conditionalFormatting>
        <x14:conditionalFormatting xmlns:xm="http://schemas.microsoft.com/office/excel/2006/main">
          <x14:cfRule type="expression" priority="218" stopIfTrue="1" id="{D7B70CED-4D37-46C4-ACB9-F3B19501DB3D}">
            <xm:f>$N885=Master!$H$65</xm:f>
            <x14:dxf>
              <fill>
                <patternFill>
                  <bgColor theme="0" tint="-0.14996795556505021"/>
                </patternFill>
              </fill>
            </x14:dxf>
          </x14:cfRule>
          <xm:sqref>B885:B886</xm:sqref>
        </x14:conditionalFormatting>
        <x14:conditionalFormatting xmlns:xm="http://schemas.microsoft.com/office/excel/2006/main">
          <x14:cfRule type="expression" priority="217" stopIfTrue="1" id="{8B436115-A807-4575-BB93-9E166F9864A2}">
            <xm:f>$N885=Master!$H$65</xm:f>
            <x14:dxf>
              <fill>
                <patternFill>
                  <bgColor theme="0" tint="-0.14996795556505021"/>
                </patternFill>
              </fill>
            </x14:dxf>
          </x14:cfRule>
          <xm:sqref>C885:D885</xm:sqref>
        </x14:conditionalFormatting>
        <x14:conditionalFormatting xmlns:xm="http://schemas.microsoft.com/office/excel/2006/main">
          <x14:cfRule type="expression" priority="216" stopIfTrue="1" id="{F6C38EA7-2C89-480C-8665-628B503F7683}">
            <xm:f>$N880=Master!$H$65</xm:f>
            <x14:dxf>
              <fill>
                <patternFill>
                  <bgColor theme="0" tint="-0.14996795556505021"/>
                </patternFill>
              </fill>
            </x14:dxf>
          </x14:cfRule>
          <xm:sqref>B880:B881</xm:sqref>
        </x14:conditionalFormatting>
        <x14:conditionalFormatting xmlns:xm="http://schemas.microsoft.com/office/excel/2006/main">
          <x14:cfRule type="expression" priority="215" stopIfTrue="1" id="{418067D9-CED7-4936-94E0-FE9C4D09F52B}">
            <xm:f>$N880=Master!$H$65</xm:f>
            <x14:dxf>
              <fill>
                <patternFill>
                  <bgColor theme="0" tint="-0.14996795556505021"/>
                </patternFill>
              </fill>
            </x14:dxf>
          </x14:cfRule>
          <xm:sqref>C880:D880</xm:sqref>
        </x14:conditionalFormatting>
        <x14:conditionalFormatting xmlns:xm="http://schemas.microsoft.com/office/excel/2006/main">
          <x14:cfRule type="expression" priority="214" stopIfTrue="1" id="{B0310AD1-D510-4350-9E1E-75D8AA008BB5}">
            <xm:f>$N875=Master!$H$65</xm:f>
            <x14:dxf>
              <fill>
                <patternFill>
                  <bgColor theme="0" tint="-0.14996795556505021"/>
                </patternFill>
              </fill>
            </x14:dxf>
          </x14:cfRule>
          <xm:sqref>B875:B876</xm:sqref>
        </x14:conditionalFormatting>
        <x14:conditionalFormatting xmlns:xm="http://schemas.microsoft.com/office/excel/2006/main">
          <x14:cfRule type="expression" priority="213" stopIfTrue="1" id="{78153EFC-F34A-4741-8D5C-786D74E5E3D5}">
            <xm:f>$N875=Master!$H$65</xm:f>
            <x14:dxf>
              <fill>
                <patternFill>
                  <bgColor theme="0" tint="-0.14996795556505021"/>
                </patternFill>
              </fill>
            </x14:dxf>
          </x14:cfRule>
          <xm:sqref>C875:D875</xm:sqref>
        </x14:conditionalFormatting>
        <x14:conditionalFormatting xmlns:xm="http://schemas.microsoft.com/office/excel/2006/main">
          <x14:cfRule type="expression" priority="212" stopIfTrue="1" id="{83938C89-48D7-41F7-8AA6-64BD07AE1F1E}">
            <xm:f>$N870=Master!$H$65</xm:f>
            <x14:dxf>
              <fill>
                <patternFill>
                  <bgColor theme="0" tint="-0.14996795556505021"/>
                </patternFill>
              </fill>
            </x14:dxf>
          </x14:cfRule>
          <xm:sqref>B870:B871</xm:sqref>
        </x14:conditionalFormatting>
        <x14:conditionalFormatting xmlns:xm="http://schemas.microsoft.com/office/excel/2006/main">
          <x14:cfRule type="expression" priority="211" stopIfTrue="1" id="{14D0D8E0-D53E-418D-8E6A-51DD73C3E7F7}">
            <xm:f>$N870=Master!$H$65</xm:f>
            <x14:dxf>
              <fill>
                <patternFill>
                  <bgColor theme="0" tint="-0.14996795556505021"/>
                </patternFill>
              </fill>
            </x14:dxf>
          </x14:cfRule>
          <xm:sqref>C870:D870</xm:sqref>
        </x14:conditionalFormatting>
        <x14:conditionalFormatting xmlns:xm="http://schemas.microsoft.com/office/excel/2006/main">
          <x14:cfRule type="expression" priority="210" stopIfTrue="1" id="{B17DAA2F-5F2F-4008-845E-0B4414F42A1C}">
            <xm:f>$N865=Master!$H$65</xm:f>
            <x14:dxf>
              <fill>
                <patternFill>
                  <bgColor theme="0" tint="-0.14996795556505021"/>
                </patternFill>
              </fill>
            </x14:dxf>
          </x14:cfRule>
          <xm:sqref>B865:B866</xm:sqref>
        </x14:conditionalFormatting>
        <x14:conditionalFormatting xmlns:xm="http://schemas.microsoft.com/office/excel/2006/main">
          <x14:cfRule type="expression" priority="209" stopIfTrue="1" id="{F36394C2-EE10-47A5-A68F-1AD11005EF9D}">
            <xm:f>$N865=Master!$H$65</xm:f>
            <x14:dxf>
              <fill>
                <patternFill>
                  <bgColor theme="0" tint="-0.14996795556505021"/>
                </patternFill>
              </fill>
            </x14:dxf>
          </x14:cfRule>
          <xm:sqref>C865:D865</xm:sqref>
        </x14:conditionalFormatting>
        <x14:conditionalFormatting xmlns:xm="http://schemas.microsoft.com/office/excel/2006/main">
          <x14:cfRule type="expression" priority="208" stopIfTrue="1" id="{D6404333-0FC2-4356-929A-EA56BF77836E}">
            <xm:f>$N860=Master!$H$65</xm:f>
            <x14:dxf>
              <fill>
                <patternFill>
                  <bgColor theme="0" tint="-0.14996795556505021"/>
                </patternFill>
              </fill>
            </x14:dxf>
          </x14:cfRule>
          <xm:sqref>B860:B861</xm:sqref>
        </x14:conditionalFormatting>
        <x14:conditionalFormatting xmlns:xm="http://schemas.microsoft.com/office/excel/2006/main">
          <x14:cfRule type="expression" priority="207" stopIfTrue="1" id="{D5B34533-1FB4-481F-BDE9-C0E31075E091}">
            <xm:f>$N860=Master!$H$65</xm:f>
            <x14:dxf>
              <fill>
                <patternFill>
                  <bgColor theme="0" tint="-0.14996795556505021"/>
                </patternFill>
              </fill>
            </x14:dxf>
          </x14:cfRule>
          <xm:sqref>C860:D860</xm:sqref>
        </x14:conditionalFormatting>
        <x14:conditionalFormatting xmlns:xm="http://schemas.microsoft.com/office/excel/2006/main">
          <x14:cfRule type="expression" priority="206" stopIfTrue="1" id="{736F32D9-3EB8-48A8-B2F3-1B4E8EBD99D5}">
            <xm:f>$N855=Master!$H$65</xm:f>
            <x14:dxf>
              <fill>
                <patternFill>
                  <bgColor theme="0" tint="-0.14996795556505021"/>
                </patternFill>
              </fill>
            </x14:dxf>
          </x14:cfRule>
          <xm:sqref>B855:B856</xm:sqref>
        </x14:conditionalFormatting>
        <x14:conditionalFormatting xmlns:xm="http://schemas.microsoft.com/office/excel/2006/main">
          <x14:cfRule type="expression" priority="205" stopIfTrue="1" id="{C45B540D-2D51-4CF3-B416-6D0115D5EE2A}">
            <xm:f>$N855=Master!$H$65</xm:f>
            <x14:dxf>
              <fill>
                <patternFill>
                  <bgColor theme="0" tint="-0.14996795556505021"/>
                </patternFill>
              </fill>
            </x14:dxf>
          </x14:cfRule>
          <xm:sqref>C855:D855</xm:sqref>
        </x14:conditionalFormatting>
        <x14:conditionalFormatting xmlns:xm="http://schemas.microsoft.com/office/excel/2006/main">
          <x14:cfRule type="expression" priority="204" stopIfTrue="1" id="{74391E29-5B39-498B-AA9B-46E08C995FCE}">
            <xm:f>$N850=Master!$H$65</xm:f>
            <x14:dxf>
              <fill>
                <patternFill>
                  <bgColor theme="0" tint="-0.14996795556505021"/>
                </patternFill>
              </fill>
            </x14:dxf>
          </x14:cfRule>
          <xm:sqref>B850:B851</xm:sqref>
        </x14:conditionalFormatting>
        <x14:conditionalFormatting xmlns:xm="http://schemas.microsoft.com/office/excel/2006/main">
          <x14:cfRule type="expression" priority="203" stopIfTrue="1" id="{2FCADCA2-6B5B-42D9-9BC3-C799CD17FDC3}">
            <xm:f>$N850=Master!$H$65</xm:f>
            <x14:dxf>
              <fill>
                <patternFill>
                  <bgColor theme="0" tint="-0.14996795556505021"/>
                </patternFill>
              </fill>
            </x14:dxf>
          </x14:cfRule>
          <xm:sqref>C850:D850</xm:sqref>
        </x14:conditionalFormatting>
        <x14:conditionalFormatting xmlns:xm="http://schemas.microsoft.com/office/excel/2006/main">
          <x14:cfRule type="expression" priority="202" stopIfTrue="1" id="{A6B46DBA-9C0C-466B-BAE9-AC63D523E6E0}">
            <xm:f>$N845=Master!$H$65</xm:f>
            <x14:dxf>
              <fill>
                <patternFill>
                  <bgColor theme="0" tint="-0.14996795556505021"/>
                </patternFill>
              </fill>
            </x14:dxf>
          </x14:cfRule>
          <xm:sqref>B845:B846</xm:sqref>
        </x14:conditionalFormatting>
        <x14:conditionalFormatting xmlns:xm="http://schemas.microsoft.com/office/excel/2006/main">
          <x14:cfRule type="expression" priority="201" stopIfTrue="1" id="{D84B3070-559E-43AF-B78D-812E030A9EE6}">
            <xm:f>$N845=Master!$H$65</xm:f>
            <x14:dxf>
              <fill>
                <patternFill>
                  <bgColor theme="0" tint="-0.14996795556505021"/>
                </patternFill>
              </fill>
            </x14:dxf>
          </x14:cfRule>
          <xm:sqref>C845:D845</xm:sqref>
        </x14:conditionalFormatting>
        <x14:conditionalFormatting xmlns:xm="http://schemas.microsoft.com/office/excel/2006/main">
          <x14:cfRule type="expression" priority="200" stopIfTrue="1" id="{8EEEEB13-F3AC-4B27-B0F6-8A7FF7B394B3}">
            <xm:f>$N840=Master!$H$65</xm:f>
            <x14:dxf>
              <fill>
                <patternFill>
                  <bgColor theme="0" tint="-0.14996795556505021"/>
                </patternFill>
              </fill>
            </x14:dxf>
          </x14:cfRule>
          <xm:sqref>B840:B841</xm:sqref>
        </x14:conditionalFormatting>
        <x14:conditionalFormatting xmlns:xm="http://schemas.microsoft.com/office/excel/2006/main">
          <x14:cfRule type="expression" priority="199" stopIfTrue="1" id="{EE50451D-9196-4B97-B23B-D6A00C3A235D}">
            <xm:f>$N840=Master!$H$65</xm:f>
            <x14:dxf>
              <fill>
                <patternFill>
                  <bgColor theme="0" tint="-0.14996795556505021"/>
                </patternFill>
              </fill>
            </x14:dxf>
          </x14:cfRule>
          <xm:sqref>C840:D840</xm:sqref>
        </x14:conditionalFormatting>
        <x14:conditionalFormatting xmlns:xm="http://schemas.microsoft.com/office/excel/2006/main">
          <x14:cfRule type="expression" priority="198" stopIfTrue="1" id="{C20E527E-05A6-47CD-8D60-0D211D6E95BF}">
            <xm:f>$N835=Master!$H$65</xm:f>
            <x14:dxf>
              <fill>
                <patternFill>
                  <bgColor theme="0" tint="-0.14996795556505021"/>
                </patternFill>
              </fill>
            </x14:dxf>
          </x14:cfRule>
          <xm:sqref>B835:B836</xm:sqref>
        </x14:conditionalFormatting>
        <x14:conditionalFormatting xmlns:xm="http://schemas.microsoft.com/office/excel/2006/main">
          <x14:cfRule type="expression" priority="197" stopIfTrue="1" id="{94F917DB-3ECA-4FF2-A666-A30DB57E5896}">
            <xm:f>$N835=Master!$H$65</xm:f>
            <x14:dxf>
              <fill>
                <patternFill>
                  <bgColor theme="0" tint="-0.14996795556505021"/>
                </patternFill>
              </fill>
            </x14:dxf>
          </x14:cfRule>
          <xm:sqref>C835:D835</xm:sqref>
        </x14:conditionalFormatting>
        <x14:conditionalFormatting xmlns:xm="http://schemas.microsoft.com/office/excel/2006/main">
          <x14:cfRule type="expression" priority="196" stopIfTrue="1" id="{322FC51E-38E1-445E-9DC9-D41333D80009}">
            <xm:f>$N830=Master!$H$65</xm:f>
            <x14:dxf>
              <fill>
                <patternFill>
                  <bgColor theme="0" tint="-0.14996795556505021"/>
                </patternFill>
              </fill>
            </x14:dxf>
          </x14:cfRule>
          <xm:sqref>B830:B831</xm:sqref>
        </x14:conditionalFormatting>
        <x14:conditionalFormatting xmlns:xm="http://schemas.microsoft.com/office/excel/2006/main">
          <x14:cfRule type="expression" priority="195" stopIfTrue="1" id="{9760DDFA-9799-4BF7-8872-10B18E1C6748}">
            <xm:f>$N830=Master!$H$65</xm:f>
            <x14:dxf>
              <fill>
                <patternFill>
                  <bgColor theme="0" tint="-0.14996795556505021"/>
                </patternFill>
              </fill>
            </x14:dxf>
          </x14:cfRule>
          <xm:sqref>C830:D830</xm:sqref>
        </x14:conditionalFormatting>
        <x14:conditionalFormatting xmlns:xm="http://schemas.microsoft.com/office/excel/2006/main">
          <x14:cfRule type="expression" priority="194" stopIfTrue="1" id="{F2745BA0-5445-4849-BFF9-E1A636F1A8F6}">
            <xm:f>$N825=Master!$H$65</xm:f>
            <x14:dxf>
              <fill>
                <patternFill>
                  <bgColor theme="0" tint="-0.14996795556505021"/>
                </patternFill>
              </fill>
            </x14:dxf>
          </x14:cfRule>
          <xm:sqref>B825:B826</xm:sqref>
        </x14:conditionalFormatting>
        <x14:conditionalFormatting xmlns:xm="http://schemas.microsoft.com/office/excel/2006/main">
          <x14:cfRule type="expression" priority="193" stopIfTrue="1" id="{65F558C0-C705-41AB-AF7E-22367837AE3F}">
            <xm:f>$N825=Master!$H$65</xm:f>
            <x14:dxf>
              <fill>
                <patternFill>
                  <bgColor theme="0" tint="-0.14996795556505021"/>
                </patternFill>
              </fill>
            </x14:dxf>
          </x14:cfRule>
          <xm:sqref>C825:D825</xm:sqref>
        </x14:conditionalFormatting>
        <x14:conditionalFormatting xmlns:xm="http://schemas.microsoft.com/office/excel/2006/main">
          <x14:cfRule type="expression" priority="192" stopIfTrue="1" id="{1BD1B5B0-A0EF-4494-B42A-F39505705571}">
            <xm:f>$N820=Master!$H$65</xm:f>
            <x14:dxf>
              <fill>
                <patternFill>
                  <bgColor theme="0" tint="-0.14996795556505021"/>
                </patternFill>
              </fill>
            </x14:dxf>
          </x14:cfRule>
          <xm:sqref>B820:B821</xm:sqref>
        </x14:conditionalFormatting>
        <x14:conditionalFormatting xmlns:xm="http://schemas.microsoft.com/office/excel/2006/main">
          <x14:cfRule type="expression" priority="191" stopIfTrue="1" id="{7E368CC4-B7DC-4AA8-B1E1-1C187F4AF87E}">
            <xm:f>$N820=Master!$H$65</xm:f>
            <x14:dxf>
              <fill>
                <patternFill>
                  <bgColor theme="0" tint="-0.14996795556505021"/>
                </patternFill>
              </fill>
            </x14:dxf>
          </x14:cfRule>
          <xm:sqref>C820:D820</xm:sqref>
        </x14:conditionalFormatting>
        <x14:conditionalFormatting xmlns:xm="http://schemas.microsoft.com/office/excel/2006/main">
          <x14:cfRule type="expression" priority="190" stopIfTrue="1" id="{18A8E174-A6CD-4B8A-922A-4D05A67BA7ED}">
            <xm:f>$N815=Master!$H$65</xm:f>
            <x14:dxf>
              <fill>
                <patternFill>
                  <bgColor theme="0" tint="-0.14996795556505021"/>
                </patternFill>
              </fill>
            </x14:dxf>
          </x14:cfRule>
          <xm:sqref>B815:B816</xm:sqref>
        </x14:conditionalFormatting>
        <x14:conditionalFormatting xmlns:xm="http://schemas.microsoft.com/office/excel/2006/main">
          <x14:cfRule type="expression" priority="189" stopIfTrue="1" id="{647C1A8A-6083-4A1B-BBFC-AE8F0C8305CB}">
            <xm:f>$N815=Master!$H$65</xm:f>
            <x14:dxf>
              <fill>
                <patternFill>
                  <bgColor theme="0" tint="-0.14996795556505021"/>
                </patternFill>
              </fill>
            </x14:dxf>
          </x14:cfRule>
          <xm:sqref>C815:D815</xm:sqref>
        </x14:conditionalFormatting>
        <x14:conditionalFormatting xmlns:xm="http://schemas.microsoft.com/office/excel/2006/main">
          <x14:cfRule type="expression" priority="188" stopIfTrue="1" id="{A2C8FE92-C567-4A75-81AB-23C7E6AF74C4}">
            <xm:f>$N810=Master!$H$65</xm:f>
            <x14:dxf>
              <fill>
                <patternFill>
                  <bgColor theme="0" tint="-0.14996795556505021"/>
                </patternFill>
              </fill>
            </x14:dxf>
          </x14:cfRule>
          <xm:sqref>B810:B811</xm:sqref>
        </x14:conditionalFormatting>
        <x14:conditionalFormatting xmlns:xm="http://schemas.microsoft.com/office/excel/2006/main">
          <x14:cfRule type="expression" priority="187" stopIfTrue="1" id="{250D5A03-F37D-419E-8724-BADFB1F27939}">
            <xm:f>$N810=Master!$H$65</xm:f>
            <x14:dxf>
              <fill>
                <patternFill>
                  <bgColor theme="0" tint="-0.14996795556505021"/>
                </patternFill>
              </fill>
            </x14:dxf>
          </x14:cfRule>
          <xm:sqref>C810:D810</xm:sqref>
        </x14:conditionalFormatting>
        <x14:conditionalFormatting xmlns:xm="http://schemas.microsoft.com/office/excel/2006/main">
          <x14:cfRule type="expression" priority="186" stopIfTrue="1" id="{3B7E78FD-FF97-4CEA-8E64-E54AD41E6078}">
            <xm:f>$N805=Master!$H$65</xm:f>
            <x14:dxf>
              <fill>
                <patternFill>
                  <bgColor theme="0" tint="-0.14996795556505021"/>
                </patternFill>
              </fill>
            </x14:dxf>
          </x14:cfRule>
          <xm:sqref>B805:B806</xm:sqref>
        </x14:conditionalFormatting>
        <x14:conditionalFormatting xmlns:xm="http://schemas.microsoft.com/office/excel/2006/main">
          <x14:cfRule type="expression" priority="185" stopIfTrue="1" id="{8281C9FE-134C-4E5E-BDBA-CB57C179D0EF}">
            <xm:f>$N805=Master!$H$65</xm:f>
            <x14:dxf>
              <fill>
                <patternFill>
                  <bgColor theme="0" tint="-0.14996795556505021"/>
                </patternFill>
              </fill>
            </x14:dxf>
          </x14:cfRule>
          <xm:sqref>C805:D805</xm:sqref>
        </x14:conditionalFormatting>
        <x14:conditionalFormatting xmlns:xm="http://schemas.microsoft.com/office/excel/2006/main">
          <x14:cfRule type="expression" priority="184" stopIfTrue="1" id="{30969903-7B8E-4E68-838C-FEBF160391B6}">
            <xm:f>$N800=Master!$H$65</xm:f>
            <x14:dxf>
              <fill>
                <patternFill>
                  <bgColor theme="0" tint="-0.14996795556505021"/>
                </patternFill>
              </fill>
            </x14:dxf>
          </x14:cfRule>
          <xm:sqref>B800:B801</xm:sqref>
        </x14:conditionalFormatting>
        <x14:conditionalFormatting xmlns:xm="http://schemas.microsoft.com/office/excel/2006/main">
          <x14:cfRule type="expression" priority="183" stopIfTrue="1" id="{BB564403-7C67-4EFF-BDF9-8DE216FEF834}">
            <xm:f>$N800=Master!$H$65</xm:f>
            <x14:dxf>
              <fill>
                <patternFill>
                  <bgColor theme="0" tint="-0.14996795556505021"/>
                </patternFill>
              </fill>
            </x14:dxf>
          </x14:cfRule>
          <xm:sqref>C800:D800</xm:sqref>
        </x14:conditionalFormatting>
        <x14:conditionalFormatting xmlns:xm="http://schemas.microsoft.com/office/excel/2006/main">
          <x14:cfRule type="expression" priority="182" stopIfTrue="1" id="{9B65C694-CC5A-4767-BD8F-DBF3E9618393}">
            <xm:f>$N795=Master!$H$65</xm:f>
            <x14:dxf>
              <fill>
                <patternFill>
                  <bgColor theme="0" tint="-0.14996795556505021"/>
                </patternFill>
              </fill>
            </x14:dxf>
          </x14:cfRule>
          <xm:sqref>B795:B796</xm:sqref>
        </x14:conditionalFormatting>
        <x14:conditionalFormatting xmlns:xm="http://schemas.microsoft.com/office/excel/2006/main">
          <x14:cfRule type="expression" priority="181" stopIfTrue="1" id="{69BC931F-DA2A-4C2A-99AD-C1FB81D744C5}">
            <xm:f>$N795=Master!$H$65</xm:f>
            <x14:dxf>
              <fill>
                <patternFill>
                  <bgColor theme="0" tint="-0.14996795556505021"/>
                </patternFill>
              </fill>
            </x14:dxf>
          </x14:cfRule>
          <xm:sqref>C795:D795</xm:sqref>
        </x14:conditionalFormatting>
        <x14:conditionalFormatting xmlns:xm="http://schemas.microsoft.com/office/excel/2006/main">
          <x14:cfRule type="expression" priority="180" stopIfTrue="1" id="{8E4805C6-B8C7-43F1-9577-CD0FE34FF002}">
            <xm:f>$N790=Master!$H$65</xm:f>
            <x14:dxf>
              <fill>
                <patternFill>
                  <bgColor theme="0" tint="-0.14996795556505021"/>
                </patternFill>
              </fill>
            </x14:dxf>
          </x14:cfRule>
          <xm:sqref>B790:B791</xm:sqref>
        </x14:conditionalFormatting>
        <x14:conditionalFormatting xmlns:xm="http://schemas.microsoft.com/office/excel/2006/main">
          <x14:cfRule type="expression" priority="179" stopIfTrue="1" id="{B6C41E35-39EF-4B47-ABCF-FFE5EB40DA92}">
            <xm:f>$N790=Master!$H$65</xm:f>
            <x14:dxf>
              <fill>
                <patternFill>
                  <bgColor theme="0" tint="-0.14996795556505021"/>
                </patternFill>
              </fill>
            </x14:dxf>
          </x14:cfRule>
          <xm:sqref>C790:D790</xm:sqref>
        </x14:conditionalFormatting>
        <x14:conditionalFormatting xmlns:xm="http://schemas.microsoft.com/office/excel/2006/main">
          <x14:cfRule type="expression" priority="178" stopIfTrue="1" id="{109289BE-1AF2-4499-BD10-442DB4AF055F}">
            <xm:f>$N785=Master!$H$65</xm:f>
            <x14:dxf>
              <fill>
                <patternFill>
                  <bgColor theme="0" tint="-0.14996795556505021"/>
                </patternFill>
              </fill>
            </x14:dxf>
          </x14:cfRule>
          <xm:sqref>B785:B786</xm:sqref>
        </x14:conditionalFormatting>
        <x14:conditionalFormatting xmlns:xm="http://schemas.microsoft.com/office/excel/2006/main">
          <x14:cfRule type="expression" priority="177" stopIfTrue="1" id="{507C418B-82C0-4FD4-90D9-87E915A683D7}">
            <xm:f>$N785=Master!$H$65</xm:f>
            <x14:dxf>
              <fill>
                <patternFill>
                  <bgColor theme="0" tint="-0.14996795556505021"/>
                </patternFill>
              </fill>
            </x14:dxf>
          </x14:cfRule>
          <xm:sqref>C785:D785</xm:sqref>
        </x14:conditionalFormatting>
        <x14:conditionalFormatting xmlns:xm="http://schemas.microsoft.com/office/excel/2006/main">
          <x14:cfRule type="expression" priority="176" stopIfTrue="1" id="{5597C4FE-3150-4A28-B20C-3DACB68AE12D}">
            <xm:f>$N780=Master!$H$65</xm:f>
            <x14:dxf>
              <fill>
                <patternFill>
                  <bgColor theme="0" tint="-0.14996795556505021"/>
                </patternFill>
              </fill>
            </x14:dxf>
          </x14:cfRule>
          <xm:sqref>B780:B781</xm:sqref>
        </x14:conditionalFormatting>
        <x14:conditionalFormatting xmlns:xm="http://schemas.microsoft.com/office/excel/2006/main">
          <x14:cfRule type="expression" priority="175" stopIfTrue="1" id="{AB8E3C84-6745-4BC0-875E-47A39717C3F1}">
            <xm:f>$N780=Master!$H$65</xm:f>
            <x14:dxf>
              <fill>
                <patternFill>
                  <bgColor theme="0" tint="-0.14996795556505021"/>
                </patternFill>
              </fill>
            </x14:dxf>
          </x14:cfRule>
          <xm:sqref>C780:D780</xm:sqref>
        </x14:conditionalFormatting>
        <x14:conditionalFormatting xmlns:xm="http://schemas.microsoft.com/office/excel/2006/main">
          <x14:cfRule type="expression" priority="174" stopIfTrue="1" id="{0B06445F-C772-4CDE-96BA-E6EA6AE63BCF}">
            <xm:f>$N775=Master!$H$65</xm:f>
            <x14:dxf>
              <fill>
                <patternFill>
                  <bgColor theme="0" tint="-0.14996795556505021"/>
                </patternFill>
              </fill>
            </x14:dxf>
          </x14:cfRule>
          <xm:sqref>B775:B776</xm:sqref>
        </x14:conditionalFormatting>
        <x14:conditionalFormatting xmlns:xm="http://schemas.microsoft.com/office/excel/2006/main">
          <x14:cfRule type="expression" priority="173" stopIfTrue="1" id="{4F026AFD-FB35-4999-A24D-AC96AC3410A4}">
            <xm:f>$N775=Master!$H$65</xm:f>
            <x14:dxf>
              <fill>
                <patternFill>
                  <bgColor theme="0" tint="-0.14996795556505021"/>
                </patternFill>
              </fill>
            </x14:dxf>
          </x14:cfRule>
          <xm:sqref>C775:D775</xm:sqref>
        </x14:conditionalFormatting>
        <x14:conditionalFormatting xmlns:xm="http://schemas.microsoft.com/office/excel/2006/main">
          <x14:cfRule type="expression" priority="172" stopIfTrue="1" id="{F0F56526-4919-4EDF-A45B-EEB260FE94CF}">
            <xm:f>$N770=Master!$H$65</xm:f>
            <x14:dxf>
              <fill>
                <patternFill>
                  <bgColor theme="0" tint="-0.14996795556505021"/>
                </patternFill>
              </fill>
            </x14:dxf>
          </x14:cfRule>
          <xm:sqref>B770:B771</xm:sqref>
        </x14:conditionalFormatting>
        <x14:conditionalFormatting xmlns:xm="http://schemas.microsoft.com/office/excel/2006/main">
          <x14:cfRule type="expression" priority="171" stopIfTrue="1" id="{250D1071-F080-44FF-BAE3-A3695DDA1861}">
            <xm:f>$N770=Master!$H$65</xm:f>
            <x14:dxf>
              <fill>
                <patternFill>
                  <bgColor theme="0" tint="-0.14996795556505021"/>
                </patternFill>
              </fill>
            </x14:dxf>
          </x14:cfRule>
          <xm:sqref>C770:D770</xm:sqref>
        </x14:conditionalFormatting>
        <x14:conditionalFormatting xmlns:xm="http://schemas.microsoft.com/office/excel/2006/main">
          <x14:cfRule type="expression" priority="170" stopIfTrue="1" id="{5794026C-144C-4431-A4B7-B320859640BD}">
            <xm:f>$N765=Master!$H$65</xm:f>
            <x14:dxf>
              <fill>
                <patternFill>
                  <bgColor theme="0" tint="-0.14996795556505021"/>
                </patternFill>
              </fill>
            </x14:dxf>
          </x14:cfRule>
          <xm:sqref>B765:B766</xm:sqref>
        </x14:conditionalFormatting>
        <x14:conditionalFormatting xmlns:xm="http://schemas.microsoft.com/office/excel/2006/main">
          <x14:cfRule type="expression" priority="169" stopIfTrue="1" id="{767068C7-AA00-454D-8F2F-0E8BEF46D02C}">
            <xm:f>$N765=Master!$H$65</xm:f>
            <x14:dxf>
              <fill>
                <patternFill>
                  <bgColor theme="0" tint="-0.14996795556505021"/>
                </patternFill>
              </fill>
            </x14:dxf>
          </x14:cfRule>
          <xm:sqref>C765:D765</xm:sqref>
        </x14:conditionalFormatting>
        <x14:conditionalFormatting xmlns:xm="http://schemas.microsoft.com/office/excel/2006/main">
          <x14:cfRule type="expression" priority="168" stopIfTrue="1" id="{BCD1A4BA-DFB6-4EBB-BCBA-D29811283C05}">
            <xm:f>$N760=Master!$H$65</xm:f>
            <x14:dxf>
              <fill>
                <patternFill>
                  <bgColor theme="0" tint="-0.14996795556505021"/>
                </patternFill>
              </fill>
            </x14:dxf>
          </x14:cfRule>
          <xm:sqref>B760:B761</xm:sqref>
        </x14:conditionalFormatting>
        <x14:conditionalFormatting xmlns:xm="http://schemas.microsoft.com/office/excel/2006/main">
          <x14:cfRule type="expression" priority="167" stopIfTrue="1" id="{8E0126A4-0A35-4308-97DF-E599942DA727}">
            <xm:f>$N760=Master!$H$65</xm:f>
            <x14:dxf>
              <fill>
                <patternFill>
                  <bgColor theme="0" tint="-0.14996795556505021"/>
                </patternFill>
              </fill>
            </x14:dxf>
          </x14:cfRule>
          <xm:sqref>C760:D760</xm:sqref>
        </x14:conditionalFormatting>
        <x14:conditionalFormatting xmlns:xm="http://schemas.microsoft.com/office/excel/2006/main">
          <x14:cfRule type="expression" priority="166" stopIfTrue="1" id="{DE39FF27-7E21-4D0F-9D19-BB13D9161196}">
            <xm:f>$N755=Master!$H$65</xm:f>
            <x14:dxf>
              <fill>
                <patternFill>
                  <bgColor theme="0" tint="-0.14996795556505021"/>
                </patternFill>
              </fill>
            </x14:dxf>
          </x14:cfRule>
          <xm:sqref>B755:B756</xm:sqref>
        </x14:conditionalFormatting>
        <x14:conditionalFormatting xmlns:xm="http://schemas.microsoft.com/office/excel/2006/main">
          <x14:cfRule type="expression" priority="165" stopIfTrue="1" id="{932A44B7-CBBC-4E5C-8DD3-EB5C3612974C}">
            <xm:f>$N755=Master!$H$65</xm:f>
            <x14:dxf>
              <fill>
                <patternFill>
                  <bgColor theme="0" tint="-0.14996795556505021"/>
                </patternFill>
              </fill>
            </x14:dxf>
          </x14:cfRule>
          <xm:sqref>C755:D755</xm:sqref>
        </x14:conditionalFormatting>
        <x14:conditionalFormatting xmlns:xm="http://schemas.microsoft.com/office/excel/2006/main">
          <x14:cfRule type="expression" priority="164" stopIfTrue="1" id="{6AF728FA-6935-4AC3-B1CB-DC556E9611EE}">
            <xm:f>$N750=Master!$H$65</xm:f>
            <x14:dxf>
              <fill>
                <patternFill>
                  <bgColor theme="0" tint="-0.14996795556505021"/>
                </patternFill>
              </fill>
            </x14:dxf>
          </x14:cfRule>
          <xm:sqref>B750:B751</xm:sqref>
        </x14:conditionalFormatting>
        <x14:conditionalFormatting xmlns:xm="http://schemas.microsoft.com/office/excel/2006/main">
          <x14:cfRule type="expression" priority="163" stopIfTrue="1" id="{977A71EB-3E25-4884-92E7-A05052F35E37}">
            <xm:f>$N750=Master!$H$65</xm:f>
            <x14:dxf>
              <fill>
                <patternFill>
                  <bgColor theme="0" tint="-0.14996795556505021"/>
                </patternFill>
              </fill>
            </x14:dxf>
          </x14:cfRule>
          <xm:sqref>C750:D750</xm:sqref>
        </x14:conditionalFormatting>
        <x14:conditionalFormatting xmlns:xm="http://schemas.microsoft.com/office/excel/2006/main">
          <x14:cfRule type="expression" priority="162" stopIfTrue="1" id="{6037C628-F27C-48A5-BB98-9B2C18B45F61}">
            <xm:f>$N745=Master!$H$65</xm:f>
            <x14:dxf>
              <fill>
                <patternFill>
                  <bgColor theme="0" tint="-0.14996795556505021"/>
                </patternFill>
              </fill>
            </x14:dxf>
          </x14:cfRule>
          <xm:sqref>B745:B746</xm:sqref>
        </x14:conditionalFormatting>
        <x14:conditionalFormatting xmlns:xm="http://schemas.microsoft.com/office/excel/2006/main">
          <x14:cfRule type="expression" priority="161" stopIfTrue="1" id="{381419B7-844B-4FD5-B910-63DB7ED04104}">
            <xm:f>$N745=Master!$H$65</xm:f>
            <x14:dxf>
              <fill>
                <patternFill>
                  <bgColor theme="0" tint="-0.14996795556505021"/>
                </patternFill>
              </fill>
            </x14:dxf>
          </x14:cfRule>
          <xm:sqref>C745:D745</xm:sqref>
        </x14:conditionalFormatting>
        <x14:conditionalFormatting xmlns:xm="http://schemas.microsoft.com/office/excel/2006/main">
          <x14:cfRule type="expression" priority="160" stopIfTrue="1" id="{CAFC783B-5190-42C6-AF31-78E6565682B5}">
            <xm:f>$N740=Master!$H$65</xm:f>
            <x14:dxf>
              <fill>
                <patternFill>
                  <bgColor theme="0" tint="-0.14996795556505021"/>
                </patternFill>
              </fill>
            </x14:dxf>
          </x14:cfRule>
          <xm:sqref>B740:B741</xm:sqref>
        </x14:conditionalFormatting>
        <x14:conditionalFormatting xmlns:xm="http://schemas.microsoft.com/office/excel/2006/main">
          <x14:cfRule type="expression" priority="159" stopIfTrue="1" id="{177CC41B-E97C-4442-998D-45D9A920BBA6}">
            <xm:f>$N740=Master!$H$65</xm:f>
            <x14:dxf>
              <fill>
                <patternFill>
                  <bgColor theme="0" tint="-0.14996795556505021"/>
                </patternFill>
              </fill>
            </x14:dxf>
          </x14:cfRule>
          <xm:sqref>C740:D740</xm:sqref>
        </x14:conditionalFormatting>
        <x14:conditionalFormatting xmlns:xm="http://schemas.microsoft.com/office/excel/2006/main">
          <x14:cfRule type="expression" priority="158" stopIfTrue="1" id="{F93A691B-655F-4D7B-B3ED-0CB99BE262F9}">
            <xm:f>$N735=Master!$H$65</xm:f>
            <x14:dxf>
              <fill>
                <patternFill>
                  <bgColor theme="0" tint="-0.14996795556505021"/>
                </patternFill>
              </fill>
            </x14:dxf>
          </x14:cfRule>
          <xm:sqref>B735:B736</xm:sqref>
        </x14:conditionalFormatting>
        <x14:conditionalFormatting xmlns:xm="http://schemas.microsoft.com/office/excel/2006/main">
          <x14:cfRule type="expression" priority="157" stopIfTrue="1" id="{C1EFB8CF-8B66-4BBD-81DC-523C1BB5063F}">
            <xm:f>$N735=Master!$H$65</xm:f>
            <x14:dxf>
              <fill>
                <patternFill>
                  <bgColor theme="0" tint="-0.14996795556505021"/>
                </patternFill>
              </fill>
            </x14:dxf>
          </x14:cfRule>
          <xm:sqref>C735:D735</xm:sqref>
        </x14:conditionalFormatting>
        <x14:conditionalFormatting xmlns:xm="http://schemas.microsoft.com/office/excel/2006/main">
          <x14:cfRule type="expression" priority="156" stopIfTrue="1" id="{56DF5452-B0B5-479F-923F-5422A4CA660E}">
            <xm:f>$N730=Master!$H$65</xm:f>
            <x14:dxf>
              <fill>
                <patternFill>
                  <bgColor theme="0" tint="-0.14996795556505021"/>
                </patternFill>
              </fill>
            </x14:dxf>
          </x14:cfRule>
          <xm:sqref>B730:B731</xm:sqref>
        </x14:conditionalFormatting>
        <x14:conditionalFormatting xmlns:xm="http://schemas.microsoft.com/office/excel/2006/main">
          <x14:cfRule type="expression" priority="155" stopIfTrue="1" id="{CF390D10-8B5C-4A96-8811-C61F5061B39F}">
            <xm:f>$N730=Master!$H$65</xm:f>
            <x14:dxf>
              <fill>
                <patternFill>
                  <bgColor theme="0" tint="-0.14996795556505021"/>
                </patternFill>
              </fill>
            </x14:dxf>
          </x14:cfRule>
          <xm:sqref>C730:D730</xm:sqref>
        </x14:conditionalFormatting>
        <x14:conditionalFormatting xmlns:xm="http://schemas.microsoft.com/office/excel/2006/main">
          <x14:cfRule type="expression" priority="154" stopIfTrue="1" id="{0BFEE05E-2E37-49B2-A6B7-33D1B8B3F395}">
            <xm:f>$N725=Master!$H$65</xm:f>
            <x14:dxf>
              <fill>
                <patternFill>
                  <bgColor theme="0" tint="-0.14996795556505021"/>
                </patternFill>
              </fill>
            </x14:dxf>
          </x14:cfRule>
          <xm:sqref>B725:B726</xm:sqref>
        </x14:conditionalFormatting>
        <x14:conditionalFormatting xmlns:xm="http://schemas.microsoft.com/office/excel/2006/main">
          <x14:cfRule type="expression" priority="153" stopIfTrue="1" id="{C7633B9F-30CD-4F04-8216-E56BF3516EB3}">
            <xm:f>$N725=Master!$H$65</xm:f>
            <x14:dxf>
              <fill>
                <patternFill>
                  <bgColor theme="0" tint="-0.14996795556505021"/>
                </patternFill>
              </fill>
            </x14:dxf>
          </x14:cfRule>
          <xm:sqref>C725:D725</xm:sqref>
        </x14:conditionalFormatting>
        <x14:conditionalFormatting xmlns:xm="http://schemas.microsoft.com/office/excel/2006/main">
          <x14:cfRule type="expression" priority="152" stopIfTrue="1" id="{C038FEA2-E9B9-433B-994E-6FF987DD2EEE}">
            <xm:f>$N720=Master!$H$65</xm:f>
            <x14:dxf>
              <fill>
                <patternFill>
                  <bgColor theme="0" tint="-0.14996795556505021"/>
                </patternFill>
              </fill>
            </x14:dxf>
          </x14:cfRule>
          <xm:sqref>B720:B721</xm:sqref>
        </x14:conditionalFormatting>
        <x14:conditionalFormatting xmlns:xm="http://schemas.microsoft.com/office/excel/2006/main">
          <x14:cfRule type="expression" priority="151" stopIfTrue="1" id="{DAFC3CFB-5C4D-40DF-8993-2F7E33FBD019}">
            <xm:f>$N720=Master!$H$65</xm:f>
            <x14:dxf>
              <fill>
                <patternFill>
                  <bgColor theme="0" tint="-0.14996795556505021"/>
                </patternFill>
              </fill>
            </x14:dxf>
          </x14:cfRule>
          <xm:sqref>C720:D720</xm:sqref>
        </x14:conditionalFormatting>
        <x14:conditionalFormatting xmlns:xm="http://schemas.microsoft.com/office/excel/2006/main">
          <x14:cfRule type="expression" priority="150" stopIfTrue="1" id="{21DEA203-A82C-453B-BFC4-FA969626336E}">
            <xm:f>$N715=Master!$H$65</xm:f>
            <x14:dxf>
              <fill>
                <patternFill>
                  <bgColor theme="0" tint="-0.14996795556505021"/>
                </patternFill>
              </fill>
            </x14:dxf>
          </x14:cfRule>
          <xm:sqref>B715:B716</xm:sqref>
        </x14:conditionalFormatting>
        <x14:conditionalFormatting xmlns:xm="http://schemas.microsoft.com/office/excel/2006/main">
          <x14:cfRule type="expression" priority="149" stopIfTrue="1" id="{9ECB1A19-5EB6-40BD-9642-FCFE6DB06469}">
            <xm:f>$N715=Master!$H$65</xm:f>
            <x14:dxf>
              <fill>
                <patternFill>
                  <bgColor theme="0" tint="-0.14996795556505021"/>
                </patternFill>
              </fill>
            </x14:dxf>
          </x14:cfRule>
          <xm:sqref>C715:D715</xm:sqref>
        </x14:conditionalFormatting>
        <x14:conditionalFormatting xmlns:xm="http://schemas.microsoft.com/office/excel/2006/main">
          <x14:cfRule type="expression" priority="148" stopIfTrue="1" id="{425E5F6C-E1A0-403A-A3FD-BD6537786206}">
            <xm:f>$N710=Master!$H$65</xm:f>
            <x14:dxf>
              <fill>
                <patternFill>
                  <bgColor theme="0" tint="-0.14996795556505021"/>
                </patternFill>
              </fill>
            </x14:dxf>
          </x14:cfRule>
          <xm:sqref>B710:B711</xm:sqref>
        </x14:conditionalFormatting>
        <x14:conditionalFormatting xmlns:xm="http://schemas.microsoft.com/office/excel/2006/main">
          <x14:cfRule type="expression" priority="147" stopIfTrue="1" id="{6756E3A6-21B4-44FF-991D-BED7A3D2801F}">
            <xm:f>$N710=Master!$H$65</xm:f>
            <x14:dxf>
              <fill>
                <patternFill>
                  <bgColor theme="0" tint="-0.14996795556505021"/>
                </patternFill>
              </fill>
            </x14:dxf>
          </x14:cfRule>
          <xm:sqref>C710:D710</xm:sqref>
        </x14:conditionalFormatting>
        <x14:conditionalFormatting xmlns:xm="http://schemas.microsoft.com/office/excel/2006/main">
          <x14:cfRule type="expression" priority="146" stopIfTrue="1" id="{C1CF5ECB-EAC9-42E0-A4BE-E5BDB35F2A3B}">
            <xm:f>$N705=Master!$H$65</xm:f>
            <x14:dxf>
              <fill>
                <patternFill>
                  <bgColor theme="0" tint="-0.14996795556505021"/>
                </patternFill>
              </fill>
            </x14:dxf>
          </x14:cfRule>
          <xm:sqref>B705:B706</xm:sqref>
        </x14:conditionalFormatting>
        <x14:conditionalFormatting xmlns:xm="http://schemas.microsoft.com/office/excel/2006/main">
          <x14:cfRule type="expression" priority="145" stopIfTrue="1" id="{EE80D272-D716-4133-A338-CEE25677840E}">
            <xm:f>$N705=Master!$H$65</xm:f>
            <x14:dxf>
              <fill>
                <patternFill>
                  <bgColor theme="0" tint="-0.14996795556505021"/>
                </patternFill>
              </fill>
            </x14:dxf>
          </x14:cfRule>
          <xm:sqref>C705:D705</xm:sqref>
        </x14:conditionalFormatting>
        <x14:conditionalFormatting xmlns:xm="http://schemas.microsoft.com/office/excel/2006/main">
          <x14:cfRule type="expression" priority="144" stopIfTrue="1" id="{18AB16E2-C950-4F6A-9CFA-8A31D7E41C66}">
            <xm:f>$N700=Master!$H$65</xm:f>
            <x14:dxf>
              <fill>
                <patternFill>
                  <bgColor theme="0" tint="-0.14996795556505021"/>
                </patternFill>
              </fill>
            </x14:dxf>
          </x14:cfRule>
          <xm:sqref>B700:B701</xm:sqref>
        </x14:conditionalFormatting>
        <x14:conditionalFormatting xmlns:xm="http://schemas.microsoft.com/office/excel/2006/main">
          <x14:cfRule type="expression" priority="143" stopIfTrue="1" id="{5BC7598E-56D4-4C3F-888A-680D9AF671AC}">
            <xm:f>$N700=Master!$H$65</xm:f>
            <x14:dxf>
              <fill>
                <patternFill>
                  <bgColor theme="0" tint="-0.14996795556505021"/>
                </patternFill>
              </fill>
            </x14:dxf>
          </x14:cfRule>
          <xm:sqref>C700:D700</xm:sqref>
        </x14:conditionalFormatting>
        <x14:conditionalFormatting xmlns:xm="http://schemas.microsoft.com/office/excel/2006/main">
          <x14:cfRule type="expression" priority="142" stopIfTrue="1" id="{693F329D-DDD8-47FB-87D3-6627DB053F6C}">
            <xm:f>$N695=Master!$H$65</xm:f>
            <x14:dxf>
              <fill>
                <patternFill>
                  <bgColor theme="0" tint="-0.14996795556505021"/>
                </patternFill>
              </fill>
            </x14:dxf>
          </x14:cfRule>
          <xm:sqref>B695:B696</xm:sqref>
        </x14:conditionalFormatting>
        <x14:conditionalFormatting xmlns:xm="http://schemas.microsoft.com/office/excel/2006/main">
          <x14:cfRule type="expression" priority="141" stopIfTrue="1" id="{A7B012CA-ED1E-4A37-8F11-0A02C3557D80}">
            <xm:f>$N695=Master!$H$65</xm:f>
            <x14:dxf>
              <fill>
                <patternFill>
                  <bgColor theme="0" tint="-0.14996795556505021"/>
                </patternFill>
              </fill>
            </x14:dxf>
          </x14:cfRule>
          <xm:sqref>C695:D695</xm:sqref>
        </x14:conditionalFormatting>
        <x14:conditionalFormatting xmlns:xm="http://schemas.microsoft.com/office/excel/2006/main">
          <x14:cfRule type="expression" priority="140" stopIfTrue="1" id="{5738F466-EE8B-4DE3-889B-006645189FE4}">
            <xm:f>$N690=Master!$H$65</xm:f>
            <x14:dxf>
              <fill>
                <patternFill>
                  <bgColor theme="0" tint="-0.14996795556505021"/>
                </patternFill>
              </fill>
            </x14:dxf>
          </x14:cfRule>
          <xm:sqref>B690:B691</xm:sqref>
        </x14:conditionalFormatting>
        <x14:conditionalFormatting xmlns:xm="http://schemas.microsoft.com/office/excel/2006/main">
          <x14:cfRule type="expression" priority="139" stopIfTrue="1" id="{092AE550-6F1B-48CA-B0D2-0DCBDE2D2118}">
            <xm:f>$N690=Master!$H$65</xm:f>
            <x14:dxf>
              <fill>
                <patternFill>
                  <bgColor theme="0" tint="-0.14996795556505021"/>
                </patternFill>
              </fill>
            </x14:dxf>
          </x14:cfRule>
          <xm:sqref>C690:D690</xm:sqref>
        </x14:conditionalFormatting>
        <x14:conditionalFormatting xmlns:xm="http://schemas.microsoft.com/office/excel/2006/main">
          <x14:cfRule type="expression" priority="138" stopIfTrue="1" id="{B8A292BF-FF0B-4A0B-9E9D-C17F4F5F5E07}">
            <xm:f>$N685=Master!$H$65</xm:f>
            <x14:dxf>
              <fill>
                <patternFill>
                  <bgColor theme="0" tint="-0.14996795556505021"/>
                </patternFill>
              </fill>
            </x14:dxf>
          </x14:cfRule>
          <xm:sqref>B685:B686</xm:sqref>
        </x14:conditionalFormatting>
        <x14:conditionalFormatting xmlns:xm="http://schemas.microsoft.com/office/excel/2006/main">
          <x14:cfRule type="expression" priority="137" stopIfTrue="1" id="{1B1CD2AA-E8C3-4DF0-A2C8-CCAD484033C1}">
            <xm:f>$N685=Master!$H$65</xm:f>
            <x14:dxf>
              <fill>
                <patternFill>
                  <bgColor theme="0" tint="-0.14996795556505021"/>
                </patternFill>
              </fill>
            </x14:dxf>
          </x14:cfRule>
          <xm:sqref>C685:D685</xm:sqref>
        </x14:conditionalFormatting>
        <x14:conditionalFormatting xmlns:xm="http://schemas.microsoft.com/office/excel/2006/main">
          <x14:cfRule type="expression" priority="136" stopIfTrue="1" id="{563C58B2-F691-4757-9388-F16D09602AE3}">
            <xm:f>$N680=Master!$H$65</xm:f>
            <x14:dxf>
              <fill>
                <patternFill>
                  <bgColor theme="0" tint="-0.14996795556505021"/>
                </patternFill>
              </fill>
            </x14:dxf>
          </x14:cfRule>
          <xm:sqref>B680:B681</xm:sqref>
        </x14:conditionalFormatting>
        <x14:conditionalFormatting xmlns:xm="http://schemas.microsoft.com/office/excel/2006/main">
          <x14:cfRule type="expression" priority="135" stopIfTrue="1" id="{A83F7656-4C63-4516-9C28-4433B40418C3}">
            <xm:f>$N680=Master!$H$65</xm:f>
            <x14:dxf>
              <fill>
                <patternFill>
                  <bgColor theme="0" tint="-0.14996795556505021"/>
                </patternFill>
              </fill>
            </x14:dxf>
          </x14:cfRule>
          <xm:sqref>C680:D680</xm:sqref>
        </x14:conditionalFormatting>
        <x14:conditionalFormatting xmlns:xm="http://schemas.microsoft.com/office/excel/2006/main">
          <x14:cfRule type="expression" priority="134" stopIfTrue="1" id="{03A316BC-60CE-443F-A338-77A56FEABD51}">
            <xm:f>$N675=Master!$H$65</xm:f>
            <x14:dxf>
              <fill>
                <patternFill>
                  <bgColor theme="0" tint="-0.14996795556505021"/>
                </patternFill>
              </fill>
            </x14:dxf>
          </x14:cfRule>
          <xm:sqref>B675:B676</xm:sqref>
        </x14:conditionalFormatting>
        <x14:conditionalFormatting xmlns:xm="http://schemas.microsoft.com/office/excel/2006/main">
          <x14:cfRule type="expression" priority="133" stopIfTrue="1" id="{00C7ACC9-70FF-47DA-8880-D5BE890389CA}">
            <xm:f>$N675=Master!$H$65</xm:f>
            <x14:dxf>
              <fill>
                <patternFill>
                  <bgColor theme="0" tint="-0.14996795556505021"/>
                </patternFill>
              </fill>
            </x14:dxf>
          </x14:cfRule>
          <xm:sqref>C675:D675</xm:sqref>
        </x14:conditionalFormatting>
        <x14:conditionalFormatting xmlns:xm="http://schemas.microsoft.com/office/excel/2006/main">
          <x14:cfRule type="expression" priority="132" stopIfTrue="1" id="{B45167C6-E1AF-4220-ABF2-269F5665C65E}">
            <xm:f>$N670=Master!$H$65</xm:f>
            <x14:dxf>
              <fill>
                <patternFill>
                  <bgColor theme="0" tint="-0.14996795556505021"/>
                </patternFill>
              </fill>
            </x14:dxf>
          </x14:cfRule>
          <xm:sqref>B670:B671</xm:sqref>
        </x14:conditionalFormatting>
        <x14:conditionalFormatting xmlns:xm="http://schemas.microsoft.com/office/excel/2006/main">
          <x14:cfRule type="expression" priority="131" stopIfTrue="1" id="{4ECE2651-0F16-457D-91B9-E63538499064}">
            <xm:f>$N670=Master!$H$65</xm:f>
            <x14:dxf>
              <fill>
                <patternFill>
                  <bgColor theme="0" tint="-0.14996795556505021"/>
                </patternFill>
              </fill>
            </x14:dxf>
          </x14:cfRule>
          <xm:sqref>C670:D670</xm:sqref>
        </x14:conditionalFormatting>
        <x14:conditionalFormatting xmlns:xm="http://schemas.microsoft.com/office/excel/2006/main">
          <x14:cfRule type="expression" priority="130" stopIfTrue="1" id="{BFC3D3F2-6848-436A-84FD-6D0CC7396ED2}">
            <xm:f>$N665=Master!$H$65</xm:f>
            <x14:dxf>
              <fill>
                <patternFill>
                  <bgColor theme="0" tint="-0.14996795556505021"/>
                </patternFill>
              </fill>
            </x14:dxf>
          </x14:cfRule>
          <xm:sqref>B665:B666</xm:sqref>
        </x14:conditionalFormatting>
        <x14:conditionalFormatting xmlns:xm="http://schemas.microsoft.com/office/excel/2006/main">
          <x14:cfRule type="expression" priority="129" stopIfTrue="1" id="{09953960-3FEB-4D38-86E5-8F44F6E76801}">
            <xm:f>$N665=Master!$H$65</xm:f>
            <x14:dxf>
              <fill>
                <patternFill>
                  <bgColor theme="0" tint="-0.14996795556505021"/>
                </patternFill>
              </fill>
            </x14:dxf>
          </x14:cfRule>
          <xm:sqref>C665:D665</xm:sqref>
        </x14:conditionalFormatting>
        <x14:conditionalFormatting xmlns:xm="http://schemas.microsoft.com/office/excel/2006/main">
          <x14:cfRule type="expression" priority="128" stopIfTrue="1" id="{F2AE8354-80DB-4C86-A3AF-64C717FF9EDD}">
            <xm:f>$N660=Master!$H$65</xm:f>
            <x14:dxf>
              <fill>
                <patternFill>
                  <bgColor theme="0" tint="-0.14996795556505021"/>
                </patternFill>
              </fill>
            </x14:dxf>
          </x14:cfRule>
          <xm:sqref>B660:B661</xm:sqref>
        </x14:conditionalFormatting>
        <x14:conditionalFormatting xmlns:xm="http://schemas.microsoft.com/office/excel/2006/main">
          <x14:cfRule type="expression" priority="127" stopIfTrue="1" id="{12F29F4E-3DA4-49AB-BB19-ACB79DACF5AC}">
            <xm:f>$N660=Master!$H$65</xm:f>
            <x14:dxf>
              <fill>
                <patternFill>
                  <bgColor theme="0" tint="-0.14996795556505021"/>
                </patternFill>
              </fill>
            </x14:dxf>
          </x14:cfRule>
          <xm:sqref>C660:D660</xm:sqref>
        </x14:conditionalFormatting>
        <x14:conditionalFormatting xmlns:xm="http://schemas.microsoft.com/office/excel/2006/main">
          <x14:cfRule type="expression" priority="126" stopIfTrue="1" id="{84344FA3-B3F9-4CFF-AED7-15AF88EC6164}">
            <xm:f>$N655=Master!$H$65</xm:f>
            <x14:dxf>
              <fill>
                <patternFill>
                  <bgColor theme="0" tint="-0.14996795556505021"/>
                </patternFill>
              </fill>
            </x14:dxf>
          </x14:cfRule>
          <xm:sqref>B655:B656</xm:sqref>
        </x14:conditionalFormatting>
        <x14:conditionalFormatting xmlns:xm="http://schemas.microsoft.com/office/excel/2006/main">
          <x14:cfRule type="expression" priority="125" stopIfTrue="1" id="{D9E69251-5353-40A3-A49D-943805FF372B}">
            <xm:f>$N655=Master!$H$65</xm:f>
            <x14:dxf>
              <fill>
                <patternFill>
                  <bgColor theme="0" tint="-0.14996795556505021"/>
                </patternFill>
              </fill>
            </x14:dxf>
          </x14:cfRule>
          <xm:sqref>C655:D655</xm:sqref>
        </x14:conditionalFormatting>
        <x14:conditionalFormatting xmlns:xm="http://schemas.microsoft.com/office/excel/2006/main">
          <x14:cfRule type="expression" priority="124" stopIfTrue="1" id="{5F465487-0A6D-4D3B-9260-4B773922125E}">
            <xm:f>$N650=Master!$H$65</xm:f>
            <x14:dxf>
              <fill>
                <patternFill>
                  <bgColor theme="0" tint="-0.14996795556505021"/>
                </patternFill>
              </fill>
            </x14:dxf>
          </x14:cfRule>
          <xm:sqref>B650:B651</xm:sqref>
        </x14:conditionalFormatting>
        <x14:conditionalFormatting xmlns:xm="http://schemas.microsoft.com/office/excel/2006/main">
          <x14:cfRule type="expression" priority="123" stopIfTrue="1" id="{7CB552AC-54D1-41F3-B30E-FCEE7F0D60DA}">
            <xm:f>$N650=Master!$H$65</xm:f>
            <x14:dxf>
              <fill>
                <patternFill>
                  <bgColor theme="0" tint="-0.14996795556505021"/>
                </patternFill>
              </fill>
            </x14:dxf>
          </x14:cfRule>
          <xm:sqref>C650:D650</xm:sqref>
        </x14:conditionalFormatting>
        <x14:conditionalFormatting xmlns:xm="http://schemas.microsoft.com/office/excel/2006/main">
          <x14:cfRule type="expression" priority="122" stopIfTrue="1" id="{15CBCEB8-1C29-4F98-A0B3-EFF0DA016A03}">
            <xm:f>$N645=Master!$H$65</xm:f>
            <x14:dxf>
              <fill>
                <patternFill>
                  <bgColor theme="0" tint="-0.14996795556505021"/>
                </patternFill>
              </fill>
            </x14:dxf>
          </x14:cfRule>
          <xm:sqref>B645:B646</xm:sqref>
        </x14:conditionalFormatting>
        <x14:conditionalFormatting xmlns:xm="http://schemas.microsoft.com/office/excel/2006/main">
          <x14:cfRule type="expression" priority="121" stopIfTrue="1" id="{408A9AF5-F35A-4B3B-960F-5EDE5203BC8D}">
            <xm:f>$N645=Master!$H$65</xm:f>
            <x14:dxf>
              <fill>
                <patternFill>
                  <bgColor theme="0" tint="-0.14996795556505021"/>
                </patternFill>
              </fill>
            </x14:dxf>
          </x14:cfRule>
          <xm:sqref>C645:D645</xm:sqref>
        </x14:conditionalFormatting>
        <x14:conditionalFormatting xmlns:xm="http://schemas.microsoft.com/office/excel/2006/main">
          <x14:cfRule type="expression" priority="120" stopIfTrue="1" id="{E6F2FAA5-2F1A-4908-A3BE-7F23C68AD655}">
            <xm:f>$N640=Master!$H$65</xm:f>
            <x14:dxf>
              <fill>
                <patternFill>
                  <bgColor theme="0" tint="-0.14996795556505021"/>
                </patternFill>
              </fill>
            </x14:dxf>
          </x14:cfRule>
          <xm:sqref>B640:B641</xm:sqref>
        </x14:conditionalFormatting>
        <x14:conditionalFormatting xmlns:xm="http://schemas.microsoft.com/office/excel/2006/main">
          <x14:cfRule type="expression" priority="119" stopIfTrue="1" id="{8F8EE351-CEFC-4655-8C74-B366B4C39C47}">
            <xm:f>$N640=Master!$H$65</xm:f>
            <x14:dxf>
              <fill>
                <patternFill>
                  <bgColor theme="0" tint="-0.14996795556505021"/>
                </patternFill>
              </fill>
            </x14:dxf>
          </x14:cfRule>
          <xm:sqref>C640:D640</xm:sqref>
        </x14:conditionalFormatting>
        <x14:conditionalFormatting xmlns:xm="http://schemas.microsoft.com/office/excel/2006/main">
          <x14:cfRule type="expression" priority="118" stopIfTrue="1" id="{97551938-FE00-4EBB-AA1D-8B423C803D72}">
            <xm:f>$N635=Master!$H$65</xm:f>
            <x14:dxf>
              <fill>
                <patternFill>
                  <bgColor theme="0" tint="-0.14996795556505021"/>
                </patternFill>
              </fill>
            </x14:dxf>
          </x14:cfRule>
          <xm:sqref>B635:B636</xm:sqref>
        </x14:conditionalFormatting>
        <x14:conditionalFormatting xmlns:xm="http://schemas.microsoft.com/office/excel/2006/main">
          <x14:cfRule type="expression" priority="117" stopIfTrue="1" id="{12F8CEF2-77AF-42FF-A611-8D6BAF65E0E2}">
            <xm:f>$N635=Master!$H$65</xm:f>
            <x14:dxf>
              <fill>
                <patternFill>
                  <bgColor theme="0" tint="-0.14996795556505021"/>
                </patternFill>
              </fill>
            </x14:dxf>
          </x14:cfRule>
          <xm:sqref>C635:D635</xm:sqref>
        </x14:conditionalFormatting>
        <x14:conditionalFormatting xmlns:xm="http://schemas.microsoft.com/office/excel/2006/main">
          <x14:cfRule type="expression" priority="116" stopIfTrue="1" id="{681C955D-8142-4097-9EEE-4E18615C7E2D}">
            <xm:f>$N630=Master!$H$65</xm:f>
            <x14:dxf>
              <fill>
                <patternFill>
                  <bgColor theme="0" tint="-0.14996795556505021"/>
                </patternFill>
              </fill>
            </x14:dxf>
          </x14:cfRule>
          <xm:sqref>B630:B631</xm:sqref>
        </x14:conditionalFormatting>
        <x14:conditionalFormatting xmlns:xm="http://schemas.microsoft.com/office/excel/2006/main">
          <x14:cfRule type="expression" priority="115" stopIfTrue="1" id="{9B6AB156-F188-4A62-9764-2F035C972630}">
            <xm:f>$N630=Master!$H$65</xm:f>
            <x14:dxf>
              <fill>
                <patternFill>
                  <bgColor theme="0" tint="-0.14996795556505021"/>
                </patternFill>
              </fill>
            </x14:dxf>
          </x14:cfRule>
          <xm:sqref>C630:D630</xm:sqref>
        </x14:conditionalFormatting>
        <x14:conditionalFormatting xmlns:xm="http://schemas.microsoft.com/office/excel/2006/main">
          <x14:cfRule type="expression" priority="114" stopIfTrue="1" id="{2FB71503-1F5F-4F15-BCC4-A3057B4AA420}">
            <xm:f>$N625=Master!$H$65</xm:f>
            <x14:dxf>
              <fill>
                <patternFill>
                  <bgColor theme="0" tint="-0.14996795556505021"/>
                </patternFill>
              </fill>
            </x14:dxf>
          </x14:cfRule>
          <xm:sqref>B625:B626</xm:sqref>
        </x14:conditionalFormatting>
        <x14:conditionalFormatting xmlns:xm="http://schemas.microsoft.com/office/excel/2006/main">
          <x14:cfRule type="expression" priority="113" stopIfTrue="1" id="{CC3DDCDF-E082-4A1E-8364-6BEC51BF976B}">
            <xm:f>$N625=Master!$H$65</xm:f>
            <x14:dxf>
              <fill>
                <patternFill>
                  <bgColor theme="0" tint="-0.14996795556505021"/>
                </patternFill>
              </fill>
            </x14:dxf>
          </x14:cfRule>
          <xm:sqref>C625:D625</xm:sqref>
        </x14:conditionalFormatting>
        <x14:conditionalFormatting xmlns:xm="http://schemas.microsoft.com/office/excel/2006/main">
          <x14:cfRule type="expression" priority="112" stopIfTrue="1" id="{0747750B-C95D-40DB-802C-BA1A243B2572}">
            <xm:f>$N620=Master!$H$65</xm:f>
            <x14:dxf>
              <fill>
                <patternFill>
                  <bgColor theme="0" tint="-0.14996795556505021"/>
                </patternFill>
              </fill>
            </x14:dxf>
          </x14:cfRule>
          <xm:sqref>B620:B621</xm:sqref>
        </x14:conditionalFormatting>
        <x14:conditionalFormatting xmlns:xm="http://schemas.microsoft.com/office/excel/2006/main">
          <x14:cfRule type="expression" priority="111" stopIfTrue="1" id="{4C821816-2C32-460B-85B9-173144CC55AD}">
            <xm:f>$N620=Master!$H$65</xm:f>
            <x14:dxf>
              <fill>
                <patternFill>
                  <bgColor theme="0" tint="-0.14996795556505021"/>
                </patternFill>
              </fill>
            </x14:dxf>
          </x14:cfRule>
          <xm:sqref>C620:D620</xm:sqref>
        </x14:conditionalFormatting>
        <x14:conditionalFormatting xmlns:xm="http://schemas.microsoft.com/office/excel/2006/main">
          <x14:cfRule type="expression" priority="110" stopIfTrue="1" id="{049B2B9F-36E8-43A1-9484-4B2BBC67D8EB}">
            <xm:f>$N615=Master!$H$65</xm:f>
            <x14:dxf>
              <fill>
                <patternFill>
                  <bgColor theme="0" tint="-0.14996795556505021"/>
                </patternFill>
              </fill>
            </x14:dxf>
          </x14:cfRule>
          <xm:sqref>B615:B616</xm:sqref>
        </x14:conditionalFormatting>
        <x14:conditionalFormatting xmlns:xm="http://schemas.microsoft.com/office/excel/2006/main">
          <x14:cfRule type="expression" priority="109" stopIfTrue="1" id="{C422CEF9-48A0-41DD-9688-147AA46A757A}">
            <xm:f>$N615=Master!$H$65</xm:f>
            <x14:dxf>
              <fill>
                <patternFill>
                  <bgColor theme="0" tint="-0.14996795556505021"/>
                </patternFill>
              </fill>
            </x14:dxf>
          </x14:cfRule>
          <xm:sqref>C615:D615</xm:sqref>
        </x14:conditionalFormatting>
        <x14:conditionalFormatting xmlns:xm="http://schemas.microsoft.com/office/excel/2006/main">
          <x14:cfRule type="expression" priority="108" stopIfTrue="1" id="{0A44ADB1-8936-4528-8828-54D5487F89CB}">
            <xm:f>$N610=Master!$H$65</xm:f>
            <x14:dxf>
              <fill>
                <patternFill>
                  <bgColor theme="0" tint="-0.14996795556505021"/>
                </patternFill>
              </fill>
            </x14:dxf>
          </x14:cfRule>
          <xm:sqref>B610:B611</xm:sqref>
        </x14:conditionalFormatting>
        <x14:conditionalFormatting xmlns:xm="http://schemas.microsoft.com/office/excel/2006/main">
          <x14:cfRule type="expression" priority="107" stopIfTrue="1" id="{CB54EBAA-7F80-4FAB-8515-8094DCB63F2B}">
            <xm:f>$N610=Master!$H$65</xm:f>
            <x14:dxf>
              <fill>
                <patternFill>
                  <bgColor theme="0" tint="-0.14996795556505021"/>
                </patternFill>
              </fill>
            </x14:dxf>
          </x14:cfRule>
          <xm:sqref>C610:D610</xm:sqref>
        </x14:conditionalFormatting>
        <x14:conditionalFormatting xmlns:xm="http://schemas.microsoft.com/office/excel/2006/main">
          <x14:cfRule type="expression" priority="106" stopIfTrue="1" id="{34199D0A-97B6-4735-B6B3-DE207FA8CAED}">
            <xm:f>$N605=Master!$H$65</xm:f>
            <x14:dxf>
              <fill>
                <patternFill>
                  <bgColor theme="0" tint="-0.14996795556505021"/>
                </patternFill>
              </fill>
            </x14:dxf>
          </x14:cfRule>
          <xm:sqref>B605:B606</xm:sqref>
        </x14:conditionalFormatting>
        <x14:conditionalFormatting xmlns:xm="http://schemas.microsoft.com/office/excel/2006/main">
          <x14:cfRule type="expression" priority="105" stopIfTrue="1" id="{C96807AD-6234-4856-8202-F8509DDE0A20}">
            <xm:f>$N605=Master!$H$65</xm:f>
            <x14:dxf>
              <fill>
                <patternFill>
                  <bgColor theme="0" tint="-0.14996795556505021"/>
                </patternFill>
              </fill>
            </x14:dxf>
          </x14:cfRule>
          <xm:sqref>C605:D605</xm:sqref>
        </x14:conditionalFormatting>
        <x14:conditionalFormatting xmlns:xm="http://schemas.microsoft.com/office/excel/2006/main">
          <x14:cfRule type="expression" priority="104" stopIfTrue="1" id="{54113BAA-D673-46C3-BE47-01990AA13A15}">
            <xm:f>$N600=Master!$H$65</xm:f>
            <x14:dxf>
              <fill>
                <patternFill>
                  <bgColor theme="0" tint="-0.14996795556505021"/>
                </patternFill>
              </fill>
            </x14:dxf>
          </x14:cfRule>
          <xm:sqref>B600:B601</xm:sqref>
        </x14:conditionalFormatting>
        <x14:conditionalFormatting xmlns:xm="http://schemas.microsoft.com/office/excel/2006/main">
          <x14:cfRule type="expression" priority="103" stopIfTrue="1" id="{66B0077F-7AB8-41C9-B1A5-8F9B9E8715B7}">
            <xm:f>$N600=Master!$H$65</xm:f>
            <x14:dxf>
              <fill>
                <patternFill>
                  <bgColor theme="0" tint="-0.14996795556505021"/>
                </patternFill>
              </fill>
            </x14:dxf>
          </x14:cfRule>
          <xm:sqref>C600:D600</xm:sqref>
        </x14:conditionalFormatting>
        <x14:conditionalFormatting xmlns:xm="http://schemas.microsoft.com/office/excel/2006/main">
          <x14:cfRule type="expression" priority="102" stopIfTrue="1" id="{BB69FF24-3E79-4C93-8CE2-FAD067611C59}">
            <xm:f>$N595=Master!$H$65</xm:f>
            <x14:dxf>
              <fill>
                <patternFill>
                  <bgColor theme="0" tint="-0.14996795556505021"/>
                </patternFill>
              </fill>
            </x14:dxf>
          </x14:cfRule>
          <xm:sqref>B595:B596</xm:sqref>
        </x14:conditionalFormatting>
        <x14:conditionalFormatting xmlns:xm="http://schemas.microsoft.com/office/excel/2006/main">
          <x14:cfRule type="expression" priority="101" stopIfTrue="1" id="{B41229AD-F08D-4314-82A1-2203B6E862F9}">
            <xm:f>$N595=Master!$H$65</xm:f>
            <x14:dxf>
              <fill>
                <patternFill>
                  <bgColor theme="0" tint="-0.14996795556505021"/>
                </patternFill>
              </fill>
            </x14:dxf>
          </x14:cfRule>
          <xm:sqref>C595:D595</xm:sqref>
        </x14:conditionalFormatting>
        <x14:conditionalFormatting xmlns:xm="http://schemas.microsoft.com/office/excel/2006/main">
          <x14:cfRule type="expression" priority="100" stopIfTrue="1" id="{29F28F37-D9B1-417B-9ECC-45B699BFD729}">
            <xm:f>$N1026=Master!$H$65</xm:f>
            <x14:dxf>
              <fill>
                <patternFill>
                  <bgColor theme="0" tint="-0.14996795556505021"/>
                </patternFill>
              </fill>
            </x14:dxf>
          </x14:cfRule>
          <xm:sqref>B1026:B1027</xm:sqref>
        </x14:conditionalFormatting>
        <x14:conditionalFormatting xmlns:xm="http://schemas.microsoft.com/office/excel/2006/main">
          <x14:cfRule type="expression" priority="99" stopIfTrue="1" id="{65A156CE-C81C-4DE8-A97A-9B587BF9146A}">
            <xm:f>$N1026=Master!$H$65</xm:f>
            <x14:dxf>
              <fill>
                <patternFill>
                  <bgColor theme="0" tint="-0.14996795556505021"/>
                </patternFill>
              </fill>
            </x14:dxf>
          </x14:cfRule>
          <xm:sqref>C1026:D1026</xm:sqref>
        </x14:conditionalFormatting>
        <x14:conditionalFormatting xmlns:xm="http://schemas.microsoft.com/office/excel/2006/main">
          <x14:cfRule type="expression" priority="98" stopIfTrue="1" id="{F6AC08DD-D354-442E-B421-B0418247A51F}">
            <xm:f>$N1021=Master!$H$65</xm:f>
            <x14:dxf>
              <fill>
                <patternFill>
                  <bgColor theme="0" tint="-0.14996795556505021"/>
                </patternFill>
              </fill>
            </x14:dxf>
          </x14:cfRule>
          <xm:sqref>B1021:B1022</xm:sqref>
        </x14:conditionalFormatting>
        <x14:conditionalFormatting xmlns:xm="http://schemas.microsoft.com/office/excel/2006/main">
          <x14:cfRule type="expression" priority="97" stopIfTrue="1" id="{8E994364-27D8-4C4C-B76E-AB8C55E2C408}">
            <xm:f>$N1021=Master!$H$65</xm:f>
            <x14:dxf>
              <fill>
                <patternFill>
                  <bgColor theme="0" tint="-0.14996795556505021"/>
                </patternFill>
              </fill>
            </x14:dxf>
          </x14:cfRule>
          <xm:sqref>C1021:D1021</xm:sqref>
        </x14:conditionalFormatting>
        <x14:conditionalFormatting xmlns:xm="http://schemas.microsoft.com/office/excel/2006/main">
          <x14:cfRule type="expression" priority="96" stopIfTrue="1" id="{06DC6661-D265-44EE-97CE-ABFCADB7A66F}">
            <xm:f>$N1016=Master!$H$65</xm:f>
            <x14:dxf>
              <fill>
                <patternFill>
                  <bgColor theme="0" tint="-0.14996795556505021"/>
                </patternFill>
              </fill>
            </x14:dxf>
          </x14:cfRule>
          <xm:sqref>B1016:B1017</xm:sqref>
        </x14:conditionalFormatting>
        <x14:conditionalFormatting xmlns:xm="http://schemas.microsoft.com/office/excel/2006/main">
          <x14:cfRule type="expression" priority="95" stopIfTrue="1" id="{66B8EF55-4C07-441D-A3A4-8A0CDA942C45}">
            <xm:f>$N1016=Master!$H$65</xm:f>
            <x14:dxf>
              <fill>
                <patternFill>
                  <bgColor theme="0" tint="-0.14996795556505021"/>
                </patternFill>
              </fill>
            </x14:dxf>
          </x14:cfRule>
          <xm:sqref>C1016:D1016</xm:sqref>
        </x14:conditionalFormatting>
        <x14:conditionalFormatting xmlns:xm="http://schemas.microsoft.com/office/excel/2006/main">
          <x14:cfRule type="expression" priority="94" stopIfTrue="1" id="{7A44CF29-B6F9-46AC-B705-3CD20480E4C4}">
            <xm:f>$N1011=Master!$H$65</xm:f>
            <x14:dxf>
              <fill>
                <patternFill>
                  <bgColor theme="0" tint="-0.14996795556505021"/>
                </patternFill>
              </fill>
            </x14:dxf>
          </x14:cfRule>
          <xm:sqref>B1011:B1012</xm:sqref>
        </x14:conditionalFormatting>
        <x14:conditionalFormatting xmlns:xm="http://schemas.microsoft.com/office/excel/2006/main">
          <x14:cfRule type="expression" priority="93" stopIfTrue="1" id="{0C53F43F-19B4-4412-B57E-E8E70BE22D05}">
            <xm:f>$N1011=Master!$H$65</xm:f>
            <x14:dxf>
              <fill>
                <patternFill>
                  <bgColor theme="0" tint="-0.14996795556505021"/>
                </patternFill>
              </fill>
            </x14:dxf>
          </x14:cfRule>
          <xm:sqref>C1011:D1011</xm:sqref>
        </x14:conditionalFormatting>
        <x14:conditionalFormatting xmlns:xm="http://schemas.microsoft.com/office/excel/2006/main">
          <x14:cfRule type="expression" priority="92" stopIfTrue="1" id="{B3A8F86E-41D3-4601-B5EF-35C588C5F7FF}">
            <xm:f>$N1006=Master!$H$65</xm:f>
            <x14:dxf>
              <fill>
                <patternFill>
                  <bgColor theme="0" tint="-0.14996795556505021"/>
                </patternFill>
              </fill>
            </x14:dxf>
          </x14:cfRule>
          <xm:sqref>B1006:B1007</xm:sqref>
        </x14:conditionalFormatting>
        <x14:conditionalFormatting xmlns:xm="http://schemas.microsoft.com/office/excel/2006/main">
          <x14:cfRule type="expression" priority="91" stopIfTrue="1" id="{F98F4135-E191-4E96-BE10-614EDDB4F30D}">
            <xm:f>$N1006=Master!$H$65</xm:f>
            <x14:dxf>
              <fill>
                <patternFill>
                  <bgColor theme="0" tint="-0.14996795556505021"/>
                </patternFill>
              </fill>
            </x14:dxf>
          </x14:cfRule>
          <xm:sqref>C1006:D1006</xm:sqref>
        </x14:conditionalFormatting>
        <x14:conditionalFormatting xmlns:xm="http://schemas.microsoft.com/office/excel/2006/main">
          <x14:cfRule type="expression" priority="90" stopIfTrue="1" id="{64AA3699-7D6B-4932-B478-F2335E4653EB}">
            <xm:f>$N1001=Master!$H$65</xm:f>
            <x14:dxf>
              <fill>
                <patternFill>
                  <bgColor theme="0" tint="-0.14996795556505021"/>
                </patternFill>
              </fill>
            </x14:dxf>
          </x14:cfRule>
          <xm:sqref>B1001:B1002</xm:sqref>
        </x14:conditionalFormatting>
        <x14:conditionalFormatting xmlns:xm="http://schemas.microsoft.com/office/excel/2006/main">
          <x14:cfRule type="expression" priority="89" stopIfTrue="1" id="{CA32BA88-1537-4F9F-A1A9-D12A11FEC6BD}">
            <xm:f>$N1001=Master!$H$65</xm:f>
            <x14:dxf>
              <fill>
                <patternFill>
                  <bgColor theme="0" tint="-0.14996795556505021"/>
                </patternFill>
              </fill>
            </x14:dxf>
          </x14:cfRule>
          <xm:sqref>C1001:D1001</xm:sqref>
        </x14:conditionalFormatting>
        <x14:conditionalFormatting xmlns:xm="http://schemas.microsoft.com/office/excel/2006/main">
          <x14:cfRule type="expression" priority="88" stopIfTrue="1" id="{DEFBA52B-1A4E-4704-B3DE-2E2F9A6F900C}">
            <xm:f>$N996=Master!$H$65</xm:f>
            <x14:dxf>
              <fill>
                <patternFill>
                  <bgColor theme="0" tint="-0.14996795556505021"/>
                </patternFill>
              </fill>
            </x14:dxf>
          </x14:cfRule>
          <xm:sqref>B996:B997</xm:sqref>
        </x14:conditionalFormatting>
        <x14:conditionalFormatting xmlns:xm="http://schemas.microsoft.com/office/excel/2006/main">
          <x14:cfRule type="expression" priority="87" stopIfTrue="1" id="{E132E416-244C-4DBF-9197-0EC8BDD0E379}">
            <xm:f>$N996=Master!$H$65</xm:f>
            <x14:dxf>
              <fill>
                <patternFill>
                  <bgColor theme="0" tint="-0.14996795556505021"/>
                </patternFill>
              </fill>
            </x14:dxf>
          </x14:cfRule>
          <xm:sqref>C996:D996</xm:sqref>
        </x14:conditionalFormatting>
        <x14:conditionalFormatting xmlns:xm="http://schemas.microsoft.com/office/excel/2006/main">
          <x14:cfRule type="expression" priority="86" stopIfTrue="1" id="{3FACB13A-F7FE-4E37-BA22-76A2B33DFC2F}">
            <xm:f>$N991=Master!$H$65</xm:f>
            <x14:dxf>
              <fill>
                <patternFill>
                  <bgColor theme="0" tint="-0.14996795556505021"/>
                </patternFill>
              </fill>
            </x14:dxf>
          </x14:cfRule>
          <xm:sqref>B991:B992</xm:sqref>
        </x14:conditionalFormatting>
        <x14:conditionalFormatting xmlns:xm="http://schemas.microsoft.com/office/excel/2006/main">
          <x14:cfRule type="expression" priority="85" stopIfTrue="1" id="{33E76901-B719-4A94-B776-71BC011B2C06}">
            <xm:f>$N991=Master!$H$65</xm:f>
            <x14:dxf>
              <fill>
                <patternFill>
                  <bgColor theme="0" tint="-0.14996795556505021"/>
                </patternFill>
              </fill>
            </x14:dxf>
          </x14:cfRule>
          <xm:sqref>C991:D991</xm:sqref>
        </x14:conditionalFormatting>
        <x14:conditionalFormatting xmlns:xm="http://schemas.microsoft.com/office/excel/2006/main">
          <x14:cfRule type="expression" priority="84" stopIfTrue="1" id="{95A4147E-715E-4211-AD93-6E485A973E6F}">
            <xm:f>$N986=Master!$H$65</xm:f>
            <x14:dxf>
              <fill>
                <patternFill>
                  <bgColor theme="0" tint="-0.14996795556505021"/>
                </patternFill>
              </fill>
            </x14:dxf>
          </x14:cfRule>
          <xm:sqref>B986:B987</xm:sqref>
        </x14:conditionalFormatting>
        <x14:conditionalFormatting xmlns:xm="http://schemas.microsoft.com/office/excel/2006/main">
          <x14:cfRule type="expression" priority="83" stopIfTrue="1" id="{49DF4B52-DA9F-452D-A28C-2ACBDD60BA71}">
            <xm:f>$N986=Master!$H$65</xm:f>
            <x14:dxf>
              <fill>
                <patternFill>
                  <bgColor theme="0" tint="-0.14996795556505021"/>
                </patternFill>
              </fill>
            </x14:dxf>
          </x14:cfRule>
          <xm:sqref>C986:D986</xm:sqref>
        </x14:conditionalFormatting>
        <x14:conditionalFormatting xmlns:xm="http://schemas.microsoft.com/office/excel/2006/main">
          <x14:cfRule type="expression" priority="82" stopIfTrue="1" id="{5130C5D2-AF17-4099-A143-26F05DE2565F}">
            <xm:f>$N981=Master!$H$65</xm:f>
            <x14:dxf>
              <fill>
                <patternFill>
                  <bgColor theme="0" tint="-0.14996795556505021"/>
                </patternFill>
              </fill>
            </x14:dxf>
          </x14:cfRule>
          <xm:sqref>B981:B982</xm:sqref>
        </x14:conditionalFormatting>
        <x14:conditionalFormatting xmlns:xm="http://schemas.microsoft.com/office/excel/2006/main">
          <x14:cfRule type="expression" priority="81" stopIfTrue="1" id="{C9BDA714-786E-4148-A389-4E05B1739375}">
            <xm:f>$N981=Master!$H$65</xm:f>
            <x14:dxf>
              <fill>
                <patternFill>
                  <bgColor theme="0" tint="-0.14996795556505021"/>
                </patternFill>
              </fill>
            </x14:dxf>
          </x14:cfRule>
          <xm:sqref>C981:D981</xm:sqref>
        </x14:conditionalFormatting>
        <x14:conditionalFormatting xmlns:xm="http://schemas.microsoft.com/office/excel/2006/main">
          <x14:cfRule type="expression" priority="80" stopIfTrue="1" id="{873282DA-5CB5-444E-9A1B-2B439EFDFB99}">
            <xm:f>$N976=Master!$H$65</xm:f>
            <x14:dxf>
              <fill>
                <patternFill>
                  <bgColor theme="0" tint="-0.14996795556505021"/>
                </patternFill>
              </fill>
            </x14:dxf>
          </x14:cfRule>
          <xm:sqref>B976:B977</xm:sqref>
        </x14:conditionalFormatting>
        <x14:conditionalFormatting xmlns:xm="http://schemas.microsoft.com/office/excel/2006/main">
          <x14:cfRule type="expression" priority="79" stopIfTrue="1" id="{A4BE1EA5-AD8B-4739-9EDF-0684EAA29FA7}">
            <xm:f>$N976=Master!$H$65</xm:f>
            <x14:dxf>
              <fill>
                <patternFill>
                  <bgColor theme="0" tint="-0.14996795556505021"/>
                </patternFill>
              </fill>
            </x14:dxf>
          </x14:cfRule>
          <xm:sqref>C976:D976</xm:sqref>
        </x14:conditionalFormatting>
        <x14:conditionalFormatting xmlns:xm="http://schemas.microsoft.com/office/excel/2006/main">
          <x14:cfRule type="expression" priority="78" stopIfTrue="1" id="{5617DAAA-D441-4CEE-8FEB-CDB37D2DF393}">
            <xm:f>$N971=Master!$H$65</xm:f>
            <x14:dxf>
              <fill>
                <patternFill>
                  <bgColor theme="0" tint="-0.14996795556505021"/>
                </patternFill>
              </fill>
            </x14:dxf>
          </x14:cfRule>
          <xm:sqref>B971:B972</xm:sqref>
        </x14:conditionalFormatting>
        <x14:conditionalFormatting xmlns:xm="http://schemas.microsoft.com/office/excel/2006/main">
          <x14:cfRule type="expression" priority="77" stopIfTrue="1" id="{43AE9FB1-E4F8-46BF-B1AF-311722B8BBE1}">
            <xm:f>$N971=Master!$H$65</xm:f>
            <x14:dxf>
              <fill>
                <patternFill>
                  <bgColor theme="0" tint="-0.14996795556505021"/>
                </patternFill>
              </fill>
            </x14:dxf>
          </x14:cfRule>
          <xm:sqref>C971:D971</xm:sqref>
        </x14:conditionalFormatting>
        <x14:conditionalFormatting xmlns:xm="http://schemas.microsoft.com/office/excel/2006/main">
          <x14:cfRule type="expression" priority="76" stopIfTrue="1" id="{F46B5F21-63F8-421F-B42A-5D3DBD0EF474}">
            <xm:f>$N966=Master!$H$65</xm:f>
            <x14:dxf>
              <fill>
                <patternFill>
                  <bgColor theme="0" tint="-0.14996795556505021"/>
                </patternFill>
              </fill>
            </x14:dxf>
          </x14:cfRule>
          <xm:sqref>B966:B967</xm:sqref>
        </x14:conditionalFormatting>
        <x14:conditionalFormatting xmlns:xm="http://schemas.microsoft.com/office/excel/2006/main">
          <x14:cfRule type="expression" priority="75" stopIfTrue="1" id="{64978DFB-D0EB-44B7-A3D1-BCDD67CF7F69}">
            <xm:f>$N966=Master!$H$65</xm:f>
            <x14:dxf>
              <fill>
                <patternFill>
                  <bgColor theme="0" tint="-0.14996795556505021"/>
                </patternFill>
              </fill>
            </x14:dxf>
          </x14:cfRule>
          <xm:sqref>C966:D966</xm:sqref>
        </x14:conditionalFormatting>
        <x14:conditionalFormatting xmlns:xm="http://schemas.microsoft.com/office/excel/2006/main">
          <x14:cfRule type="expression" priority="74" stopIfTrue="1" id="{08D79960-B469-4454-B91E-DBE42891A5D3}">
            <xm:f>$N961=Master!$H$65</xm:f>
            <x14:dxf>
              <fill>
                <patternFill>
                  <bgColor theme="0" tint="-0.14996795556505021"/>
                </patternFill>
              </fill>
            </x14:dxf>
          </x14:cfRule>
          <xm:sqref>B961:B962</xm:sqref>
        </x14:conditionalFormatting>
        <x14:conditionalFormatting xmlns:xm="http://schemas.microsoft.com/office/excel/2006/main">
          <x14:cfRule type="expression" priority="73" stopIfTrue="1" id="{BD945E65-8BA5-4861-A061-6EF20C50E665}">
            <xm:f>$N961=Master!$H$65</xm:f>
            <x14:dxf>
              <fill>
                <patternFill>
                  <bgColor theme="0" tint="-0.14996795556505021"/>
                </patternFill>
              </fill>
            </x14:dxf>
          </x14:cfRule>
          <xm:sqref>C961:D961</xm:sqref>
        </x14:conditionalFormatting>
        <x14:conditionalFormatting xmlns:xm="http://schemas.microsoft.com/office/excel/2006/main">
          <x14:cfRule type="expression" priority="72" stopIfTrue="1" id="{660A603D-5E17-43AD-8A20-D5FB413C4888}">
            <xm:f>$N956=Master!$H$65</xm:f>
            <x14:dxf>
              <fill>
                <patternFill>
                  <bgColor theme="0" tint="-0.14996795556505021"/>
                </patternFill>
              </fill>
            </x14:dxf>
          </x14:cfRule>
          <xm:sqref>B956:B957</xm:sqref>
        </x14:conditionalFormatting>
        <x14:conditionalFormatting xmlns:xm="http://schemas.microsoft.com/office/excel/2006/main">
          <x14:cfRule type="expression" priority="71" stopIfTrue="1" id="{DA5CE07E-20D1-4791-B96D-978ACF2D56C8}">
            <xm:f>$N956=Master!$H$65</xm:f>
            <x14:dxf>
              <fill>
                <patternFill>
                  <bgColor theme="0" tint="-0.14996795556505021"/>
                </patternFill>
              </fill>
            </x14:dxf>
          </x14:cfRule>
          <xm:sqref>C956:D956</xm:sqref>
        </x14:conditionalFormatting>
        <x14:conditionalFormatting xmlns:xm="http://schemas.microsoft.com/office/excel/2006/main">
          <x14:cfRule type="expression" priority="70" stopIfTrue="1" id="{02146A53-980C-480D-AF61-1D0A60C0F4BA}">
            <xm:f>$N1102=Master!$H$65</xm:f>
            <x14:dxf>
              <fill>
                <patternFill>
                  <bgColor theme="0" tint="-0.14996795556505021"/>
                </patternFill>
              </fill>
            </x14:dxf>
          </x14:cfRule>
          <xm:sqref>B1102:B1103</xm:sqref>
        </x14:conditionalFormatting>
        <x14:conditionalFormatting xmlns:xm="http://schemas.microsoft.com/office/excel/2006/main">
          <x14:cfRule type="expression" priority="69" stopIfTrue="1" id="{0052F88D-CC4B-4375-93B4-DDA0223CB47B}">
            <xm:f>$N1102=Master!$H$65</xm:f>
            <x14:dxf>
              <fill>
                <patternFill>
                  <bgColor theme="0" tint="-0.14996795556505021"/>
                </patternFill>
              </fill>
            </x14:dxf>
          </x14:cfRule>
          <xm:sqref>C1102:D1102</xm:sqref>
        </x14:conditionalFormatting>
        <x14:conditionalFormatting xmlns:xm="http://schemas.microsoft.com/office/excel/2006/main">
          <x14:cfRule type="expression" priority="68" stopIfTrue="1" id="{8B25D20A-D2F8-4A83-9263-8388FDB43E48}">
            <xm:f>$N1097=Master!$H$65</xm:f>
            <x14:dxf>
              <fill>
                <patternFill>
                  <bgColor theme="0" tint="-0.14996795556505021"/>
                </patternFill>
              </fill>
            </x14:dxf>
          </x14:cfRule>
          <xm:sqref>B1097:B1098</xm:sqref>
        </x14:conditionalFormatting>
        <x14:conditionalFormatting xmlns:xm="http://schemas.microsoft.com/office/excel/2006/main">
          <x14:cfRule type="expression" priority="67" stopIfTrue="1" id="{58D3BB18-2630-4F31-B5B6-ADB84506A40F}">
            <xm:f>$N1097=Master!$H$65</xm:f>
            <x14:dxf>
              <fill>
                <patternFill>
                  <bgColor theme="0" tint="-0.14996795556505021"/>
                </patternFill>
              </fill>
            </x14:dxf>
          </x14:cfRule>
          <xm:sqref>C1097:D1097</xm:sqref>
        </x14:conditionalFormatting>
        <x14:conditionalFormatting xmlns:xm="http://schemas.microsoft.com/office/excel/2006/main">
          <x14:cfRule type="expression" priority="66" stopIfTrue="1" id="{859FF305-441B-46DB-9C3F-721745FB520C}">
            <xm:f>$N1092=Master!$H$65</xm:f>
            <x14:dxf>
              <fill>
                <patternFill>
                  <bgColor theme="0" tint="-0.14996795556505021"/>
                </patternFill>
              </fill>
            </x14:dxf>
          </x14:cfRule>
          <xm:sqref>B1092:B1093</xm:sqref>
        </x14:conditionalFormatting>
        <x14:conditionalFormatting xmlns:xm="http://schemas.microsoft.com/office/excel/2006/main">
          <x14:cfRule type="expression" priority="65" stopIfTrue="1" id="{EF83F1AA-D6D3-4C2C-96D0-811DEC986CE5}">
            <xm:f>$N1092=Master!$H$65</xm:f>
            <x14:dxf>
              <fill>
                <patternFill>
                  <bgColor theme="0" tint="-0.14996795556505021"/>
                </patternFill>
              </fill>
            </x14:dxf>
          </x14:cfRule>
          <xm:sqref>C1092:D1092</xm:sqref>
        </x14:conditionalFormatting>
        <x14:conditionalFormatting xmlns:xm="http://schemas.microsoft.com/office/excel/2006/main">
          <x14:cfRule type="expression" priority="64" stopIfTrue="1" id="{E91D7EEC-DEBC-417A-AD19-C74C380353B0}">
            <xm:f>$N1087=Master!$H$65</xm:f>
            <x14:dxf>
              <fill>
                <patternFill>
                  <bgColor theme="0" tint="-0.14996795556505021"/>
                </patternFill>
              </fill>
            </x14:dxf>
          </x14:cfRule>
          <xm:sqref>B1087:B1088</xm:sqref>
        </x14:conditionalFormatting>
        <x14:conditionalFormatting xmlns:xm="http://schemas.microsoft.com/office/excel/2006/main">
          <x14:cfRule type="expression" priority="63" stopIfTrue="1" id="{763606E1-A085-47D4-892A-AA50AF392595}">
            <xm:f>$N1087=Master!$H$65</xm:f>
            <x14:dxf>
              <fill>
                <patternFill>
                  <bgColor theme="0" tint="-0.14996795556505021"/>
                </patternFill>
              </fill>
            </x14:dxf>
          </x14:cfRule>
          <xm:sqref>C1087:D1087</xm:sqref>
        </x14:conditionalFormatting>
        <x14:conditionalFormatting xmlns:xm="http://schemas.microsoft.com/office/excel/2006/main">
          <x14:cfRule type="expression" priority="62" stopIfTrue="1" id="{F2A448D8-3F74-429D-84DE-67B49464B432}">
            <xm:f>$N1082=Master!$H$65</xm:f>
            <x14:dxf>
              <fill>
                <patternFill>
                  <bgColor theme="0" tint="-0.14996795556505021"/>
                </patternFill>
              </fill>
            </x14:dxf>
          </x14:cfRule>
          <xm:sqref>B1082:B1083</xm:sqref>
        </x14:conditionalFormatting>
        <x14:conditionalFormatting xmlns:xm="http://schemas.microsoft.com/office/excel/2006/main">
          <x14:cfRule type="expression" priority="61" stopIfTrue="1" id="{0FD3940E-46E1-4417-8A86-D47E4E2B2BEE}">
            <xm:f>$N1082=Master!$H$65</xm:f>
            <x14:dxf>
              <fill>
                <patternFill>
                  <bgColor theme="0" tint="-0.14996795556505021"/>
                </patternFill>
              </fill>
            </x14:dxf>
          </x14:cfRule>
          <xm:sqref>C1082:D1082</xm:sqref>
        </x14:conditionalFormatting>
        <x14:conditionalFormatting xmlns:xm="http://schemas.microsoft.com/office/excel/2006/main">
          <x14:cfRule type="expression" priority="60" stopIfTrue="1" id="{3E526EC5-95FF-40B8-B527-2DDBF5B3ABDB}">
            <xm:f>$N1077=Master!$H$65</xm:f>
            <x14:dxf>
              <fill>
                <patternFill>
                  <bgColor theme="0" tint="-0.14996795556505021"/>
                </patternFill>
              </fill>
            </x14:dxf>
          </x14:cfRule>
          <xm:sqref>B1077:B1078</xm:sqref>
        </x14:conditionalFormatting>
        <x14:conditionalFormatting xmlns:xm="http://schemas.microsoft.com/office/excel/2006/main">
          <x14:cfRule type="expression" priority="59" stopIfTrue="1" id="{9AB8DB9B-A93C-4999-9807-D609A59EAEBA}">
            <xm:f>$N1077=Master!$H$65</xm:f>
            <x14:dxf>
              <fill>
                <patternFill>
                  <bgColor theme="0" tint="-0.14996795556505021"/>
                </patternFill>
              </fill>
            </x14:dxf>
          </x14:cfRule>
          <xm:sqref>C1077:D1077</xm:sqref>
        </x14:conditionalFormatting>
        <x14:conditionalFormatting xmlns:xm="http://schemas.microsoft.com/office/excel/2006/main">
          <x14:cfRule type="expression" priority="58" stopIfTrue="1" id="{E1378B60-3535-4C19-82B8-356AC978C4B5}">
            <xm:f>$N1072=Master!$H$65</xm:f>
            <x14:dxf>
              <fill>
                <patternFill>
                  <bgColor theme="0" tint="-0.14996795556505021"/>
                </patternFill>
              </fill>
            </x14:dxf>
          </x14:cfRule>
          <xm:sqref>B1072:B1073</xm:sqref>
        </x14:conditionalFormatting>
        <x14:conditionalFormatting xmlns:xm="http://schemas.microsoft.com/office/excel/2006/main">
          <x14:cfRule type="expression" priority="57" stopIfTrue="1" id="{3FE2655D-64A4-4683-95AD-840D0D803914}">
            <xm:f>$N1072=Master!$H$65</xm:f>
            <x14:dxf>
              <fill>
                <patternFill>
                  <bgColor theme="0" tint="-0.14996795556505021"/>
                </patternFill>
              </fill>
            </x14:dxf>
          </x14:cfRule>
          <xm:sqref>C1072:D1072</xm:sqref>
        </x14:conditionalFormatting>
        <x14:conditionalFormatting xmlns:xm="http://schemas.microsoft.com/office/excel/2006/main">
          <x14:cfRule type="expression" priority="56" stopIfTrue="1" id="{73D294E9-6B86-465B-828F-69558262AC79}">
            <xm:f>$N1067=Master!$H$65</xm:f>
            <x14:dxf>
              <fill>
                <patternFill>
                  <bgColor theme="0" tint="-0.14996795556505021"/>
                </patternFill>
              </fill>
            </x14:dxf>
          </x14:cfRule>
          <xm:sqref>B1067:B1068</xm:sqref>
        </x14:conditionalFormatting>
        <x14:conditionalFormatting xmlns:xm="http://schemas.microsoft.com/office/excel/2006/main">
          <x14:cfRule type="expression" priority="55" stopIfTrue="1" id="{29DF6763-3FDD-4683-B588-6C6A0684C5BB}">
            <xm:f>$N1067=Master!$H$65</xm:f>
            <x14:dxf>
              <fill>
                <patternFill>
                  <bgColor theme="0" tint="-0.14996795556505021"/>
                </patternFill>
              </fill>
            </x14:dxf>
          </x14:cfRule>
          <xm:sqref>C1067:D1067</xm:sqref>
        </x14:conditionalFormatting>
        <x14:conditionalFormatting xmlns:xm="http://schemas.microsoft.com/office/excel/2006/main">
          <x14:cfRule type="expression" priority="54" stopIfTrue="1" id="{666DF365-5E4F-4971-86A6-C3E9B9D1DAF3}">
            <xm:f>$N1062=Master!$H$65</xm:f>
            <x14:dxf>
              <fill>
                <patternFill>
                  <bgColor theme="0" tint="-0.14996795556505021"/>
                </patternFill>
              </fill>
            </x14:dxf>
          </x14:cfRule>
          <xm:sqref>B1062:B1063</xm:sqref>
        </x14:conditionalFormatting>
        <x14:conditionalFormatting xmlns:xm="http://schemas.microsoft.com/office/excel/2006/main">
          <x14:cfRule type="expression" priority="53" stopIfTrue="1" id="{91E25A8C-682D-43D7-9D76-609A981BAB46}">
            <xm:f>$N1062=Master!$H$65</xm:f>
            <x14:dxf>
              <fill>
                <patternFill>
                  <bgColor theme="0" tint="-0.14996795556505021"/>
                </patternFill>
              </fill>
            </x14:dxf>
          </x14:cfRule>
          <xm:sqref>C1062:D1062</xm:sqref>
        </x14:conditionalFormatting>
        <x14:conditionalFormatting xmlns:xm="http://schemas.microsoft.com/office/excel/2006/main">
          <x14:cfRule type="expression" priority="52" stopIfTrue="1" id="{0A3EEA96-4716-400D-9DAE-5C1504B84373}">
            <xm:f>$N1057=Master!$H$65</xm:f>
            <x14:dxf>
              <fill>
                <patternFill>
                  <bgColor theme="0" tint="-0.14996795556505021"/>
                </patternFill>
              </fill>
            </x14:dxf>
          </x14:cfRule>
          <xm:sqref>B1057:B1058</xm:sqref>
        </x14:conditionalFormatting>
        <x14:conditionalFormatting xmlns:xm="http://schemas.microsoft.com/office/excel/2006/main">
          <x14:cfRule type="expression" priority="51" stopIfTrue="1" id="{92FD94EF-B3B1-43DD-BE54-9E554CECFA29}">
            <xm:f>$N1057=Master!$H$65</xm:f>
            <x14:dxf>
              <fill>
                <patternFill>
                  <bgColor theme="0" tint="-0.14996795556505021"/>
                </patternFill>
              </fill>
            </x14:dxf>
          </x14:cfRule>
          <xm:sqref>C1057:D1057</xm:sqref>
        </x14:conditionalFormatting>
        <x14:conditionalFormatting xmlns:xm="http://schemas.microsoft.com/office/excel/2006/main">
          <x14:cfRule type="expression" priority="50" stopIfTrue="1" id="{E2B57852-0B50-46B7-8BD0-C00D13253A2B}">
            <xm:f>$N1052=Master!$H$65</xm:f>
            <x14:dxf>
              <fill>
                <patternFill>
                  <bgColor theme="0" tint="-0.14996795556505021"/>
                </patternFill>
              </fill>
            </x14:dxf>
          </x14:cfRule>
          <xm:sqref>B1052:B1053</xm:sqref>
        </x14:conditionalFormatting>
        <x14:conditionalFormatting xmlns:xm="http://schemas.microsoft.com/office/excel/2006/main">
          <x14:cfRule type="expression" priority="49" stopIfTrue="1" id="{E52C1513-AD50-4945-9B74-9EEBC676E3BF}">
            <xm:f>$N1052=Master!$H$65</xm:f>
            <x14:dxf>
              <fill>
                <patternFill>
                  <bgColor theme="0" tint="-0.14996795556505021"/>
                </patternFill>
              </fill>
            </x14:dxf>
          </x14:cfRule>
          <xm:sqref>C1052:D1052</xm:sqref>
        </x14:conditionalFormatting>
        <x14:conditionalFormatting xmlns:xm="http://schemas.microsoft.com/office/excel/2006/main">
          <x14:cfRule type="expression" priority="48" stopIfTrue="1" id="{B31EB64D-E7A8-44F1-8612-BA68648B268E}">
            <xm:f>$N1047=Master!$H$65</xm:f>
            <x14:dxf>
              <fill>
                <patternFill>
                  <bgColor theme="0" tint="-0.14996795556505021"/>
                </patternFill>
              </fill>
            </x14:dxf>
          </x14:cfRule>
          <xm:sqref>B1047:B1048</xm:sqref>
        </x14:conditionalFormatting>
        <x14:conditionalFormatting xmlns:xm="http://schemas.microsoft.com/office/excel/2006/main">
          <x14:cfRule type="expression" priority="47" stopIfTrue="1" id="{BF90E2A8-93AD-4E80-A6B9-349A846F18D0}">
            <xm:f>$N1047=Master!$H$65</xm:f>
            <x14:dxf>
              <fill>
                <patternFill>
                  <bgColor theme="0" tint="-0.14996795556505021"/>
                </patternFill>
              </fill>
            </x14:dxf>
          </x14:cfRule>
          <xm:sqref>C1047:D1047</xm:sqref>
        </x14:conditionalFormatting>
        <x14:conditionalFormatting xmlns:xm="http://schemas.microsoft.com/office/excel/2006/main">
          <x14:cfRule type="expression" priority="46" stopIfTrue="1" id="{32F1087D-D710-42FD-B397-5C0B81CFDE7D}">
            <xm:f>$N1042=Master!$H$65</xm:f>
            <x14:dxf>
              <fill>
                <patternFill>
                  <bgColor theme="0" tint="-0.14996795556505021"/>
                </patternFill>
              </fill>
            </x14:dxf>
          </x14:cfRule>
          <xm:sqref>B1042:B1043</xm:sqref>
        </x14:conditionalFormatting>
        <x14:conditionalFormatting xmlns:xm="http://schemas.microsoft.com/office/excel/2006/main">
          <x14:cfRule type="expression" priority="45" stopIfTrue="1" id="{8C2C42C3-C1D5-4232-B216-6105A8C2DBDB}">
            <xm:f>$N1042=Master!$H$65</xm:f>
            <x14:dxf>
              <fill>
                <patternFill>
                  <bgColor theme="0" tint="-0.14996795556505021"/>
                </patternFill>
              </fill>
            </x14:dxf>
          </x14:cfRule>
          <xm:sqref>C1042:D1042</xm:sqref>
        </x14:conditionalFormatting>
        <x14:conditionalFormatting xmlns:xm="http://schemas.microsoft.com/office/excel/2006/main">
          <x14:cfRule type="expression" priority="44" stopIfTrue="1" id="{254C99C5-B51E-4015-B312-90DFB35A4751}">
            <xm:f>$N1037=Master!$H$65</xm:f>
            <x14:dxf>
              <fill>
                <patternFill>
                  <bgColor theme="0" tint="-0.14996795556505021"/>
                </patternFill>
              </fill>
            </x14:dxf>
          </x14:cfRule>
          <xm:sqref>B1037:B1038</xm:sqref>
        </x14:conditionalFormatting>
        <x14:conditionalFormatting xmlns:xm="http://schemas.microsoft.com/office/excel/2006/main">
          <x14:cfRule type="expression" priority="43" stopIfTrue="1" id="{7B98EAB5-6094-44F6-A601-0A8478E48F45}">
            <xm:f>$N1037=Master!$H$65</xm:f>
            <x14:dxf>
              <fill>
                <patternFill>
                  <bgColor theme="0" tint="-0.14996795556505021"/>
                </patternFill>
              </fill>
            </x14:dxf>
          </x14:cfRule>
          <xm:sqref>C1037:D1037</xm:sqref>
        </x14:conditionalFormatting>
        <x14:conditionalFormatting xmlns:xm="http://schemas.microsoft.com/office/excel/2006/main">
          <x14:cfRule type="expression" priority="42" stopIfTrue="1" id="{A4045B85-3D8A-4DAF-9E2D-48110DA3A7A7}">
            <xm:f>$N1032=Master!$H$65</xm:f>
            <x14:dxf>
              <fill>
                <patternFill>
                  <bgColor theme="0" tint="-0.14996795556505021"/>
                </patternFill>
              </fill>
            </x14:dxf>
          </x14:cfRule>
          <xm:sqref>B1032:B1033</xm:sqref>
        </x14:conditionalFormatting>
        <x14:conditionalFormatting xmlns:xm="http://schemas.microsoft.com/office/excel/2006/main">
          <x14:cfRule type="expression" priority="41" stopIfTrue="1" id="{0F953A03-F84D-4555-B1B3-4C09D3F9D55C}">
            <xm:f>$N1032=Master!$H$65</xm:f>
            <x14:dxf>
              <fill>
                <patternFill>
                  <bgColor theme="0" tint="-0.14996795556505021"/>
                </patternFill>
              </fill>
            </x14:dxf>
          </x14:cfRule>
          <xm:sqref>C1032:D1032</xm:sqref>
        </x14:conditionalFormatting>
        <x14:conditionalFormatting xmlns:xm="http://schemas.microsoft.com/office/excel/2006/main">
          <x14:cfRule type="expression" priority="40" stopIfTrue="1" id="{904258DA-15C5-425C-8379-19BDD32D12B2}">
            <xm:f>$N1178=Master!$H$65</xm:f>
            <x14:dxf>
              <fill>
                <patternFill>
                  <bgColor theme="0" tint="-0.14996795556505021"/>
                </patternFill>
              </fill>
            </x14:dxf>
          </x14:cfRule>
          <xm:sqref>B1178:B1179</xm:sqref>
        </x14:conditionalFormatting>
        <x14:conditionalFormatting xmlns:xm="http://schemas.microsoft.com/office/excel/2006/main">
          <x14:cfRule type="expression" priority="39" stopIfTrue="1" id="{ADB737A0-5561-4030-9899-0D205A873A3B}">
            <xm:f>$N1178=Master!$H$65</xm:f>
            <x14:dxf>
              <fill>
                <patternFill>
                  <bgColor theme="0" tint="-0.14996795556505021"/>
                </patternFill>
              </fill>
            </x14:dxf>
          </x14:cfRule>
          <xm:sqref>C1178:D1178</xm:sqref>
        </x14:conditionalFormatting>
        <x14:conditionalFormatting xmlns:xm="http://schemas.microsoft.com/office/excel/2006/main">
          <x14:cfRule type="expression" priority="38" stopIfTrue="1" id="{233BF914-5100-4DE6-AF9A-F55978857B89}">
            <xm:f>$N1173=Master!$H$65</xm:f>
            <x14:dxf>
              <fill>
                <patternFill>
                  <bgColor theme="0" tint="-0.14996795556505021"/>
                </patternFill>
              </fill>
            </x14:dxf>
          </x14:cfRule>
          <xm:sqref>B1173:B1174</xm:sqref>
        </x14:conditionalFormatting>
        <x14:conditionalFormatting xmlns:xm="http://schemas.microsoft.com/office/excel/2006/main">
          <x14:cfRule type="expression" priority="37" stopIfTrue="1" id="{5FAF92A0-4332-4532-ACF9-BBD43038664F}">
            <xm:f>$N1173=Master!$H$65</xm:f>
            <x14:dxf>
              <fill>
                <patternFill>
                  <bgColor theme="0" tint="-0.14996795556505021"/>
                </patternFill>
              </fill>
            </x14:dxf>
          </x14:cfRule>
          <xm:sqref>C1173:D1173</xm:sqref>
        </x14:conditionalFormatting>
        <x14:conditionalFormatting xmlns:xm="http://schemas.microsoft.com/office/excel/2006/main">
          <x14:cfRule type="expression" priority="36" stopIfTrue="1" id="{8D800D41-556C-4D86-A604-77C4379BED47}">
            <xm:f>$N1168=Master!$H$65</xm:f>
            <x14:dxf>
              <fill>
                <patternFill>
                  <bgColor theme="0" tint="-0.14996795556505021"/>
                </patternFill>
              </fill>
            </x14:dxf>
          </x14:cfRule>
          <xm:sqref>B1168:B1169</xm:sqref>
        </x14:conditionalFormatting>
        <x14:conditionalFormatting xmlns:xm="http://schemas.microsoft.com/office/excel/2006/main">
          <x14:cfRule type="expression" priority="35" stopIfTrue="1" id="{933A4AD3-3FCC-4A6A-942D-3208C00C4631}">
            <xm:f>$N1168=Master!$H$65</xm:f>
            <x14:dxf>
              <fill>
                <patternFill>
                  <bgColor theme="0" tint="-0.14996795556505021"/>
                </patternFill>
              </fill>
            </x14:dxf>
          </x14:cfRule>
          <xm:sqref>C1168:D1168</xm:sqref>
        </x14:conditionalFormatting>
        <x14:conditionalFormatting xmlns:xm="http://schemas.microsoft.com/office/excel/2006/main">
          <x14:cfRule type="expression" priority="34" stopIfTrue="1" id="{E21EC1A2-8392-4B51-8129-A57E5E656661}">
            <xm:f>$N1163=Master!$H$65</xm:f>
            <x14:dxf>
              <fill>
                <patternFill>
                  <bgColor theme="0" tint="-0.14996795556505021"/>
                </patternFill>
              </fill>
            </x14:dxf>
          </x14:cfRule>
          <xm:sqref>B1163:B1164</xm:sqref>
        </x14:conditionalFormatting>
        <x14:conditionalFormatting xmlns:xm="http://schemas.microsoft.com/office/excel/2006/main">
          <x14:cfRule type="expression" priority="33" stopIfTrue="1" id="{4FDDC61E-8B32-4C36-9D92-F315D81C0A94}">
            <xm:f>$N1163=Master!$H$65</xm:f>
            <x14:dxf>
              <fill>
                <patternFill>
                  <bgColor theme="0" tint="-0.14996795556505021"/>
                </patternFill>
              </fill>
            </x14:dxf>
          </x14:cfRule>
          <xm:sqref>C1163:D1163</xm:sqref>
        </x14:conditionalFormatting>
        <x14:conditionalFormatting xmlns:xm="http://schemas.microsoft.com/office/excel/2006/main">
          <x14:cfRule type="expression" priority="32" stopIfTrue="1" id="{D458EDE7-B9CD-452A-BCC8-0EBD8DE21191}">
            <xm:f>$N1158=Master!$H$65</xm:f>
            <x14:dxf>
              <fill>
                <patternFill>
                  <bgColor theme="0" tint="-0.14996795556505021"/>
                </patternFill>
              </fill>
            </x14:dxf>
          </x14:cfRule>
          <xm:sqref>B1158:B1159</xm:sqref>
        </x14:conditionalFormatting>
        <x14:conditionalFormatting xmlns:xm="http://schemas.microsoft.com/office/excel/2006/main">
          <x14:cfRule type="expression" priority="31" stopIfTrue="1" id="{9CED2682-CCEA-4ABF-8BE6-BCD755AF2364}">
            <xm:f>$N1158=Master!$H$65</xm:f>
            <x14:dxf>
              <fill>
                <patternFill>
                  <bgColor theme="0" tint="-0.14996795556505021"/>
                </patternFill>
              </fill>
            </x14:dxf>
          </x14:cfRule>
          <xm:sqref>C1158:D1158</xm:sqref>
        </x14:conditionalFormatting>
        <x14:conditionalFormatting xmlns:xm="http://schemas.microsoft.com/office/excel/2006/main">
          <x14:cfRule type="expression" priority="30" stopIfTrue="1" id="{EF209696-855A-4748-AF9F-77DA8F059026}">
            <xm:f>$N1153=Master!$H$65</xm:f>
            <x14:dxf>
              <fill>
                <patternFill>
                  <bgColor theme="0" tint="-0.14996795556505021"/>
                </patternFill>
              </fill>
            </x14:dxf>
          </x14:cfRule>
          <xm:sqref>B1153:B1154</xm:sqref>
        </x14:conditionalFormatting>
        <x14:conditionalFormatting xmlns:xm="http://schemas.microsoft.com/office/excel/2006/main">
          <x14:cfRule type="expression" priority="29" stopIfTrue="1" id="{724C8827-24F1-4827-BFCE-8667F7D5F3D0}">
            <xm:f>$N1153=Master!$H$65</xm:f>
            <x14:dxf>
              <fill>
                <patternFill>
                  <bgColor theme="0" tint="-0.14996795556505021"/>
                </patternFill>
              </fill>
            </x14:dxf>
          </x14:cfRule>
          <xm:sqref>C1153:D1153</xm:sqref>
        </x14:conditionalFormatting>
        <x14:conditionalFormatting xmlns:xm="http://schemas.microsoft.com/office/excel/2006/main">
          <x14:cfRule type="expression" priority="28" stopIfTrue="1" id="{E26CA606-85AC-4AD7-A07F-0166D660A557}">
            <xm:f>$N1148=Master!$H$65</xm:f>
            <x14:dxf>
              <fill>
                <patternFill>
                  <bgColor theme="0" tint="-0.14996795556505021"/>
                </patternFill>
              </fill>
            </x14:dxf>
          </x14:cfRule>
          <xm:sqref>B1148:B1149</xm:sqref>
        </x14:conditionalFormatting>
        <x14:conditionalFormatting xmlns:xm="http://schemas.microsoft.com/office/excel/2006/main">
          <x14:cfRule type="expression" priority="27" stopIfTrue="1" id="{7ED350D7-9145-4D98-B974-6C8354E1A854}">
            <xm:f>$N1148=Master!$H$65</xm:f>
            <x14:dxf>
              <fill>
                <patternFill>
                  <bgColor theme="0" tint="-0.14996795556505021"/>
                </patternFill>
              </fill>
            </x14:dxf>
          </x14:cfRule>
          <xm:sqref>C1148:D1148</xm:sqref>
        </x14:conditionalFormatting>
        <x14:conditionalFormatting xmlns:xm="http://schemas.microsoft.com/office/excel/2006/main">
          <x14:cfRule type="expression" priority="26" stopIfTrue="1" id="{583F8948-5D96-42BD-9EB9-817272ADBB2E}">
            <xm:f>$N1143=Master!$H$65</xm:f>
            <x14:dxf>
              <fill>
                <patternFill>
                  <bgColor theme="0" tint="-0.14996795556505021"/>
                </patternFill>
              </fill>
            </x14:dxf>
          </x14:cfRule>
          <xm:sqref>B1143:B1144</xm:sqref>
        </x14:conditionalFormatting>
        <x14:conditionalFormatting xmlns:xm="http://schemas.microsoft.com/office/excel/2006/main">
          <x14:cfRule type="expression" priority="25" stopIfTrue="1" id="{C6F19732-585F-4F75-BF54-B3C037AD3140}">
            <xm:f>$N1143=Master!$H$65</xm:f>
            <x14:dxf>
              <fill>
                <patternFill>
                  <bgColor theme="0" tint="-0.14996795556505021"/>
                </patternFill>
              </fill>
            </x14:dxf>
          </x14:cfRule>
          <xm:sqref>C1143:D1143</xm:sqref>
        </x14:conditionalFormatting>
        <x14:conditionalFormatting xmlns:xm="http://schemas.microsoft.com/office/excel/2006/main">
          <x14:cfRule type="expression" priority="24" stopIfTrue="1" id="{491DDE79-250A-4AE7-B05E-E162EAA6384E}">
            <xm:f>$N1138=Master!$H$65</xm:f>
            <x14:dxf>
              <fill>
                <patternFill>
                  <bgColor theme="0" tint="-0.14996795556505021"/>
                </patternFill>
              </fill>
            </x14:dxf>
          </x14:cfRule>
          <xm:sqref>B1138:B1139</xm:sqref>
        </x14:conditionalFormatting>
        <x14:conditionalFormatting xmlns:xm="http://schemas.microsoft.com/office/excel/2006/main">
          <x14:cfRule type="expression" priority="23" stopIfTrue="1" id="{6D9B3677-980B-47CA-996B-C44A89928B52}">
            <xm:f>$N1138=Master!$H$65</xm:f>
            <x14:dxf>
              <fill>
                <patternFill>
                  <bgColor theme="0" tint="-0.14996795556505021"/>
                </patternFill>
              </fill>
            </x14:dxf>
          </x14:cfRule>
          <xm:sqref>C1138:D1138</xm:sqref>
        </x14:conditionalFormatting>
        <x14:conditionalFormatting xmlns:xm="http://schemas.microsoft.com/office/excel/2006/main">
          <x14:cfRule type="expression" priority="22" stopIfTrue="1" id="{CECEAD99-462F-4D5B-ACC5-E2F3C83C5451}">
            <xm:f>$N1133=Master!$H$65</xm:f>
            <x14:dxf>
              <fill>
                <patternFill>
                  <bgColor theme="0" tint="-0.14996795556505021"/>
                </patternFill>
              </fill>
            </x14:dxf>
          </x14:cfRule>
          <xm:sqref>B1133:B1134</xm:sqref>
        </x14:conditionalFormatting>
        <x14:conditionalFormatting xmlns:xm="http://schemas.microsoft.com/office/excel/2006/main">
          <x14:cfRule type="expression" priority="21" stopIfTrue="1" id="{8A0476C1-787A-4F01-80B8-292FBB3EA68F}">
            <xm:f>$N1133=Master!$H$65</xm:f>
            <x14:dxf>
              <fill>
                <patternFill>
                  <bgColor theme="0" tint="-0.14996795556505021"/>
                </patternFill>
              </fill>
            </x14:dxf>
          </x14:cfRule>
          <xm:sqref>C1133:D1133</xm:sqref>
        </x14:conditionalFormatting>
        <x14:conditionalFormatting xmlns:xm="http://schemas.microsoft.com/office/excel/2006/main">
          <x14:cfRule type="expression" priority="20" stopIfTrue="1" id="{45329EFC-F173-4C35-B6AA-B5F890B3034C}">
            <xm:f>$N1128=Master!$H$65</xm:f>
            <x14:dxf>
              <fill>
                <patternFill>
                  <bgColor theme="0" tint="-0.14996795556505021"/>
                </patternFill>
              </fill>
            </x14:dxf>
          </x14:cfRule>
          <xm:sqref>B1128:B1129</xm:sqref>
        </x14:conditionalFormatting>
        <x14:conditionalFormatting xmlns:xm="http://schemas.microsoft.com/office/excel/2006/main">
          <x14:cfRule type="expression" priority="19" stopIfTrue="1" id="{A17F772D-7F7B-4A12-8299-213DD32A0CFC}">
            <xm:f>$N1128=Master!$H$65</xm:f>
            <x14:dxf>
              <fill>
                <patternFill>
                  <bgColor theme="0" tint="-0.14996795556505021"/>
                </patternFill>
              </fill>
            </x14:dxf>
          </x14:cfRule>
          <xm:sqref>C1128:D1128</xm:sqref>
        </x14:conditionalFormatting>
        <x14:conditionalFormatting xmlns:xm="http://schemas.microsoft.com/office/excel/2006/main">
          <x14:cfRule type="expression" priority="18" stopIfTrue="1" id="{C2AB9AF0-55D8-4C08-BEC9-40539CE7F0FD}">
            <xm:f>$N1123=Master!$H$65</xm:f>
            <x14:dxf>
              <fill>
                <patternFill>
                  <bgColor theme="0" tint="-0.14996795556505021"/>
                </patternFill>
              </fill>
            </x14:dxf>
          </x14:cfRule>
          <xm:sqref>B1123:B1124</xm:sqref>
        </x14:conditionalFormatting>
        <x14:conditionalFormatting xmlns:xm="http://schemas.microsoft.com/office/excel/2006/main">
          <x14:cfRule type="expression" priority="17" stopIfTrue="1" id="{EE37E10B-83FA-46AB-A866-534505CA1D68}">
            <xm:f>$N1123=Master!$H$65</xm:f>
            <x14:dxf>
              <fill>
                <patternFill>
                  <bgColor theme="0" tint="-0.14996795556505021"/>
                </patternFill>
              </fill>
            </x14:dxf>
          </x14:cfRule>
          <xm:sqref>C1123:D1123</xm:sqref>
        </x14:conditionalFormatting>
        <x14:conditionalFormatting xmlns:xm="http://schemas.microsoft.com/office/excel/2006/main">
          <x14:cfRule type="expression" priority="16" stopIfTrue="1" id="{8F363955-CFA2-4522-8F52-2667D370F5AA}">
            <xm:f>$N1118=Master!$H$65</xm:f>
            <x14:dxf>
              <fill>
                <patternFill>
                  <bgColor theme="0" tint="-0.14996795556505021"/>
                </patternFill>
              </fill>
            </x14:dxf>
          </x14:cfRule>
          <xm:sqref>B1118:B1119</xm:sqref>
        </x14:conditionalFormatting>
        <x14:conditionalFormatting xmlns:xm="http://schemas.microsoft.com/office/excel/2006/main">
          <x14:cfRule type="expression" priority="15" stopIfTrue="1" id="{2E5CA735-0410-4E10-97BC-D665C724157B}">
            <xm:f>$N1118=Master!$H$65</xm:f>
            <x14:dxf>
              <fill>
                <patternFill>
                  <bgColor theme="0" tint="-0.14996795556505021"/>
                </patternFill>
              </fill>
            </x14:dxf>
          </x14:cfRule>
          <xm:sqref>C1118:D1118</xm:sqref>
        </x14:conditionalFormatting>
        <x14:conditionalFormatting xmlns:xm="http://schemas.microsoft.com/office/excel/2006/main">
          <x14:cfRule type="expression" priority="14" stopIfTrue="1" id="{D55D2386-E290-45D5-82C8-8247C53BA8C7}">
            <xm:f>$N1113=Master!$H$65</xm:f>
            <x14:dxf>
              <fill>
                <patternFill>
                  <bgColor theme="0" tint="-0.14996795556505021"/>
                </patternFill>
              </fill>
            </x14:dxf>
          </x14:cfRule>
          <xm:sqref>B1113:B1114</xm:sqref>
        </x14:conditionalFormatting>
        <x14:conditionalFormatting xmlns:xm="http://schemas.microsoft.com/office/excel/2006/main">
          <x14:cfRule type="expression" priority="13" stopIfTrue="1" id="{B5515A42-BE45-4C9B-A80E-009DAE8A7E7A}">
            <xm:f>$N1113=Master!$H$65</xm:f>
            <x14:dxf>
              <fill>
                <patternFill>
                  <bgColor theme="0" tint="-0.14996795556505021"/>
                </patternFill>
              </fill>
            </x14:dxf>
          </x14:cfRule>
          <xm:sqref>C1113:D1113</xm:sqref>
        </x14:conditionalFormatting>
        <x14:conditionalFormatting xmlns:xm="http://schemas.microsoft.com/office/excel/2006/main">
          <x14:cfRule type="expression" priority="12" stopIfTrue="1" id="{ED54058D-3491-4F8F-863D-B74E93AB4691}">
            <xm:f>$N1108=Master!$H$65</xm:f>
            <x14:dxf>
              <fill>
                <patternFill>
                  <bgColor theme="0" tint="-0.14996795556505021"/>
                </patternFill>
              </fill>
            </x14:dxf>
          </x14:cfRule>
          <xm:sqref>B1108:B1109</xm:sqref>
        </x14:conditionalFormatting>
        <x14:conditionalFormatting xmlns:xm="http://schemas.microsoft.com/office/excel/2006/main">
          <x14:cfRule type="expression" priority="11" stopIfTrue="1" id="{9421C268-AF68-47D7-83EB-9922A87D0C98}">
            <xm:f>$N1108=Master!$H$65</xm:f>
            <x14:dxf>
              <fill>
                <patternFill>
                  <bgColor theme="0" tint="-0.14996795556505021"/>
                </patternFill>
              </fill>
            </x14:dxf>
          </x14:cfRule>
          <xm:sqref>C1108:D1108</xm:sqref>
        </x14:conditionalFormatting>
        <x14:conditionalFormatting xmlns:xm="http://schemas.microsoft.com/office/excel/2006/main">
          <x14:cfRule type="expression" priority="10" stopIfTrue="1" id="{0479CCBF-BCAD-4910-A55F-F7F756005083}">
            <xm:f>AND($C11&lt;&gt;"",$N11&lt;&gt;Master!$H$65,$M11&lt;$AI$3)</xm:f>
            <x14:dxf>
              <font>
                <color theme="0"/>
              </font>
              <fill>
                <patternFill>
                  <bgColor rgb="FFFF0000"/>
                </patternFill>
              </fill>
            </x14:dxf>
          </x14:cfRule>
          <xm:sqref>AC11</xm:sqref>
        </x14:conditionalFormatting>
        <x14:conditionalFormatting xmlns:xm="http://schemas.microsoft.com/office/excel/2006/main">
          <x14:cfRule type="expression" priority="9" stopIfTrue="1" id="{550F14C1-3791-4128-BDF6-BFCB79DAB597}">
            <xm:f>AND($C12&lt;&gt;"",$N12&lt;&gt;Master!$H$65,$M12&lt;$AI$3)</xm:f>
            <x14:dxf>
              <font>
                <color theme="0"/>
              </font>
              <fill>
                <patternFill>
                  <bgColor rgb="FFFF0000"/>
                </patternFill>
              </fill>
            </x14:dxf>
          </x14:cfRule>
          <xm:sqref>AC12</xm:sqref>
        </x14:conditionalFormatting>
        <x14:conditionalFormatting xmlns:xm="http://schemas.microsoft.com/office/excel/2006/main">
          <x14:cfRule type="expression" priority="8" stopIfTrue="1" id="{F216E0AA-7377-4DB1-9EDC-DBEA7C08E7B8}">
            <xm:f>AND($C13&lt;&gt;"",$N13&lt;&gt;Master!$H$65,$M13&lt;$AI$3)</xm:f>
            <x14:dxf>
              <font>
                <color theme="0"/>
              </font>
              <fill>
                <patternFill>
                  <bgColor rgb="FFFF0000"/>
                </patternFill>
              </fill>
            </x14:dxf>
          </x14:cfRule>
          <xm:sqref>AC13:AC15</xm:sqref>
        </x14:conditionalFormatting>
        <x14:conditionalFormatting xmlns:xm="http://schemas.microsoft.com/office/excel/2006/main">
          <x14:cfRule type="expression" priority="7" stopIfTrue="1" id="{CB8CC212-73EC-4987-AE74-C103C588F3C2}">
            <xm:f>AND($C11&lt;&gt;"",$N11&lt;&gt;Master!$H$65,$M11&lt;$AI$3)</xm:f>
            <x14:dxf>
              <font>
                <color theme="0"/>
              </font>
              <fill>
                <patternFill>
                  <bgColor rgb="FFFF0000"/>
                </patternFill>
              </fill>
            </x14:dxf>
          </x14:cfRule>
          <xm:sqref>S11:S15</xm:sqref>
        </x14:conditionalFormatting>
        <x14:conditionalFormatting xmlns:xm="http://schemas.microsoft.com/office/excel/2006/main">
          <x14:cfRule type="expression" priority="6" stopIfTrue="1" id="{E7D96DA1-96EF-4E10-8745-E9B6F373E35A}">
            <xm:f>$N21=Master!$H$65</xm:f>
            <x14:dxf>
              <fill>
                <patternFill>
                  <bgColor theme="0" tint="-0.14996795556505021"/>
                </patternFill>
              </fill>
            </x14:dxf>
          </x14:cfRule>
          <xm:sqref>AA21</xm:sqref>
        </x14:conditionalFormatting>
        <x14:conditionalFormatting xmlns:xm="http://schemas.microsoft.com/office/excel/2006/main">
          <x14:cfRule type="expression" priority="5" stopIfTrue="1" id="{06FF56E9-D8A1-428C-8B82-9F781D588E3A}">
            <xm:f>$N21=Master!$H$65</xm:f>
            <x14:dxf>
              <fill>
                <patternFill>
                  <bgColor theme="0" tint="-0.14996795556505021"/>
                </patternFill>
              </fill>
            </x14:dxf>
          </x14:cfRule>
          <xm:sqref>AC21</xm:sqref>
        </x14:conditionalFormatting>
        <x14:conditionalFormatting xmlns:xm="http://schemas.microsoft.com/office/excel/2006/main">
          <x14:cfRule type="expression" priority="4" stopIfTrue="1" id="{D9D082E9-E508-4A38-B839-B37B0CC55B55}">
            <xm:f>$N21=Master!$H$65</xm:f>
            <x14:dxf>
              <fill>
                <patternFill>
                  <bgColor theme="0" tint="-0.14996795556505021"/>
                </patternFill>
              </fill>
            </x14:dxf>
          </x14:cfRule>
          <xm:sqref>Q21</xm:sqref>
        </x14:conditionalFormatting>
        <x14:conditionalFormatting xmlns:xm="http://schemas.microsoft.com/office/excel/2006/main">
          <x14:cfRule type="expression" priority="3" stopIfTrue="1" id="{C2378864-0478-4597-940F-C398B2FA6133}">
            <xm:f>$N21=Master!$H$65</xm:f>
            <x14:dxf>
              <fill>
                <patternFill>
                  <bgColor theme="0" tint="-0.14996795556505021"/>
                </patternFill>
              </fill>
            </x14:dxf>
          </x14:cfRule>
          <xm:sqref>S21</xm:sqref>
        </x14:conditionalFormatting>
        <x14:conditionalFormatting xmlns:xm="http://schemas.microsoft.com/office/excel/2006/main">
          <x14:cfRule type="expression" priority="2" stopIfTrue="1" id="{F626DE3A-89EE-44FE-97EE-72A07D424B6B}">
            <xm:f>$N21=Master!$H$65</xm:f>
            <x14:dxf>
              <fill>
                <patternFill>
                  <bgColor theme="0" tint="-0.14996795556505021"/>
                </patternFill>
              </fill>
            </x14:dxf>
          </x14:cfRule>
          <xm:sqref>AI21</xm:sqref>
        </x14:conditionalFormatting>
        <x14:conditionalFormatting xmlns:xm="http://schemas.microsoft.com/office/excel/2006/main">
          <x14:cfRule type="expression" priority="1" stopIfTrue="1" id="{5C8DC692-74AA-4EE1-8884-FA1B6F4F61CC}">
            <xm:f>$N21=Master!$H$65</xm:f>
            <x14:dxf>
              <fill>
                <patternFill>
                  <bgColor theme="0" tint="-0.14996795556505021"/>
                </patternFill>
              </fill>
            </x14:dxf>
          </x14:cfRule>
          <xm:sqref>AG21</xm:sqref>
        </x14:conditionalFormatting>
      </x14:conditionalFormattings>
    </ext>
    <ext xmlns:x14="http://schemas.microsoft.com/office/spreadsheetml/2009/9/main" uri="{CCE6A557-97BC-4b89-ADB6-D9C93CAAB3DF}">
      <x14:dataValidations xmlns:xm="http://schemas.microsoft.com/office/excel/2006/main" count="7">
        <x14:dataValidation type="list" allowBlank="1" showInputMessage="1" showErrorMessage="1" xr:uid="{C77CE0E9-FD0F-4C38-8AB8-8566EC66DBE3}">
          <x14:formula1>
            <xm:f>Master!$R$37:$R$46</xm:f>
          </x14:formula1>
          <xm:sqref>AV9:AV1048576</xm:sqref>
        </x14:dataValidation>
        <x14:dataValidation type="list" allowBlank="1" showInputMessage="1" showErrorMessage="1" xr:uid="{8338C325-B2CE-4FE2-8B24-F7ABF240F004}">
          <x14:formula1>
            <xm:f>Master!$U$37:$U$46</xm:f>
          </x14:formula1>
          <xm:sqref>X9:X1183 AY1:AY1048576</xm:sqref>
        </x14:dataValidation>
        <x14:dataValidation type="list" allowBlank="1" showInputMessage="1" showErrorMessage="1" xr:uid="{87A2464D-5201-42A4-B015-941F05C7FC78}">
          <x14:formula1>
            <xm:f>Master!$T$37:$T$46</xm:f>
          </x14:formula1>
          <xm:sqref>W9:W1183 AX9:AX1048576</xm:sqref>
        </x14:dataValidation>
        <x14:dataValidation type="list" allowBlank="1" showInputMessage="1" showErrorMessage="1" xr:uid="{1AA08AB9-6DA0-4B5E-9A6F-1137FE8ACCAF}">
          <x14:formula1>
            <xm:f>Master!$S$37:$S$46</xm:f>
          </x14:formula1>
          <xm:sqref>AW9:AW1048576</xm:sqref>
        </x14:dataValidation>
        <x14:dataValidation type="list" allowBlank="1" showInputMessage="1" showErrorMessage="1" xr:uid="{47242B6F-CA82-496C-A31C-2568A38B8669}">
          <x14:formula1>
            <xm:f>Master!$V$37:$V$46</xm:f>
          </x14:formula1>
          <xm:sqref>AZ1:AZ1048576</xm:sqref>
        </x14:dataValidation>
        <x14:dataValidation type="list" allowBlank="1" showInputMessage="1" showErrorMessage="1" xr:uid="{3F76E5E8-D9DB-47A4-B237-3A67CDDAA063}">
          <x14:formula1>
            <xm:f>Master!$W$37:$W$46</xm:f>
          </x14:formula1>
          <xm:sqref>BA1:BA1048576</xm:sqref>
        </x14:dataValidation>
        <x14:dataValidation type="list" allowBlank="1" showInputMessage="1" showErrorMessage="1" xr:uid="{ACB2AA8A-7907-4BF5-BDC2-126336E59B0D}">
          <x14:formula1>
            <xm:f>Master!$N$69:$N$81</xm:f>
          </x14:formula1>
          <xm:sqref>T9:T1183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B1:N60"/>
  <sheetViews>
    <sheetView showGridLines="0" topLeftCell="A3" zoomScale="120" zoomScaleNormal="120" zoomScaleSheetLayoutView="90" workbookViewId="0">
      <selection activeCell="Q33" sqref="Q33"/>
    </sheetView>
  </sheetViews>
  <sheetFormatPr defaultRowHeight="13.5"/>
  <cols>
    <col min="1" max="1" width="1.5" customWidth="1"/>
    <col min="2" max="2" width="4.125" customWidth="1"/>
    <col min="3" max="3" width="13.125" customWidth="1"/>
    <col min="4" max="4" width="3.75" customWidth="1"/>
    <col min="5" max="5" width="6" customWidth="1"/>
    <col min="6" max="6" width="14.25" customWidth="1"/>
    <col min="7" max="10" width="11.125" customWidth="1"/>
    <col min="11" max="11" width="7.125" customWidth="1"/>
    <col min="14" max="14" width="2.625" customWidth="1"/>
    <col min="18" max="18" width="4.75" customWidth="1"/>
    <col min="21" max="21" width="6.5" customWidth="1"/>
  </cols>
  <sheetData>
    <row r="1" spans="2:14" ht="15" customHeight="1">
      <c r="B1" s="33"/>
      <c r="C1" s="583" t="s">
        <v>208</v>
      </c>
      <c r="D1" s="584"/>
      <c r="E1" s="584"/>
      <c r="F1" s="584"/>
      <c r="G1" s="584"/>
      <c r="H1" s="584"/>
      <c r="I1" s="585"/>
      <c r="J1" s="576" t="s">
        <v>254</v>
      </c>
      <c r="K1" s="576"/>
      <c r="L1" s="577">
        <f>'Test Management'!O2+6</f>
        <v>46145</v>
      </c>
      <c r="M1" s="578"/>
      <c r="N1" s="579"/>
    </row>
    <row r="2" spans="2:14" ht="15" customHeight="1">
      <c r="B2" s="10"/>
      <c r="C2" s="586"/>
      <c r="D2" s="587"/>
      <c r="E2" s="587"/>
      <c r="F2" s="587"/>
      <c r="G2" s="587"/>
      <c r="H2" s="587"/>
      <c r="I2" s="588"/>
      <c r="J2" s="576"/>
      <c r="K2" s="576"/>
      <c r="L2" s="580"/>
      <c r="M2" s="581"/>
      <c r="N2" s="582"/>
    </row>
    <row r="3" spans="2:14" ht="15" customHeight="1">
      <c r="B3" s="10"/>
      <c r="C3" s="596" t="s">
        <v>150</v>
      </c>
      <c r="D3" s="597"/>
      <c r="E3" s="589" t="str">
        <f>Master!E3</f>
        <v>WiseOffice基盤更改プロジェクト</v>
      </c>
      <c r="F3" s="590"/>
      <c r="G3" s="590"/>
      <c r="H3" s="590"/>
      <c r="I3" s="591"/>
      <c r="J3" s="596" t="s">
        <v>151</v>
      </c>
      <c r="K3" s="597"/>
      <c r="L3" s="595" t="str">
        <f>Master!I3</f>
        <v>結合試験</v>
      </c>
      <c r="M3" s="595"/>
      <c r="N3" s="595"/>
    </row>
    <row r="4" spans="2:14" ht="15" customHeight="1">
      <c r="B4" s="11"/>
      <c r="C4" s="598"/>
      <c r="D4" s="599"/>
      <c r="E4" s="592"/>
      <c r="F4" s="593"/>
      <c r="G4" s="593"/>
      <c r="H4" s="593"/>
      <c r="I4" s="594"/>
      <c r="J4" s="598"/>
      <c r="K4" s="599"/>
      <c r="L4" s="595"/>
      <c r="M4" s="595"/>
      <c r="N4" s="595"/>
    </row>
    <row r="5" spans="2:14" ht="7.5" customHeight="1"/>
    <row r="6" spans="2:14" ht="15" customHeight="1">
      <c r="B6" s="147" t="s">
        <v>219</v>
      </c>
    </row>
    <row r="7" spans="2:14">
      <c r="C7" s="601" t="s">
        <v>222</v>
      </c>
      <c r="D7" s="602"/>
      <c r="E7" s="603">
        <f>'Test Management'!D399</f>
        <v>0</v>
      </c>
      <c r="F7" s="604"/>
      <c r="G7" s="601" t="s">
        <v>223</v>
      </c>
      <c r="H7" s="605"/>
      <c r="I7" s="125">
        <f>'Test Management'!H400</f>
        <v>0</v>
      </c>
      <c r="J7" s="575" t="s">
        <v>220</v>
      </c>
      <c r="K7" s="575"/>
      <c r="L7" s="126">
        <f>IF(E7=0,0,I7/E7)</f>
        <v>0</v>
      </c>
    </row>
    <row r="8" spans="2:14" ht="5.25" customHeight="1"/>
    <row r="9" spans="2:14" ht="16.5" customHeight="1">
      <c r="B9" s="148" t="s">
        <v>203</v>
      </c>
    </row>
    <row r="10" spans="2:14" ht="24" customHeight="1">
      <c r="C10" s="240" t="s">
        <v>227</v>
      </c>
      <c r="E10" s="575"/>
      <c r="F10" s="575"/>
      <c r="G10" s="299" t="s">
        <v>221</v>
      </c>
      <c r="H10" s="300" t="s">
        <v>225</v>
      </c>
      <c r="I10" s="300" t="s">
        <v>224</v>
      </c>
      <c r="J10" s="300" t="s">
        <v>226</v>
      </c>
      <c r="K10" s="127"/>
      <c r="L10" s="29"/>
    </row>
    <row r="11" spans="2:14">
      <c r="C11" s="608">
        <f>Master!E28</f>
        <v>0</v>
      </c>
      <c r="E11" s="606" t="s">
        <v>204</v>
      </c>
      <c r="F11" s="125" t="s">
        <v>304</v>
      </c>
      <c r="G11" s="150">
        <f>C11*Master!F31</f>
        <v>0</v>
      </c>
      <c r="H11" s="151">
        <f>Master!F31</f>
        <v>80</v>
      </c>
      <c r="I11" s="150">
        <f>C11*Master!F32</f>
        <v>0</v>
      </c>
      <c r="J11" s="152">
        <f>Master!F32</f>
        <v>2</v>
      </c>
      <c r="K11" s="128"/>
    </row>
    <row r="12" spans="2:14">
      <c r="C12" s="609"/>
      <c r="E12" s="607"/>
      <c r="F12" s="125" t="s">
        <v>305</v>
      </c>
      <c r="G12" s="150">
        <f>C11*Master!E31</f>
        <v>0</v>
      </c>
      <c r="H12" s="153">
        <f>Master!E31</f>
        <v>30</v>
      </c>
      <c r="I12" s="150">
        <f>C11*Master!E32</f>
        <v>0</v>
      </c>
      <c r="J12" s="152">
        <f>Master!E32</f>
        <v>0.7</v>
      </c>
      <c r="K12" s="128"/>
    </row>
    <row r="13" spans="2:14">
      <c r="C13" s="609"/>
      <c r="E13" s="611" t="s">
        <v>205</v>
      </c>
      <c r="F13" s="125" t="s">
        <v>303</v>
      </c>
      <c r="G13" s="154">
        <f>I7</f>
        <v>0</v>
      </c>
      <c r="H13" s="153" t="e">
        <f>G13/C11</f>
        <v>#DIV/0!</v>
      </c>
      <c r="I13" s="154">
        <f>W_Header!I1</f>
        <v>0</v>
      </c>
      <c r="J13" s="152" t="e">
        <f>I13/C11</f>
        <v>#DIV/0!</v>
      </c>
      <c r="K13" s="128"/>
    </row>
    <row r="14" spans="2:14">
      <c r="C14" s="610"/>
      <c r="E14" s="611"/>
      <c r="F14" s="125" t="s">
        <v>306</v>
      </c>
      <c r="G14" s="155">
        <f>E7</f>
        <v>0</v>
      </c>
      <c r="H14" s="156" t="e">
        <f>G14/C11</f>
        <v>#DIV/0!</v>
      </c>
      <c r="I14" s="159">
        <f>IF(L7&lt;&gt;1,IF(L1&lt;=Master!$E$9+7*(Master!$H$9-1),"-",MAX('W_Failure data'!$D$8:$BA$8)),I13)</f>
        <v>0</v>
      </c>
      <c r="J14" s="157" t="str">
        <f>IF(ISERROR(I14/C11),"-",I14/C11)</f>
        <v>-</v>
      </c>
      <c r="K14" s="128"/>
    </row>
    <row r="15" spans="2:14" ht="4.5" customHeight="1">
      <c r="E15" s="149"/>
    </row>
    <row r="16" spans="2:14">
      <c r="B16" s="124" t="s">
        <v>259</v>
      </c>
      <c r="C16" s="124"/>
      <c r="D16" s="124"/>
      <c r="E16" s="124"/>
      <c r="F16" s="124"/>
      <c r="G16" s="124"/>
    </row>
    <row r="32" ht="12" customHeight="1"/>
    <row r="33" spans="2:7">
      <c r="B33" t="s">
        <v>178</v>
      </c>
      <c r="E33" s="600"/>
      <c r="F33" s="600"/>
      <c r="G33" s="600"/>
    </row>
    <row r="45" spans="2:7" ht="10.5" customHeight="1"/>
    <row r="46" spans="2:7" ht="9" customHeight="1"/>
    <row r="59" spans="2:2" ht="5.25" customHeight="1"/>
    <row r="60" spans="2:2" ht="12.75" customHeight="1">
      <c r="B60" t="s">
        <v>177</v>
      </c>
    </row>
  </sheetData>
  <mergeCells count="16">
    <mergeCell ref="E33:G33"/>
    <mergeCell ref="C7:D7"/>
    <mergeCell ref="E7:F7"/>
    <mergeCell ref="G7:H7"/>
    <mergeCell ref="E11:E12"/>
    <mergeCell ref="C11:C14"/>
    <mergeCell ref="E13:E14"/>
    <mergeCell ref="J7:K7"/>
    <mergeCell ref="E10:F10"/>
    <mergeCell ref="J1:K2"/>
    <mergeCell ref="L1:N2"/>
    <mergeCell ref="C1:I2"/>
    <mergeCell ref="E3:I4"/>
    <mergeCell ref="L3:N4"/>
    <mergeCell ref="C3:D4"/>
    <mergeCell ref="J3:K4"/>
  </mergeCells>
  <phoneticPr fontId="7"/>
  <pageMargins left="0.23622047244094491" right="0.23622047244094491" top="0.74803149606299213" bottom="0.74803149606299213" header="0.31496062992125984" footer="0.31496062992125984"/>
  <pageSetup paperSize="9" scale="87" orientation="portrait" r:id="rId1"/>
  <headerFooter>
    <oddHeader>&amp;R&amp;10&amp;D 時点</oddHeader>
    <oddFooter>&amp;L&amp;9TOMATO&amp;C&amp;10&amp;P／&amp;N &amp;R&amp;9Copyright (c) TOYOTSU SYSCOM CO., LTD. All Rights Reserved.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944543" r:id="rId4" name="Button4063">
              <controlPr defaultSize="0" print="0" autoFill="0" autoPict="0" macro="[0]!Gompertz">
                <anchor moveWithCells="1" sizeWithCells="1">
                  <from>
                    <xdr:col>10</xdr:col>
                    <xdr:colOff>123825</xdr:colOff>
                    <xdr:row>26</xdr:row>
                    <xdr:rowOff>76200</xdr:rowOff>
                  </from>
                  <to>
                    <xdr:col>12</xdr:col>
                    <xdr:colOff>466725</xdr:colOff>
                    <xdr:row>29</xdr:row>
                    <xdr:rowOff>38100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B2:H13"/>
  <sheetViews>
    <sheetView showGridLines="0" view="pageBreakPreview" zoomScaleNormal="100" zoomScaleSheetLayoutView="100" workbookViewId="0">
      <selection activeCell="E6" sqref="E6"/>
    </sheetView>
  </sheetViews>
  <sheetFormatPr defaultRowHeight="13.5"/>
  <cols>
    <col min="1" max="1" width="2.25" customWidth="1"/>
    <col min="2" max="2" width="10.625" bestFit="1" customWidth="1"/>
    <col min="3" max="3" width="12.25" bestFit="1" customWidth="1"/>
    <col min="4" max="4" width="17.375" bestFit="1" customWidth="1"/>
    <col min="5" max="5" width="16" bestFit="1" customWidth="1"/>
    <col min="7" max="7" width="2.125" customWidth="1"/>
  </cols>
  <sheetData>
    <row r="2" spans="2:8">
      <c r="B2" s="163" t="s">
        <v>343</v>
      </c>
      <c r="C2" s="612">
        <f>'Analysis report'!L1</f>
        <v>46145</v>
      </c>
      <c r="D2" s="613"/>
    </row>
    <row r="3" spans="2:8" ht="14.25" thickBot="1"/>
    <row r="4" spans="2:8">
      <c r="B4" s="218" t="s">
        <v>326</v>
      </c>
      <c r="C4" s="219" t="s">
        <v>327</v>
      </c>
      <c r="D4" s="220" t="s">
        <v>328</v>
      </c>
      <c r="E4" s="221">
        <f>'Analysis report'!H11</f>
        <v>80</v>
      </c>
      <c r="F4" s="222" t="s">
        <v>329</v>
      </c>
      <c r="H4" t="s">
        <v>340</v>
      </c>
    </row>
    <row r="5" spans="2:8">
      <c r="B5" s="223"/>
      <c r="C5" s="224"/>
      <c r="D5" s="225" t="s">
        <v>330</v>
      </c>
      <c r="E5" s="226">
        <f>'Analysis report'!H12</f>
        <v>30</v>
      </c>
      <c r="F5" s="227" t="s">
        <v>329</v>
      </c>
      <c r="H5" t="s">
        <v>341</v>
      </c>
    </row>
    <row r="6" spans="2:8">
      <c r="B6" s="223"/>
      <c r="C6" s="224"/>
      <c r="D6" s="225" t="s">
        <v>331</v>
      </c>
      <c r="E6" s="228" t="e">
        <f>'Analysis report'!H14</f>
        <v>#DIV/0!</v>
      </c>
      <c r="F6" s="227" t="s">
        <v>329</v>
      </c>
    </row>
    <row r="7" spans="2:8">
      <c r="B7" s="223"/>
      <c r="C7" s="224"/>
      <c r="D7" s="225" t="s">
        <v>332</v>
      </c>
      <c r="E7" s="229">
        <f>'Analysis report'!J11</f>
        <v>2</v>
      </c>
      <c r="F7" s="227" t="s">
        <v>333</v>
      </c>
      <c r="H7" t="s">
        <v>342</v>
      </c>
    </row>
    <row r="8" spans="2:8">
      <c r="B8" s="223"/>
      <c r="C8" s="224"/>
      <c r="D8" s="225" t="s">
        <v>334</v>
      </c>
      <c r="E8" s="229">
        <f>'Analysis report'!J12</f>
        <v>0.7</v>
      </c>
      <c r="F8" s="227" t="s">
        <v>333</v>
      </c>
    </row>
    <row r="9" spans="2:8">
      <c r="B9" s="223"/>
      <c r="C9" s="224"/>
      <c r="D9" s="225" t="s">
        <v>335</v>
      </c>
      <c r="E9" s="229" t="str">
        <f>'Analysis report'!J14</f>
        <v>-</v>
      </c>
      <c r="F9" s="227" t="s">
        <v>333</v>
      </c>
    </row>
    <row r="10" spans="2:8">
      <c r="B10" s="223"/>
      <c r="C10" s="230" t="s">
        <v>336</v>
      </c>
      <c r="D10" s="231" t="s">
        <v>337</v>
      </c>
      <c r="E10" s="232">
        <f>'Analysis report'!E7</f>
        <v>0</v>
      </c>
      <c r="F10" s="233" t="s">
        <v>338</v>
      </c>
    </row>
    <row r="11" spans="2:8" ht="14.25" thickBot="1">
      <c r="B11" s="234"/>
      <c r="C11" s="235"/>
      <c r="D11" s="236" t="s">
        <v>339</v>
      </c>
      <c r="E11" s="237">
        <f>'Analysis report'!I7</f>
        <v>0</v>
      </c>
      <c r="F11" s="238" t="s">
        <v>338</v>
      </c>
    </row>
    <row r="13" spans="2:8">
      <c r="E13" s="200" t="s">
        <v>407</v>
      </c>
    </row>
  </sheetData>
  <mergeCells count="1">
    <mergeCell ref="C2:D2"/>
  </mergeCells>
  <phoneticPr fontId="36"/>
  <pageMargins left="0.70866141732283472" right="0.70866141732283472" top="0.74803149606299213" bottom="0.74803149606299213" header="0.31496062992125984" footer="0.31496062992125984"/>
  <pageSetup paperSize="9" scale="72" orientation="landscape" r:id="rId1"/>
  <headerFooter>
    <oddHeader>&amp;R&amp;D</oddHeader>
    <oddFooter>&amp;LTOMATO&amp;RCopyright (c) TOYOTSU SYSCOM CO., LTD. All Rights Reserved.</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theme="0" tint="-0.499984740745262"/>
  </sheetPr>
  <dimension ref="A1:AU149"/>
  <sheetViews>
    <sheetView showGridLines="0" view="pageBreakPreview" topLeftCell="I15" zoomScale="115" zoomScaleNormal="100" zoomScaleSheetLayoutView="115" workbookViewId="0">
      <selection activeCell="AA15" sqref="AA15"/>
    </sheetView>
  </sheetViews>
  <sheetFormatPr defaultColWidth="9" defaultRowHeight="12"/>
  <cols>
    <col min="1" max="1" width="1.75" style="1" customWidth="1"/>
    <col min="2" max="2" width="3.5" style="1" customWidth="1"/>
    <col min="3" max="3" width="7.25" style="1" customWidth="1"/>
    <col min="4" max="6" width="21.5" style="1" customWidth="1"/>
    <col min="7" max="7" width="6.5" style="1" customWidth="1"/>
    <col min="8" max="8" width="22.75" style="1" customWidth="1"/>
    <col min="9" max="10" width="15.125" style="1" customWidth="1"/>
    <col min="11" max="11" width="14.5" style="1" customWidth="1"/>
    <col min="12" max="12" width="10.25" style="1" customWidth="1"/>
    <col min="13" max="13" width="10.375" style="1" bestFit="1" customWidth="1"/>
    <col min="14" max="16" width="20.5" style="1" customWidth="1"/>
    <col min="17" max="38" width="11.75" style="1" bestFit="1" customWidth="1"/>
    <col min="39" max="42" width="9.125" style="1" bestFit="1" customWidth="1"/>
    <col min="43" max="16384" width="9" style="1"/>
  </cols>
  <sheetData>
    <row r="1" spans="1:47" ht="15.75" customHeight="1">
      <c r="A1"/>
      <c r="B1" s="13"/>
      <c r="C1" s="583" t="s">
        <v>110</v>
      </c>
      <c r="D1" s="584"/>
      <c r="E1" s="584"/>
      <c r="F1" s="584"/>
      <c r="G1" s="584"/>
      <c r="H1" s="584"/>
      <c r="I1" s="584"/>
      <c r="J1" s="620"/>
      <c r="K1" s="621"/>
    </row>
    <row r="2" spans="1:47" ht="15.75" customHeight="1">
      <c r="A2"/>
      <c r="B2" s="12"/>
      <c r="C2" s="586"/>
      <c r="D2" s="587"/>
      <c r="E2" s="587"/>
      <c r="F2" s="587"/>
      <c r="G2" s="587"/>
      <c r="H2" s="587"/>
      <c r="I2" s="587"/>
      <c r="J2" s="622"/>
      <c r="K2" s="623"/>
    </row>
    <row r="3" spans="1:47" ht="15.75" customHeight="1">
      <c r="A3"/>
      <c r="B3" s="10"/>
      <c r="C3" s="627" t="s">
        <v>79</v>
      </c>
      <c r="D3" s="627"/>
      <c r="E3" s="630" t="s">
        <v>679</v>
      </c>
      <c r="F3" s="630"/>
      <c r="G3" s="627" t="s">
        <v>80</v>
      </c>
      <c r="H3" s="627"/>
      <c r="I3" s="614" t="s">
        <v>752</v>
      </c>
      <c r="J3" s="615"/>
      <c r="K3" s="616"/>
    </row>
    <row r="4" spans="1:47" ht="15.75" customHeight="1">
      <c r="A4"/>
      <c r="B4" s="11"/>
      <c r="C4" s="627"/>
      <c r="D4" s="627"/>
      <c r="E4" s="630"/>
      <c r="F4" s="630"/>
      <c r="G4" s="627"/>
      <c r="H4" s="627"/>
      <c r="I4" s="617"/>
      <c r="J4" s="618"/>
      <c r="K4" s="619"/>
    </row>
    <row r="5" spans="1:47" s="2" customFormat="1" ht="13.5">
      <c r="A5"/>
      <c r="B5"/>
      <c r="C5"/>
      <c r="D5"/>
      <c r="E5"/>
      <c r="F5"/>
      <c r="G5"/>
      <c r="H5"/>
      <c r="I5"/>
      <c r="J5"/>
      <c r="K5"/>
    </row>
    <row r="6" spans="1:47" s="2" customFormat="1" ht="13.5">
      <c r="A6"/>
      <c r="B6"/>
      <c r="C6" t="s">
        <v>111</v>
      </c>
      <c r="D6"/>
      <c r="E6"/>
      <c r="F6"/>
      <c r="G6"/>
      <c r="H6"/>
      <c r="I6"/>
      <c r="J6"/>
      <c r="K6"/>
    </row>
    <row r="7" spans="1:47" s="2" customFormat="1" ht="13.5">
      <c r="A7"/>
      <c r="B7"/>
      <c r="C7"/>
      <c r="D7"/>
      <c r="E7"/>
      <c r="F7"/>
      <c r="G7"/>
      <c r="H7"/>
      <c r="I7"/>
      <c r="J7" s="82"/>
      <c r="K7"/>
    </row>
    <row r="8" spans="1:47" s="2" customFormat="1" ht="13.5">
      <c r="A8"/>
      <c r="B8"/>
      <c r="C8"/>
      <c r="D8" s="575" t="s">
        <v>262</v>
      </c>
      <c r="E8" s="8" t="s">
        <v>112</v>
      </c>
      <c r="F8" s="9" t="s">
        <v>113</v>
      </c>
      <c r="G8"/>
      <c r="H8" s="239" t="s">
        <v>320</v>
      </c>
      <c r="K8"/>
      <c r="M8" s="251" t="s">
        <v>454</v>
      </c>
      <c r="N8" s="251" t="s">
        <v>122</v>
      </c>
      <c r="O8" s="251" t="s">
        <v>455</v>
      </c>
      <c r="P8" s="251" t="s">
        <v>128</v>
      </c>
      <c r="Q8" s="251" t="s">
        <v>647</v>
      </c>
      <c r="V8" s="251"/>
      <c r="W8" s="251" t="s">
        <v>487</v>
      </c>
      <c r="X8" s="361" t="s">
        <v>753</v>
      </c>
      <c r="Y8" s="441" t="s">
        <v>754</v>
      </c>
      <c r="Z8" s="442" t="s">
        <v>765</v>
      </c>
      <c r="AA8" s="442" t="s">
        <v>755</v>
      </c>
      <c r="AB8" s="442" t="s">
        <v>758</v>
      </c>
      <c r="AC8" s="442" t="s">
        <v>759</v>
      </c>
      <c r="AD8" s="442" t="s">
        <v>760</v>
      </c>
      <c r="AE8" s="442" t="s">
        <v>762</v>
      </c>
      <c r="AF8" s="442" t="s">
        <v>764</v>
      </c>
      <c r="AG8" s="360"/>
      <c r="AH8" s="360"/>
      <c r="AI8" s="360"/>
      <c r="AJ8" s="360"/>
      <c r="AK8" s="360"/>
      <c r="AL8" s="360"/>
      <c r="AM8" s="360"/>
      <c r="AN8" s="360"/>
      <c r="AO8" s="360"/>
      <c r="AP8" s="360"/>
      <c r="AQ8" s="360"/>
      <c r="AR8" s="360"/>
      <c r="AS8" s="360"/>
      <c r="AT8" s="360"/>
      <c r="AU8" s="360"/>
    </row>
    <row r="9" spans="1:47" s="2" customFormat="1" ht="13.5">
      <c r="A9"/>
      <c r="B9"/>
      <c r="C9"/>
      <c r="D9" s="575"/>
      <c r="E9" s="115">
        <v>46113</v>
      </c>
      <c r="F9" s="116">
        <v>46203</v>
      </c>
      <c r="G9"/>
      <c r="H9" s="158">
        <v>5</v>
      </c>
      <c r="I9"/>
      <c r="J9"/>
      <c r="K9"/>
      <c r="M9" s="258">
        <v>1</v>
      </c>
      <c r="N9" s="259" t="s">
        <v>474</v>
      </c>
      <c r="O9" s="260" t="s">
        <v>456</v>
      </c>
      <c r="P9" s="261" t="s">
        <v>483</v>
      </c>
      <c r="Q9" s="261" t="s">
        <v>648</v>
      </c>
      <c r="V9" s="258">
        <v>1</v>
      </c>
      <c r="W9" s="272" t="s">
        <v>488</v>
      </c>
      <c r="Y9" s="443" t="s">
        <v>769</v>
      </c>
      <c r="Z9" s="357" t="s">
        <v>778</v>
      </c>
      <c r="AA9" s="357" t="s">
        <v>756</v>
      </c>
      <c r="AB9" s="357" t="s">
        <v>779</v>
      </c>
      <c r="AC9" s="357" t="s">
        <v>781</v>
      </c>
      <c r="AD9" s="357" t="s">
        <v>761</v>
      </c>
      <c r="AE9" s="357" t="s">
        <v>763</v>
      </c>
      <c r="AF9" s="357" t="s">
        <v>764</v>
      </c>
      <c r="AG9" s="357"/>
      <c r="AH9" s="357"/>
      <c r="AI9" s="357"/>
      <c r="AJ9" s="357"/>
      <c r="AK9" s="357"/>
      <c r="AL9" s="357"/>
      <c r="AM9" s="357"/>
      <c r="AN9" s="357"/>
      <c r="AO9" s="357"/>
      <c r="AP9" s="357"/>
      <c r="AQ9" s="357"/>
      <c r="AR9" s="357"/>
      <c r="AS9" s="357"/>
      <c r="AT9" s="357"/>
      <c r="AU9" s="357"/>
    </row>
    <row r="10" spans="1:47" s="2" customFormat="1" ht="13.5">
      <c r="A10"/>
      <c r="B10"/>
      <c r="C10"/>
      <c r="D10" s="142" t="s">
        <v>263</v>
      </c>
      <c r="E10"/>
      <c r="F10" s="82"/>
      <c r="G10"/>
      <c r="H10" s="142"/>
      <c r="I10"/>
      <c r="J10"/>
      <c r="K10"/>
      <c r="M10" s="262">
        <v>2</v>
      </c>
      <c r="N10" s="263" t="s">
        <v>481</v>
      </c>
      <c r="O10" s="264"/>
      <c r="P10" s="265" t="s">
        <v>484</v>
      </c>
      <c r="Q10" s="265" t="s">
        <v>649</v>
      </c>
      <c r="V10" s="262">
        <v>2</v>
      </c>
      <c r="W10" s="265" t="s">
        <v>489</v>
      </c>
      <c r="Y10" s="446" t="s">
        <v>782</v>
      </c>
      <c r="Z10" s="358"/>
      <c r="AA10" s="358" t="s">
        <v>757</v>
      </c>
      <c r="AB10" s="358" t="s">
        <v>780</v>
      </c>
      <c r="AC10" s="358"/>
      <c r="AD10" s="358"/>
      <c r="AE10" s="358"/>
      <c r="AF10" s="358"/>
      <c r="AG10" s="358"/>
      <c r="AH10" s="358"/>
      <c r="AI10" s="358"/>
      <c r="AJ10" s="358"/>
      <c r="AK10" s="358"/>
      <c r="AL10" s="358"/>
      <c r="AM10" s="358"/>
      <c r="AN10" s="358"/>
      <c r="AO10" s="358"/>
      <c r="AP10" s="358"/>
      <c r="AQ10" s="358"/>
      <c r="AR10" s="358"/>
      <c r="AS10" s="358"/>
      <c r="AT10" s="358"/>
      <c r="AU10" s="358"/>
    </row>
    <row r="11" spans="1:47" s="2" customFormat="1" ht="13.5">
      <c r="A11"/>
      <c r="B11"/>
      <c r="C11"/>
      <c r="D11" s="628" t="s">
        <v>209</v>
      </c>
      <c r="E11" s="8" t="s">
        <v>210</v>
      </c>
      <c r="F11" s="9" t="s">
        <v>211</v>
      </c>
      <c r="G11"/>
      <c r="H11"/>
      <c r="I11" s="624" t="s">
        <v>386</v>
      </c>
      <c r="J11" s="625"/>
      <c r="K11" s="626"/>
      <c r="M11" s="262">
        <v>3</v>
      </c>
      <c r="N11" s="263" t="s">
        <v>475</v>
      </c>
      <c r="O11" s="264"/>
      <c r="P11" s="265"/>
      <c r="Q11" s="265" t="s">
        <v>650</v>
      </c>
      <c r="V11" s="262">
        <v>3</v>
      </c>
      <c r="W11" s="265" t="s">
        <v>680</v>
      </c>
      <c r="Y11" s="444" t="s">
        <v>770</v>
      </c>
      <c r="Z11" s="358"/>
      <c r="AA11" s="358" t="s">
        <v>841</v>
      </c>
      <c r="AB11" s="358"/>
      <c r="AC11" s="358"/>
      <c r="AD11" s="358"/>
      <c r="AE11" s="358"/>
      <c r="AF11" s="358"/>
      <c r="AG11" s="358"/>
      <c r="AH11" s="358"/>
      <c r="AI11" s="358"/>
      <c r="AJ11" s="358"/>
      <c r="AK11" s="358"/>
      <c r="AL11" s="358"/>
      <c r="AM11" s="358"/>
      <c r="AN11" s="358"/>
      <c r="AO11" s="358"/>
      <c r="AP11" s="358"/>
      <c r="AQ11" s="358"/>
      <c r="AR11" s="358"/>
      <c r="AS11" s="358"/>
      <c r="AT11" s="358"/>
      <c r="AU11" s="358"/>
    </row>
    <row r="12" spans="1:47" s="2" customFormat="1" ht="13.5">
      <c r="A12"/>
      <c r="B12"/>
      <c r="C12"/>
      <c r="D12" s="629"/>
      <c r="E12" s="117" t="s">
        <v>396</v>
      </c>
      <c r="F12" s="96" t="str">
        <f>VLOOKUP($E$12,$H$56:$J$62,2,FALSE)</f>
        <v>日曜日</v>
      </c>
      <c r="G12"/>
      <c r="H12"/>
      <c r="I12" s="198" t="s">
        <v>136</v>
      </c>
      <c r="J12" s="198" t="s">
        <v>387</v>
      </c>
      <c r="K12" s="199" t="s">
        <v>405</v>
      </c>
      <c r="M12" s="262">
        <v>4</v>
      </c>
      <c r="N12" s="263" t="s">
        <v>480</v>
      </c>
      <c r="O12" s="264"/>
      <c r="P12" s="265"/>
      <c r="Q12" s="265" t="s">
        <v>651</v>
      </c>
      <c r="V12" s="262">
        <v>4</v>
      </c>
      <c r="W12" s="265" t="s">
        <v>681</v>
      </c>
      <c r="Y12" s="444" t="s">
        <v>771</v>
      </c>
      <c r="Z12" s="358"/>
      <c r="AA12" s="358" t="s">
        <v>842</v>
      </c>
      <c r="AB12" s="358"/>
      <c r="AC12" s="358"/>
      <c r="AD12" s="358"/>
      <c r="AE12" s="358"/>
      <c r="AF12" s="358"/>
      <c r="AG12" s="358"/>
      <c r="AH12" s="358"/>
      <c r="AI12" s="358"/>
      <c r="AJ12" s="358"/>
      <c r="AK12" s="358"/>
      <c r="AL12" s="358"/>
      <c r="AM12" s="358"/>
      <c r="AN12" s="358"/>
      <c r="AO12" s="358"/>
      <c r="AP12" s="358"/>
      <c r="AQ12" s="358"/>
      <c r="AR12" s="358"/>
      <c r="AS12" s="358"/>
      <c r="AT12" s="358"/>
      <c r="AU12" s="358"/>
    </row>
    <row r="13" spans="1:47" s="2" customFormat="1" ht="13.5">
      <c r="A13"/>
      <c r="B13"/>
      <c r="C13"/>
      <c r="D13"/>
      <c r="E13"/>
      <c r="F13"/>
      <c r="G13"/>
      <c r="H13"/>
      <c r="I13" s="185" t="s">
        <v>388</v>
      </c>
      <c r="J13" s="185" t="s">
        <v>389</v>
      </c>
      <c r="K13" s="185" t="s">
        <v>408</v>
      </c>
      <c r="M13" s="262">
        <v>5</v>
      </c>
      <c r="N13" s="263" t="s">
        <v>477</v>
      </c>
      <c r="O13" s="264"/>
      <c r="P13" s="265"/>
      <c r="Q13" s="265" t="s">
        <v>652</v>
      </c>
      <c r="V13" s="262">
        <v>5</v>
      </c>
      <c r="W13" s="265" t="s">
        <v>490</v>
      </c>
      <c r="Y13" s="444" t="s">
        <v>772</v>
      </c>
      <c r="Z13" s="358"/>
      <c r="AA13" s="358" t="s">
        <v>843</v>
      </c>
      <c r="AB13" s="358"/>
      <c r="AC13" s="358"/>
      <c r="AD13" s="358"/>
      <c r="AE13" s="358"/>
      <c r="AF13" s="358"/>
      <c r="AG13" s="358"/>
      <c r="AH13" s="358"/>
      <c r="AI13" s="358"/>
      <c r="AJ13" s="358"/>
      <c r="AK13" s="358"/>
      <c r="AL13" s="358"/>
      <c r="AM13" s="358"/>
      <c r="AN13" s="358"/>
      <c r="AO13" s="358"/>
      <c r="AP13" s="358"/>
      <c r="AQ13" s="358"/>
      <c r="AR13" s="358"/>
      <c r="AS13" s="358"/>
      <c r="AT13" s="358"/>
      <c r="AU13" s="358"/>
    </row>
    <row r="14" spans="1:47" s="2" customFormat="1" ht="13.5">
      <c r="A14"/>
      <c r="B14"/>
      <c r="C14"/>
      <c r="D14" s="41" t="s">
        <v>191</v>
      </c>
      <c r="E14" s="41" t="s">
        <v>76</v>
      </c>
      <c r="F14" s="41" t="s">
        <v>125</v>
      </c>
      <c r="G14"/>
      <c r="H14" s="356" t="s">
        <v>677</v>
      </c>
      <c r="I14" s="41" t="s">
        <v>386</v>
      </c>
      <c r="J14"/>
      <c r="K14"/>
      <c r="M14" s="262">
        <v>6</v>
      </c>
      <c r="N14" s="263" t="s">
        <v>478</v>
      </c>
      <c r="O14" s="264"/>
      <c r="P14" s="265"/>
      <c r="Q14" s="265" t="s">
        <v>653</v>
      </c>
      <c r="V14" s="262">
        <v>6</v>
      </c>
      <c r="W14" s="265" t="s">
        <v>682</v>
      </c>
      <c r="Y14" s="444" t="s">
        <v>773</v>
      </c>
      <c r="Z14" s="358"/>
      <c r="AA14" s="358" t="s">
        <v>844</v>
      </c>
      <c r="AB14" s="358"/>
      <c r="AC14" s="358"/>
      <c r="AD14" s="358"/>
      <c r="AE14" s="358"/>
      <c r="AF14" s="358"/>
      <c r="AG14" s="358"/>
      <c r="AH14" s="358"/>
      <c r="AI14" s="358"/>
      <c r="AJ14" s="358"/>
      <c r="AK14" s="358"/>
      <c r="AL14" s="358"/>
      <c r="AM14" s="358"/>
      <c r="AN14" s="358"/>
      <c r="AO14" s="358"/>
      <c r="AP14" s="358"/>
      <c r="AQ14" s="358"/>
      <c r="AR14" s="358"/>
      <c r="AS14" s="358"/>
      <c r="AT14" s="358"/>
      <c r="AU14" s="358"/>
    </row>
    <row r="15" spans="1:47" s="2" customFormat="1" ht="13.5">
      <c r="A15"/>
      <c r="B15"/>
      <c r="C15"/>
      <c r="D15" s="62">
        <v>1</v>
      </c>
      <c r="E15" s="118" t="s">
        <v>188</v>
      </c>
      <c r="F15" s="103" t="s">
        <v>190</v>
      </c>
      <c r="G15"/>
      <c r="H15" t="s">
        <v>678</v>
      </c>
      <c r="I15" s="193" t="s">
        <v>388</v>
      </c>
      <c r="J15"/>
      <c r="K15"/>
      <c r="M15" s="262">
        <v>7</v>
      </c>
      <c r="N15" s="263" t="s">
        <v>482</v>
      </c>
      <c r="O15" s="264"/>
      <c r="P15" s="265"/>
      <c r="Q15" s="265" t="s">
        <v>654</v>
      </c>
      <c r="V15" s="262">
        <v>7</v>
      </c>
      <c r="W15" s="265" t="s">
        <v>683</v>
      </c>
      <c r="Y15" s="444" t="s">
        <v>774</v>
      </c>
      <c r="Z15" s="358"/>
      <c r="AA15" s="358"/>
      <c r="AB15" s="358"/>
      <c r="AC15" s="358"/>
      <c r="AD15" s="358"/>
      <c r="AE15" s="358"/>
      <c r="AF15" s="358"/>
      <c r="AG15" s="358"/>
      <c r="AH15" s="358"/>
      <c r="AI15" s="358"/>
      <c r="AJ15" s="358"/>
      <c r="AK15" s="358"/>
      <c r="AL15" s="358"/>
      <c r="AM15" s="358"/>
      <c r="AN15" s="358"/>
      <c r="AO15" s="358"/>
      <c r="AP15" s="358"/>
      <c r="AQ15" s="358"/>
      <c r="AR15" s="358"/>
      <c r="AS15" s="358"/>
      <c r="AT15" s="358"/>
      <c r="AU15" s="358"/>
    </row>
    <row r="16" spans="1:47" s="2" customFormat="1" ht="13.5">
      <c r="A16"/>
      <c r="B16"/>
      <c r="C16"/>
      <c r="D16" s="63">
        <v>2</v>
      </c>
      <c r="E16" s="119" t="s">
        <v>187</v>
      </c>
      <c r="F16" s="113" t="s">
        <v>194</v>
      </c>
      <c r="G16"/>
      <c r="H16" t="s">
        <v>456</v>
      </c>
      <c r="I16" s="194" t="s">
        <v>390</v>
      </c>
      <c r="J16"/>
      <c r="K16"/>
      <c r="M16" s="262">
        <v>8</v>
      </c>
      <c r="N16" s="263" t="s">
        <v>479</v>
      </c>
      <c r="O16" s="264"/>
      <c r="P16" s="265"/>
      <c r="Q16" s="265" t="s">
        <v>457</v>
      </c>
      <c r="V16" s="262">
        <v>8</v>
      </c>
      <c r="W16" s="265" t="s">
        <v>684</v>
      </c>
      <c r="Y16" s="444" t="s">
        <v>775</v>
      </c>
      <c r="Z16" s="358"/>
      <c r="AA16" s="358"/>
      <c r="AB16" s="358"/>
      <c r="AC16" s="358"/>
      <c r="AD16" s="358"/>
      <c r="AE16" s="358"/>
      <c r="AF16" s="358"/>
      <c r="AG16" s="358"/>
      <c r="AH16" s="358"/>
      <c r="AI16" s="358"/>
      <c r="AJ16" s="358"/>
      <c r="AK16" s="358"/>
      <c r="AL16" s="358"/>
      <c r="AM16" s="358"/>
      <c r="AN16" s="358"/>
      <c r="AO16" s="358"/>
      <c r="AP16" s="358"/>
      <c r="AQ16" s="358"/>
      <c r="AR16" s="358"/>
      <c r="AS16" s="358"/>
      <c r="AT16" s="358"/>
      <c r="AU16" s="358"/>
    </row>
    <row r="17" spans="1:47" s="2" customFormat="1" ht="13.5">
      <c r="A17"/>
      <c r="B17"/>
      <c r="C17"/>
      <c r="D17" s="63">
        <v>3</v>
      </c>
      <c r="E17" s="119" t="s">
        <v>189</v>
      </c>
      <c r="F17" s="113" t="s">
        <v>195</v>
      </c>
      <c r="G17"/>
      <c r="H17"/>
      <c r="I17" s="194" t="s">
        <v>389</v>
      </c>
      <c r="J17"/>
      <c r="K17"/>
      <c r="M17" s="262">
        <v>9</v>
      </c>
      <c r="N17" s="263" t="s">
        <v>499</v>
      </c>
      <c r="O17" s="264"/>
      <c r="P17" s="265"/>
      <c r="Q17" s="265"/>
      <c r="V17" s="262">
        <v>9</v>
      </c>
      <c r="W17" s="265" t="s">
        <v>685</v>
      </c>
      <c r="Y17" s="444" t="s">
        <v>776</v>
      </c>
      <c r="Z17" s="358"/>
      <c r="AA17" s="358"/>
      <c r="AB17" s="358"/>
      <c r="AC17" s="358"/>
      <c r="AD17" s="358"/>
      <c r="AE17" s="358"/>
      <c r="AF17" s="358"/>
      <c r="AG17" s="358"/>
      <c r="AH17" s="358"/>
      <c r="AI17" s="358"/>
      <c r="AJ17" s="358"/>
      <c r="AK17" s="358"/>
      <c r="AL17" s="358"/>
      <c r="AM17" s="358"/>
      <c r="AN17" s="358"/>
      <c r="AO17" s="358"/>
      <c r="AP17" s="358"/>
      <c r="AQ17" s="358"/>
      <c r="AR17" s="358"/>
      <c r="AS17" s="358"/>
      <c r="AT17" s="358"/>
      <c r="AU17" s="358"/>
    </row>
    <row r="18" spans="1:47" s="2" customFormat="1" ht="13.5">
      <c r="A18"/>
      <c r="B18"/>
      <c r="C18"/>
      <c r="D18" s="63">
        <v>4</v>
      </c>
      <c r="E18" s="119" t="s">
        <v>193</v>
      </c>
      <c r="F18" s="113" t="s">
        <v>196</v>
      </c>
      <c r="G18"/>
      <c r="H18"/>
      <c r="I18" s="194" t="s">
        <v>391</v>
      </c>
      <c r="J18"/>
      <c r="K18"/>
      <c r="M18" s="266">
        <v>10</v>
      </c>
      <c r="N18" s="267" t="s">
        <v>476</v>
      </c>
      <c r="O18" s="268"/>
      <c r="P18" s="269"/>
      <c r="Q18" s="269"/>
      <c r="V18" s="258">
        <v>10</v>
      </c>
      <c r="W18" s="272" t="s">
        <v>686</v>
      </c>
      <c r="Y18" s="444" t="s">
        <v>777</v>
      </c>
      <c r="Z18" s="358"/>
      <c r="AA18" s="358"/>
      <c r="AB18" s="358"/>
      <c r="AC18" s="358"/>
      <c r="AD18" s="358"/>
      <c r="AE18" s="358"/>
      <c r="AF18" s="358"/>
      <c r="AG18" s="358"/>
      <c r="AH18" s="358"/>
      <c r="AI18" s="358"/>
      <c r="AJ18" s="358"/>
      <c r="AK18" s="358"/>
      <c r="AL18" s="358"/>
      <c r="AM18" s="358"/>
      <c r="AN18" s="358"/>
      <c r="AO18" s="358"/>
      <c r="AP18" s="358"/>
      <c r="AQ18" s="358"/>
      <c r="AR18" s="358"/>
      <c r="AS18" s="358"/>
      <c r="AT18" s="358"/>
      <c r="AU18" s="358"/>
    </row>
    <row r="19" spans="1:47" s="2" customFormat="1" ht="13.5">
      <c r="A19"/>
      <c r="B19"/>
      <c r="C19"/>
      <c r="D19" s="63">
        <v>5</v>
      </c>
      <c r="E19" s="119" t="s">
        <v>192</v>
      </c>
      <c r="F19" s="113" t="s">
        <v>192</v>
      </c>
      <c r="G19"/>
      <c r="H19"/>
      <c r="I19" s="194" t="s">
        <v>392</v>
      </c>
      <c r="J19"/>
      <c r="K19"/>
      <c r="V19" s="262">
        <v>11</v>
      </c>
      <c r="W19" s="265" t="s">
        <v>687</v>
      </c>
      <c r="Y19" s="444"/>
      <c r="Z19" s="358"/>
      <c r="AA19" s="358"/>
      <c r="AB19" s="358"/>
      <c r="AC19" s="358"/>
      <c r="AD19" s="358"/>
      <c r="AE19" s="358"/>
      <c r="AF19" s="358"/>
      <c r="AG19" s="358"/>
      <c r="AH19" s="358"/>
      <c r="AI19" s="358"/>
      <c r="AJ19" s="358"/>
      <c r="AK19" s="358"/>
      <c r="AL19" s="358"/>
      <c r="AM19" s="358"/>
      <c r="AN19" s="358"/>
      <c r="AO19" s="358"/>
      <c r="AP19" s="358"/>
      <c r="AQ19" s="358"/>
      <c r="AR19" s="358"/>
      <c r="AS19" s="358"/>
      <c r="AT19" s="358"/>
      <c r="AU19" s="358"/>
    </row>
    <row r="20" spans="1:47" s="2" customFormat="1" ht="13.5">
      <c r="A20"/>
      <c r="B20"/>
      <c r="C20"/>
      <c r="D20" s="63">
        <v>6</v>
      </c>
      <c r="E20" s="119" t="s">
        <v>192</v>
      </c>
      <c r="F20" s="113" t="s">
        <v>192</v>
      </c>
      <c r="G20"/>
      <c r="H20"/>
      <c r="I20" s="195" t="s">
        <v>403</v>
      </c>
      <c r="J20"/>
      <c r="K20"/>
      <c r="V20" s="262">
        <v>12</v>
      </c>
      <c r="W20" s="265" t="s">
        <v>688</v>
      </c>
      <c r="Y20" s="358"/>
      <c r="Z20" s="358"/>
      <c r="AA20" s="358"/>
      <c r="AB20" s="358"/>
      <c r="AC20" s="358"/>
      <c r="AD20" s="358"/>
      <c r="AE20" s="358"/>
      <c r="AF20" s="358"/>
      <c r="AG20" s="358"/>
      <c r="AH20" s="358"/>
      <c r="AI20" s="358"/>
      <c r="AJ20" s="358"/>
      <c r="AK20" s="358"/>
      <c r="AL20" s="358"/>
      <c r="AM20" s="358"/>
      <c r="AN20" s="358"/>
      <c r="AO20" s="358"/>
      <c r="AP20" s="358"/>
      <c r="AQ20" s="358"/>
      <c r="AR20" s="358"/>
      <c r="AS20" s="358"/>
      <c r="AT20" s="358"/>
      <c r="AU20" s="358"/>
    </row>
    <row r="21" spans="1:47" s="2" customFormat="1" ht="13.5">
      <c r="A21"/>
      <c r="B21"/>
      <c r="C21"/>
      <c r="D21" s="63">
        <v>7</v>
      </c>
      <c r="E21" s="119" t="s">
        <v>192</v>
      </c>
      <c r="F21" s="113" t="s">
        <v>192</v>
      </c>
      <c r="G21"/>
      <c r="H21"/>
      <c r="I21" s="195" t="s">
        <v>404</v>
      </c>
      <c r="J21"/>
      <c r="K21"/>
      <c r="M21" s="270" t="s">
        <v>458</v>
      </c>
      <c r="N21" s="270"/>
      <c r="O21" s="270"/>
      <c r="P21" s="270"/>
      <c r="Q21" s="270"/>
      <c r="R21"/>
      <c r="S21" s="270"/>
      <c r="T21" s="270"/>
      <c r="V21" s="262">
        <v>13</v>
      </c>
      <c r="W21" s="265" t="s">
        <v>689</v>
      </c>
      <c r="Y21" s="358"/>
      <c r="Z21" s="358"/>
      <c r="AA21" s="358"/>
      <c r="AB21" s="358"/>
      <c r="AC21" s="358"/>
      <c r="AD21" s="358"/>
      <c r="AE21" s="358"/>
      <c r="AF21" s="358"/>
      <c r="AG21" s="358"/>
      <c r="AH21" s="358"/>
      <c r="AI21" s="358"/>
      <c r="AJ21" s="358"/>
      <c r="AK21" s="358"/>
      <c r="AL21" s="358"/>
      <c r="AM21" s="358"/>
      <c r="AN21" s="358"/>
      <c r="AO21" s="358"/>
      <c r="AP21" s="358"/>
      <c r="AQ21" s="358"/>
      <c r="AR21" s="358"/>
      <c r="AS21" s="358"/>
      <c r="AT21" s="358"/>
      <c r="AU21" s="358"/>
    </row>
    <row r="22" spans="1:47" s="2" customFormat="1" ht="13.5">
      <c r="A22"/>
      <c r="B22"/>
      <c r="C22"/>
      <c r="D22" s="63">
        <v>8</v>
      </c>
      <c r="E22" s="119" t="s">
        <v>192</v>
      </c>
      <c r="F22" s="113" t="s">
        <v>192</v>
      </c>
      <c r="G22"/>
      <c r="H22"/>
      <c r="I22" s="195" t="s">
        <v>406</v>
      </c>
      <c r="J22"/>
      <c r="K22"/>
      <c r="M22" s="270"/>
      <c r="N22" s="270"/>
      <c r="O22" s="270"/>
      <c r="P22" s="270"/>
      <c r="Q22" s="270"/>
      <c r="R22" s="270"/>
      <c r="S22" s="270"/>
      <c r="T22" s="270"/>
      <c r="V22" s="262">
        <v>14</v>
      </c>
      <c r="W22" s="265" t="s">
        <v>690</v>
      </c>
      <c r="Y22" s="358"/>
      <c r="Z22" s="358"/>
      <c r="AA22" s="358"/>
      <c r="AB22" s="358"/>
      <c r="AC22" s="358"/>
      <c r="AD22" s="358"/>
      <c r="AE22" s="358"/>
      <c r="AF22" s="358"/>
      <c r="AG22" s="358"/>
      <c r="AH22" s="358"/>
      <c r="AI22" s="358"/>
      <c r="AJ22" s="358"/>
      <c r="AK22" s="358"/>
      <c r="AL22" s="358"/>
      <c r="AM22" s="358"/>
      <c r="AN22" s="358"/>
      <c r="AO22" s="358"/>
      <c r="AP22" s="358"/>
      <c r="AQ22" s="358"/>
      <c r="AR22" s="358"/>
      <c r="AS22" s="358"/>
      <c r="AT22" s="358"/>
      <c r="AU22" s="358"/>
    </row>
    <row r="23" spans="1:47" s="2" customFormat="1" ht="13.5">
      <c r="A23"/>
      <c r="B23"/>
      <c r="C23"/>
      <c r="D23" s="63">
        <v>9</v>
      </c>
      <c r="E23" s="119" t="s">
        <v>192</v>
      </c>
      <c r="F23" s="113" t="s">
        <v>192</v>
      </c>
      <c r="G23"/>
      <c r="H23"/>
      <c r="I23" s="195"/>
      <c r="J23"/>
      <c r="K23"/>
      <c r="M23" s="251" t="s">
        <v>454</v>
      </c>
      <c r="N23" s="251" t="s">
        <v>459</v>
      </c>
      <c r="O23" s="251" t="s">
        <v>460</v>
      </c>
      <c r="P23" s="251" t="s">
        <v>461</v>
      </c>
      <c r="Q23" s="251" t="s">
        <v>471</v>
      </c>
      <c r="R23" s="251" t="s">
        <v>472</v>
      </c>
      <c r="S23" s="251" t="s">
        <v>498</v>
      </c>
      <c r="T23" s="251" t="s">
        <v>457</v>
      </c>
      <c r="U23" s="251" t="s">
        <v>701</v>
      </c>
      <c r="V23" s="262">
        <v>15</v>
      </c>
      <c r="W23" s="265"/>
      <c r="Y23" s="358"/>
      <c r="Z23" s="358"/>
      <c r="AA23" s="358"/>
      <c r="AB23" s="358"/>
      <c r="AC23" s="358"/>
      <c r="AD23" s="358"/>
      <c r="AE23" s="358"/>
      <c r="AF23" s="358"/>
      <c r="AG23" s="358"/>
      <c r="AH23" s="358"/>
      <c r="AI23" s="358"/>
      <c r="AJ23" s="358"/>
      <c r="AK23" s="358"/>
      <c r="AL23" s="358"/>
      <c r="AM23" s="358"/>
      <c r="AN23" s="358"/>
      <c r="AO23" s="358"/>
      <c r="AP23" s="358"/>
      <c r="AQ23" s="358"/>
      <c r="AR23" s="358"/>
      <c r="AS23" s="358"/>
      <c r="AT23" s="358"/>
      <c r="AU23" s="358"/>
    </row>
    <row r="24" spans="1:47" s="2" customFormat="1" ht="13.5">
      <c r="A24"/>
      <c r="B24"/>
      <c r="C24"/>
      <c r="D24" s="64">
        <v>10</v>
      </c>
      <c r="E24" s="120" t="s">
        <v>192</v>
      </c>
      <c r="F24" s="106" t="s">
        <v>192</v>
      </c>
      <c r="G24"/>
      <c r="H24"/>
      <c r="I24" s="196"/>
      <c r="J24"/>
      <c r="K24"/>
      <c r="M24" s="258">
        <v>1</v>
      </c>
      <c r="N24" s="271" t="s">
        <v>620</v>
      </c>
      <c r="O24" s="259" t="s">
        <v>621</v>
      </c>
      <c r="P24" s="259" t="s">
        <v>622</v>
      </c>
      <c r="Q24" s="259" t="s">
        <v>602</v>
      </c>
      <c r="R24" s="259" t="s">
        <v>623</v>
      </c>
      <c r="S24" s="259" t="s">
        <v>624</v>
      </c>
      <c r="T24" s="272" t="s">
        <v>625</v>
      </c>
      <c r="U24" s="272" t="s">
        <v>702</v>
      </c>
      <c r="V24" s="262">
        <v>16</v>
      </c>
      <c r="W24" s="265" t="s">
        <v>691</v>
      </c>
      <c r="Y24" s="358"/>
      <c r="Z24" s="358"/>
      <c r="AA24" s="358"/>
      <c r="AB24" s="358"/>
      <c r="AC24" s="358"/>
      <c r="AD24" s="358"/>
      <c r="AE24" s="358"/>
      <c r="AF24" s="358"/>
      <c r="AG24" s="358"/>
      <c r="AH24" s="358"/>
      <c r="AI24" s="358"/>
      <c r="AJ24" s="358"/>
      <c r="AK24" s="358"/>
      <c r="AL24" s="358"/>
      <c r="AM24" s="358"/>
      <c r="AN24" s="358"/>
      <c r="AO24" s="358"/>
      <c r="AP24" s="358"/>
      <c r="AQ24" s="358"/>
      <c r="AR24" s="358"/>
      <c r="AS24" s="358"/>
      <c r="AT24" s="358"/>
      <c r="AU24" s="358"/>
    </row>
    <row r="25" spans="1:47" s="2" customFormat="1" ht="13.5">
      <c r="A25"/>
      <c r="B25"/>
      <c r="C25"/>
      <c r="D25"/>
      <c r="E25"/>
      <c r="F25"/>
      <c r="G25"/>
      <c r="H25"/>
      <c r="I25"/>
      <c r="J25"/>
      <c r="K25"/>
      <c r="M25" s="262">
        <v>2</v>
      </c>
      <c r="N25" s="273" t="s">
        <v>626</v>
      </c>
      <c r="O25" s="263" t="s">
        <v>627</v>
      </c>
      <c r="P25" s="263" t="s">
        <v>628</v>
      </c>
      <c r="Q25" s="263" t="s">
        <v>605</v>
      </c>
      <c r="R25" s="263" t="s">
        <v>629</v>
      </c>
      <c r="S25" s="263" t="s">
        <v>630</v>
      </c>
      <c r="T25" s="265"/>
      <c r="U25" s="265" t="s">
        <v>703</v>
      </c>
      <c r="V25" s="262">
        <v>17</v>
      </c>
      <c r="W25" s="265" t="s">
        <v>692</v>
      </c>
      <c r="Y25" s="358"/>
      <c r="Z25" s="358"/>
      <c r="AA25" s="358"/>
      <c r="AB25" s="358"/>
      <c r="AC25" s="358"/>
      <c r="AD25" s="358"/>
      <c r="AE25" s="358"/>
      <c r="AF25" s="358"/>
      <c r="AG25" s="358"/>
      <c r="AH25" s="358"/>
      <c r="AI25" s="358"/>
      <c r="AJ25" s="358"/>
      <c r="AK25" s="358"/>
      <c r="AL25" s="358"/>
      <c r="AM25" s="358"/>
      <c r="AN25" s="358"/>
      <c r="AO25" s="358"/>
      <c r="AP25" s="358"/>
      <c r="AQ25" s="358"/>
      <c r="AR25" s="358"/>
      <c r="AS25" s="358"/>
      <c r="AT25" s="358"/>
      <c r="AU25" s="358"/>
    </row>
    <row r="26" spans="1:47" s="2" customFormat="1" ht="13.5">
      <c r="A26"/>
      <c r="B26"/>
      <c r="C26" t="s">
        <v>198</v>
      </c>
      <c r="D26"/>
      <c r="E26"/>
      <c r="F26"/>
      <c r="G26"/>
      <c r="H26"/>
      <c r="I26"/>
      <c r="J26"/>
      <c r="K26"/>
      <c r="M26" s="262">
        <v>3</v>
      </c>
      <c r="N26" s="273"/>
      <c r="O26" s="263" t="s">
        <v>631</v>
      </c>
      <c r="P26" s="263" t="s">
        <v>632</v>
      </c>
      <c r="Q26" s="263" t="s">
        <v>608</v>
      </c>
      <c r="R26" s="263" t="s">
        <v>633</v>
      </c>
      <c r="S26" s="263" t="s">
        <v>634</v>
      </c>
      <c r="T26" s="265"/>
      <c r="U26" s="265"/>
      <c r="V26" s="262">
        <v>18</v>
      </c>
      <c r="W26" s="265" t="s">
        <v>693</v>
      </c>
      <c r="Y26" s="358"/>
      <c r="Z26" s="358"/>
      <c r="AA26" s="358"/>
      <c r="AB26" s="358"/>
      <c r="AC26" s="358"/>
      <c r="AD26" s="358"/>
      <c r="AE26" s="358"/>
      <c r="AF26" s="358"/>
      <c r="AG26" s="358"/>
      <c r="AH26" s="358"/>
      <c r="AI26" s="358"/>
      <c r="AJ26" s="358"/>
      <c r="AK26" s="358"/>
      <c r="AL26" s="358"/>
      <c r="AM26" s="358"/>
      <c r="AN26" s="358"/>
      <c r="AO26" s="358"/>
      <c r="AP26" s="358"/>
      <c r="AQ26" s="358"/>
      <c r="AR26" s="358"/>
      <c r="AS26" s="358"/>
      <c r="AT26" s="358"/>
      <c r="AU26" s="358"/>
    </row>
    <row r="27" spans="1:47" s="2" customFormat="1" ht="13.5">
      <c r="A27"/>
      <c r="B27"/>
      <c r="C27"/>
      <c r="D27"/>
      <c r="E27"/>
      <c r="F27"/>
      <c r="G27"/>
      <c r="H27"/>
      <c r="I27"/>
      <c r="J27"/>
      <c r="K27"/>
      <c r="M27" s="262">
        <v>4</v>
      </c>
      <c r="N27" s="273"/>
      <c r="O27" s="263" t="s">
        <v>635</v>
      </c>
      <c r="P27" s="263" t="s">
        <v>636</v>
      </c>
      <c r="Q27" s="263" t="s">
        <v>709</v>
      </c>
      <c r="R27" s="263" t="s">
        <v>637</v>
      </c>
      <c r="S27" s="263" t="s">
        <v>638</v>
      </c>
      <c r="T27" s="265"/>
      <c r="U27" s="265"/>
      <c r="V27" s="262">
        <v>19</v>
      </c>
      <c r="W27" s="265" t="s">
        <v>694</v>
      </c>
      <c r="Y27" s="358"/>
      <c r="Z27" s="358"/>
      <c r="AA27" s="358"/>
      <c r="AB27" s="358"/>
      <c r="AC27" s="358"/>
      <c r="AD27" s="358"/>
      <c r="AE27" s="358"/>
      <c r="AF27" s="358"/>
      <c r="AG27" s="358"/>
      <c r="AH27" s="358"/>
      <c r="AI27" s="358"/>
      <c r="AJ27" s="358"/>
      <c r="AK27" s="358"/>
      <c r="AL27" s="358"/>
      <c r="AM27" s="358"/>
      <c r="AN27" s="358"/>
      <c r="AO27" s="358"/>
      <c r="AP27" s="358"/>
      <c r="AQ27" s="358"/>
      <c r="AR27" s="358"/>
      <c r="AS27" s="358"/>
      <c r="AT27" s="358"/>
      <c r="AU27" s="358"/>
    </row>
    <row r="28" spans="1:47" s="2" customFormat="1" ht="13.5">
      <c r="A28"/>
      <c r="B28"/>
      <c r="C28"/>
      <c r="D28" s="4" t="s">
        <v>199</v>
      </c>
      <c r="E28" s="121"/>
      <c r="F28" t="s">
        <v>214</v>
      </c>
      <c r="G28"/>
      <c r="H28"/>
      <c r="I28"/>
      <c r="J28"/>
      <c r="K28"/>
      <c r="M28" s="262">
        <v>5</v>
      </c>
      <c r="N28" s="273"/>
      <c r="O28" s="263"/>
      <c r="P28" s="263"/>
      <c r="Q28" s="263" t="s">
        <v>704</v>
      </c>
      <c r="R28" s="263" t="s">
        <v>639</v>
      </c>
      <c r="S28" s="263" t="s">
        <v>640</v>
      </c>
      <c r="T28" s="265"/>
      <c r="U28" s="265"/>
      <c r="V28" s="266">
        <v>20</v>
      </c>
      <c r="W28" s="269" t="s">
        <v>695</v>
      </c>
      <c r="Y28" s="358"/>
      <c r="Z28" s="358"/>
      <c r="AA28" s="358"/>
      <c r="AB28" s="358"/>
      <c r="AC28" s="358"/>
      <c r="AD28" s="358"/>
      <c r="AE28" s="358"/>
      <c r="AF28" s="358"/>
      <c r="AG28" s="358"/>
      <c r="AH28" s="358"/>
      <c r="AI28" s="358"/>
      <c r="AJ28" s="358"/>
      <c r="AK28" s="358"/>
      <c r="AL28" s="358"/>
      <c r="AM28" s="358"/>
      <c r="AN28" s="358"/>
      <c r="AO28" s="358"/>
      <c r="AP28" s="358"/>
      <c r="AQ28" s="358"/>
      <c r="AR28" s="358"/>
      <c r="AS28" s="358"/>
      <c r="AT28" s="358"/>
      <c r="AU28" s="358"/>
    </row>
    <row r="29" spans="1:47" s="2" customFormat="1" ht="13.5">
      <c r="A29"/>
      <c r="B29"/>
      <c r="C29"/>
      <c r="D29"/>
      <c r="E29"/>
      <c r="F29"/>
      <c r="G29"/>
      <c r="H29"/>
      <c r="I29"/>
      <c r="J29"/>
      <c r="K29"/>
      <c r="M29" s="262">
        <v>6</v>
      </c>
      <c r="N29" s="273"/>
      <c r="O29" s="263"/>
      <c r="P29" s="263"/>
      <c r="Q29" s="263" t="s">
        <v>710</v>
      </c>
      <c r="R29" s="263"/>
      <c r="S29" s="263" t="s">
        <v>641</v>
      </c>
      <c r="T29" s="265"/>
      <c r="U29" s="265"/>
      <c r="V29" s="266">
        <v>21</v>
      </c>
      <c r="W29" s="269" t="s">
        <v>696</v>
      </c>
      <c r="Y29" s="358"/>
      <c r="Z29" s="358"/>
      <c r="AA29" s="358"/>
      <c r="AB29" s="358"/>
      <c r="AC29" s="358"/>
      <c r="AD29" s="358"/>
      <c r="AE29" s="358"/>
      <c r="AF29" s="358"/>
      <c r="AG29" s="358"/>
      <c r="AH29" s="358"/>
      <c r="AI29" s="358"/>
      <c r="AJ29" s="358"/>
      <c r="AK29" s="358"/>
      <c r="AL29" s="358"/>
      <c r="AM29" s="358"/>
      <c r="AN29" s="358"/>
      <c r="AO29" s="358"/>
      <c r="AP29" s="358"/>
      <c r="AQ29" s="358"/>
      <c r="AR29" s="358"/>
      <c r="AS29" s="358"/>
      <c r="AT29" s="358"/>
      <c r="AU29" s="358"/>
    </row>
    <row r="30" spans="1:47" s="2" customFormat="1" ht="13.5">
      <c r="A30"/>
      <c r="B30"/>
      <c r="C30"/>
      <c r="D30" s="4"/>
      <c r="E30" s="4" t="s">
        <v>202</v>
      </c>
      <c r="F30" s="4" t="s">
        <v>201</v>
      </c>
      <c r="G30"/>
      <c r="H30"/>
      <c r="I30"/>
      <c r="J30"/>
      <c r="K30"/>
      <c r="M30" s="262">
        <v>7</v>
      </c>
      <c r="N30" s="273"/>
      <c r="O30" s="263"/>
      <c r="P30" s="263"/>
      <c r="Q30" s="263"/>
      <c r="R30" s="263"/>
      <c r="S30" s="263" t="s">
        <v>642</v>
      </c>
      <c r="T30" s="265"/>
      <c r="U30" s="265"/>
      <c r="V30" s="266">
        <v>22</v>
      </c>
      <c r="W30" s="269" t="s">
        <v>697</v>
      </c>
      <c r="Y30" s="358"/>
      <c r="Z30" s="358"/>
      <c r="AA30" s="358"/>
      <c r="AB30" s="358"/>
      <c r="AC30" s="358"/>
      <c r="AD30" s="358"/>
      <c r="AE30" s="358"/>
      <c r="AF30" s="358"/>
      <c r="AG30" s="358"/>
      <c r="AH30" s="358"/>
      <c r="AI30" s="358"/>
      <c r="AJ30" s="358"/>
      <c r="AK30" s="358"/>
      <c r="AL30" s="358"/>
      <c r="AM30" s="358"/>
      <c r="AN30" s="358"/>
      <c r="AO30" s="358"/>
      <c r="AP30" s="358"/>
      <c r="AQ30" s="358"/>
      <c r="AR30" s="358"/>
      <c r="AS30" s="358"/>
      <c r="AT30" s="358"/>
      <c r="AU30" s="358"/>
    </row>
    <row r="31" spans="1:47" s="2" customFormat="1" ht="13.5">
      <c r="A31"/>
      <c r="B31"/>
      <c r="C31"/>
      <c r="D31" s="241" t="s">
        <v>200</v>
      </c>
      <c r="E31" s="121">
        <v>30</v>
      </c>
      <c r="F31" s="121">
        <v>80</v>
      </c>
      <c r="G31" t="s">
        <v>213</v>
      </c>
      <c r="H31"/>
      <c r="I31"/>
      <c r="J31"/>
      <c r="K31"/>
      <c r="M31" s="262">
        <v>8</v>
      </c>
      <c r="N31" s="273"/>
      <c r="O31" s="263"/>
      <c r="P31" s="263"/>
      <c r="Q31" s="263"/>
      <c r="R31" s="263"/>
      <c r="S31" s="263"/>
      <c r="T31" s="265"/>
      <c r="U31" s="265"/>
      <c r="Y31" s="359"/>
      <c r="Z31" s="359"/>
      <c r="AA31" s="359"/>
      <c r="AB31" s="359"/>
      <c r="AC31" s="359"/>
      <c r="AD31" s="359"/>
      <c r="AE31" s="359"/>
      <c r="AF31" s="359"/>
      <c r="AG31" s="359"/>
      <c r="AH31" s="359"/>
      <c r="AI31" s="359"/>
      <c r="AJ31" s="359"/>
      <c r="AK31" s="359"/>
      <c r="AL31" s="359"/>
      <c r="AM31" s="359"/>
      <c r="AN31" s="359"/>
      <c r="AO31" s="359"/>
      <c r="AP31" s="359"/>
      <c r="AQ31" s="359"/>
      <c r="AR31" s="359"/>
      <c r="AS31" s="359"/>
      <c r="AT31" s="359"/>
      <c r="AU31" s="359"/>
    </row>
    <row r="32" spans="1:47" s="2" customFormat="1" ht="13.5">
      <c r="A32"/>
      <c r="B32"/>
      <c r="C32"/>
      <c r="D32" s="241" t="s">
        <v>207</v>
      </c>
      <c r="E32" s="121">
        <v>0.7</v>
      </c>
      <c r="F32" s="121">
        <v>2</v>
      </c>
      <c r="G32" t="s">
        <v>346</v>
      </c>
      <c r="H32"/>
      <c r="I32"/>
      <c r="J32"/>
      <c r="K32"/>
      <c r="M32" s="262">
        <v>9</v>
      </c>
      <c r="N32" s="273"/>
      <c r="O32" s="263"/>
      <c r="P32" s="263"/>
      <c r="Q32" s="263"/>
      <c r="R32" s="263"/>
      <c r="S32" s="263"/>
      <c r="T32" s="265"/>
      <c r="U32" s="265"/>
      <c r="Y32" s="439"/>
      <c r="Z32" s="439"/>
      <c r="AA32" s="439"/>
      <c r="AB32" s="439"/>
      <c r="AC32" s="439"/>
      <c r="AD32" s="439"/>
      <c r="AE32" s="439"/>
      <c r="AF32" s="439"/>
      <c r="AG32" s="439"/>
      <c r="AH32" s="439"/>
      <c r="AI32" s="439"/>
      <c r="AJ32" s="439"/>
      <c r="AK32" s="439"/>
      <c r="AL32" s="439"/>
      <c r="AM32" s="439"/>
      <c r="AN32" s="439"/>
      <c r="AO32" s="439"/>
      <c r="AP32" s="439"/>
      <c r="AQ32" s="439"/>
      <c r="AR32" s="439"/>
      <c r="AS32" s="439"/>
      <c r="AT32" s="439"/>
      <c r="AU32" s="359"/>
    </row>
    <row r="33" spans="1:47" s="2" customFormat="1" ht="13.5">
      <c r="A33"/>
      <c r="B33"/>
      <c r="C33"/>
      <c r="D33"/>
      <c r="E33"/>
      <c r="F33"/>
      <c r="G33"/>
      <c r="H33"/>
      <c r="I33"/>
      <c r="J33"/>
      <c r="K33"/>
      <c r="M33" s="266">
        <v>10</v>
      </c>
      <c r="N33" s="274"/>
      <c r="O33" s="267"/>
      <c r="P33" s="267"/>
      <c r="Q33" s="267"/>
      <c r="R33" s="267"/>
      <c r="S33" s="267"/>
      <c r="T33" s="269"/>
      <c r="U33" s="269"/>
      <c r="Y33" s="439"/>
      <c r="Z33" s="439"/>
      <c r="AA33" s="439"/>
      <c r="AB33" s="439"/>
      <c r="AC33" s="439"/>
      <c r="AD33" s="439"/>
      <c r="AE33" s="439"/>
      <c r="AF33" s="439"/>
      <c r="AG33" s="439"/>
      <c r="AH33" s="439"/>
      <c r="AI33" s="439"/>
      <c r="AJ33" s="439"/>
      <c r="AK33" s="439"/>
      <c r="AL33" s="439"/>
      <c r="AM33" s="439"/>
      <c r="AN33" s="439"/>
      <c r="AO33" s="439"/>
      <c r="AP33" s="439"/>
      <c r="AQ33" s="439"/>
      <c r="AR33" s="439"/>
      <c r="AS33" s="439"/>
      <c r="AT33" s="439"/>
      <c r="AU33" s="359"/>
    </row>
    <row r="34" spans="1:47" s="2" customFormat="1" ht="13.5">
      <c r="A34"/>
      <c r="B34"/>
      <c r="C34" s="1" t="s">
        <v>197</v>
      </c>
      <c r="D34"/>
      <c r="E34"/>
      <c r="F34"/>
      <c r="G34"/>
      <c r="H34"/>
      <c r="I34"/>
      <c r="J34"/>
      <c r="K34"/>
      <c r="Y34" s="439"/>
      <c r="Z34" s="439"/>
      <c r="AA34" s="439"/>
      <c r="AB34" s="439"/>
      <c r="AC34" s="439"/>
      <c r="AD34" s="439"/>
      <c r="AE34" s="439"/>
      <c r="AF34" s="439"/>
      <c r="AG34" s="439"/>
      <c r="AH34" s="439"/>
      <c r="AI34" s="439"/>
      <c r="AJ34" s="439"/>
      <c r="AK34" s="439"/>
      <c r="AL34" s="439"/>
      <c r="AM34" s="439"/>
      <c r="AN34" s="439"/>
      <c r="AO34" s="439"/>
      <c r="AP34" s="439"/>
      <c r="AQ34" s="439"/>
      <c r="AR34" s="439"/>
      <c r="AS34" s="439"/>
      <c r="AT34" s="439"/>
      <c r="AU34" s="359"/>
    </row>
    <row r="35" spans="1:47" ht="13.5">
      <c r="R35" s="270" t="s">
        <v>616</v>
      </c>
      <c r="Y35" s="440"/>
      <c r="Z35" s="440"/>
      <c r="AA35" s="440"/>
      <c r="AB35" s="440"/>
      <c r="AC35" s="440"/>
      <c r="AD35" s="440"/>
      <c r="AE35" s="440"/>
      <c r="AF35" s="440"/>
      <c r="AG35" s="440"/>
      <c r="AH35" s="440"/>
      <c r="AI35" s="440"/>
      <c r="AJ35" s="440"/>
      <c r="AK35" s="440"/>
      <c r="AL35" s="440"/>
      <c r="AM35" s="440"/>
      <c r="AN35" s="440"/>
      <c r="AO35" s="440"/>
      <c r="AP35" s="440"/>
      <c r="AQ35" s="440"/>
      <c r="AR35" s="440"/>
      <c r="AS35" s="440"/>
      <c r="AT35" s="440"/>
      <c r="AU35" s="359"/>
    </row>
    <row r="36" spans="1:47" ht="13.5" customHeight="1">
      <c r="D36" s="4" t="s">
        <v>81</v>
      </c>
      <c r="E36" s="121" t="s">
        <v>159</v>
      </c>
      <c r="F36"/>
      <c r="M36"/>
      <c r="N36" s="275" t="s">
        <v>465</v>
      </c>
      <c r="O36" s="276" t="s">
        <v>466</v>
      </c>
      <c r="P36" s="277" t="s">
        <v>473</v>
      </c>
      <c r="R36" s="345" t="s">
        <v>617</v>
      </c>
      <c r="S36" s="345" t="s">
        <v>618</v>
      </c>
      <c r="T36" s="182" t="s">
        <v>675</v>
      </c>
      <c r="U36" s="345" t="s">
        <v>676</v>
      </c>
      <c r="V36" s="182" t="s">
        <v>643</v>
      </c>
      <c r="W36" s="182" t="s">
        <v>656</v>
      </c>
      <c r="X36" s="2"/>
      <c r="Y36" s="440"/>
      <c r="Z36" s="440"/>
      <c r="AA36" s="440"/>
      <c r="AB36" s="440"/>
      <c r="AC36" s="440"/>
      <c r="AD36" s="440"/>
      <c r="AE36" s="440"/>
      <c r="AF36" s="440"/>
      <c r="AG36" s="440"/>
      <c r="AH36" s="440"/>
      <c r="AI36" s="440"/>
      <c r="AJ36" s="440"/>
      <c r="AK36" s="440"/>
      <c r="AL36" s="440"/>
      <c r="AM36" s="440"/>
      <c r="AN36" s="440"/>
      <c r="AO36" s="440"/>
      <c r="AP36" s="440"/>
      <c r="AQ36" s="440"/>
      <c r="AR36" s="440"/>
      <c r="AS36" s="440"/>
      <c r="AT36" s="440"/>
      <c r="AU36" s="359"/>
    </row>
    <row r="37" spans="1:47" ht="13.5">
      <c r="D37" s="165" t="s">
        <v>355</v>
      </c>
      <c r="E37" s="3"/>
      <c r="M37"/>
      <c r="N37" s="278" t="s">
        <v>218</v>
      </c>
      <c r="O37" s="279" t="str">
        <f>$N$23</f>
        <v>要件定義</v>
      </c>
      <c r="P37" s="280" t="s">
        <v>467</v>
      </c>
      <c r="R37" s="350" t="s">
        <v>601</v>
      </c>
      <c r="S37" s="350" t="s">
        <v>602</v>
      </c>
      <c r="T37" s="350" t="s">
        <v>671</v>
      </c>
      <c r="U37" s="350" t="s">
        <v>600</v>
      </c>
      <c r="V37" s="350" t="s">
        <v>645</v>
      </c>
      <c r="W37" s="349" t="s">
        <v>491</v>
      </c>
      <c r="X37" s="2"/>
    </row>
    <row r="38" spans="1:47" ht="27">
      <c r="D38" s="5" t="s">
        <v>83</v>
      </c>
      <c r="E38" s="122">
        <v>8</v>
      </c>
      <c r="F38"/>
      <c r="H38" s="182" t="s">
        <v>356</v>
      </c>
      <c r="I38" s="182" t="s">
        <v>420</v>
      </c>
      <c r="K38"/>
      <c r="L38"/>
      <c r="N38" s="281" t="s">
        <v>426</v>
      </c>
      <c r="O38" s="282" t="str">
        <f>$O$23</f>
        <v>基本設計</v>
      </c>
      <c r="P38" s="283" t="s">
        <v>468</v>
      </c>
      <c r="R38" s="351" t="s">
        <v>604</v>
      </c>
      <c r="S38" s="351" t="s">
        <v>605</v>
      </c>
      <c r="T38" s="351" t="s">
        <v>672</v>
      </c>
      <c r="U38" s="351" t="s">
        <v>603</v>
      </c>
      <c r="V38" s="351" t="s">
        <v>644</v>
      </c>
      <c r="W38" s="346" t="s">
        <v>492</v>
      </c>
      <c r="X38" s="2"/>
    </row>
    <row r="39" spans="1:47" ht="13.5">
      <c r="E39" s="19"/>
      <c r="K39"/>
      <c r="L39"/>
      <c r="N39" s="281" t="s">
        <v>295</v>
      </c>
      <c r="O39" s="282" t="str">
        <f>$P$23</f>
        <v>詳細設計</v>
      </c>
      <c r="P39" s="283" t="s">
        <v>469</v>
      </c>
      <c r="R39" s="351" t="s">
        <v>607</v>
      </c>
      <c r="S39" s="351" t="s">
        <v>608</v>
      </c>
      <c r="T39" s="351" t="s">
        <v>673</v>
      </c>
      <c r="U39" s="351" t="s">
        <v>606</v>
      </c>
      <c r="V39" s="351" t="s">
        <v>646</v>
      </c>
      <c r="W39" s="346" t="s">
        <v>493</v>
      </c>
      <c r="X39" s="2"/>
    </row>
    <row r="40" spans="1:47" ht="27">
      <c r="D40" s="5" t="s">
        <v>109</v>
      </c>
      <c r="E40" s="122" t="s">
        <v>116</v>
      </c>
      <c r="F40"/>
      <c r="H40" s="182" t="s">
        <v>372</v>
      </c>
      <c r="I40" s="183" t="str">
        <f xml:space="preserve"> IF('status report attachment'!E9="-","analysis_chart_10",
 IF(AND('status report attachment'!E6&lt;'status report attachment'!E5,'status report attachment'!E9&gt;'status report attachment'!E7),"analysis_chart_1",
 IF(AND('status report attachment'!E5&lt;='status report attachment'!E6,'status report attachment'!E6&lt;='status report attachment'!E4,'status report attachment'!E9&gt;'status report attachment'!E7),"analysis_chart_2",
 IF(AND('status report attachment'!E6&gt;'status report attachment'!E4,'status report attachment'!E9&gt;'status report attachment'!E7),"analysis_chart_3",
 IF(AND('status report attachment'!E6&lt;'status report attachment'!E5,'status report attachment'!E9&lt;='status report attachment'!E7,'status report attachment'!E9&gt;='status report attachment'!E8),"analysis_chart_4",
 IF(AND('status report attachment'!E6&gt;='status report attachment'!E5,'status report attachment'!E6&lt;='status report attachment'!E4,'status report attachment'!E9&gt;='status report attachment'!E8,'status report attachment'!E9&lt;='status report attachment'!E7),"analysis_chart_5",
 IF(AND('status report attachment'!E6&gt;'status report attachment'!E4,'status report attachment'!E9&lt;='status report attachment'!E7,'status report attachment'!E9&gt;='status report attachment'!E8),"analysis_chart_6",
 IF(AND('status report attachment'!E6&lt;'status report attachment'!E5,'status report attachment'!E9&lt;'status report attachment'!E8),"analysis_chart_7",
 IF(AND('status report attachment'!E6&gt;='status report attachment'!E5,'status report attachment'!E6&lt;='status report attachment'!E4,'status report attachment'!E9&lt;'status report attachment'!E8),"analysis_chart_8",
 "analysis_chart_9")))))))))</f>
        <v>analysis_chart_10</v>
      </c>
      <c r="K40"/>
      <c r="L40"/>
      <c r="N40" s="281" t="s">
        <v>427</v>
      </c>
      <c r="O40" s="282" t="str">
        <f>$Q$23</f>
        <v>プログラミング</v>
      </c>
      <c r="P40" s="283" t="s">
        <v>462</v>
      </c>
      <c r="R40" s="351" t="s">
        <v>610</v>
      </c>
      <c r="S40" s="351" t="s">
        <v>611</v>
      </c>
      <c r="T40" s="351" t="s">
        <v>674</v>
      </c>
      <c r="U40" s="351" t="s">
        <v>609</v>
      </c>
      <c r="V40" s="351"/>
      <c r="W40" s="346" t="s">
        <v>655</v>
      </c>
      <c r="X40" s="2"/>
    </row>
    <row r="41" spans="1:47" ht="13.5">
      <c r="E41" s="19"/>
      <c r="K41"/>
      <c r="L41"/>
      <c r="N41" s="281" t="s">
        <v>428</v>
      </c>
      <c r="O41" s="282" t="str">
        <f>$R$23</f>
        <v>テスト</v>
      </c>
      <c r="P41" s="283" t="s">
        <v>470</v>
      </c>
      <c r="R41" s="351" t="s">
        <v>612</v>
      </c>
      <c r="S41" s="351"/>
      <c r="T41" s="351"/>
      <c r="U41" s="351"/>
      <c r="V41" s="351"/>
      <c r="W41" s="346" t="s">
        <v>494</v>
      </c>
      <c r="X41" s="2"/>
    </row>
    <row r="42" spans="1:47" ht="27">
      <c r="D42" s="5" t="s">
        <v>121</v>
      </c>
      <c r="E42" s="122" t="s">
        <v>116</v>
      </c>
      <c r="F42"/>
      <c r="H42" s="242" t="s">
        <v>373</v>
      </c>
      <c r="I42" s="242" t="s">
        <v>421</v>
      </c>
      <c r="K42"/>
      <c r="L42"/>
      <c r="N42" s="284"/>
      <c r="O42" s="282" t="str">
        <f>$S$23</f>
        <v>環境構築</v>
      </c>
      <c r="P42" s="283" t="s">
        <v>463</v>
      </c>
      <c r="R42" s="351" t="s">
        <v>613</v>
      </c>
      <c r="S42" s="351"/>
      <c r="T42" s="351"/>
      <c r="U42" s="351"/>
      <c r="V42" s="351"/>
      <c r="W42" s="346" t="s">
        <v>496</v>
      </c>
      <c r="X42" s="2"/>
    </row>
    <row r="43" spans="1:47" ht="13.5">
      <c r="E43" s="19"/>
      <c r="I43" s="181"/>
      <c r="K43"/>
      <c r="L43"/>
      <c r="N43" s="270"/>
      <c r="O43" s="285" t="str">
        <f>$T$23</f>
        <v>その他</v>
      </c>
      <c r="P43" s="286" t="s">
        <v>464</v>
      </c>
      <c r="R43" s="351" t="s">
        <v>614</v>
      </c>
      <c r="S43" s="351"/>
      <c r="T43" s="351"/>
      <c r="U43" s="351"/>
      <c r="V43" s="351"/>
      <c r="W43" s="346" t="s">
        <v>495</v>
      </c>
      <c r="X43" s="2"/>
    </row>
    <row r="44" spans="1:47" ht="27">
      <c r="D44" s="5" t="s">
        <v>119</v>
      </c>
      <c r="E44" s="122" t="s">
        <v>452</v>
      </c>
      <c r="F44"/>
      <c r="H44" s="191" t="s">
        <v>393</v>
      </c>
      <c r="I44" s="192" t="s">
        <v>409</v>
      </c>
      <c r="J44" s="189"/>
      <c r="K44"/>
      <c r="L44"/>
      <c r="R44" s="351" t="s">
        <v>615</v>
      </c>
      <c r="S44" s="351"/>
      <c r="T44" s="351"/>
      <c r="U44" s="351"/>
      <c r="V44" s="351"/>
      <c r="W44" s="346" t="s">
        <v>497</v>
      </c>
      <c r="X44" s="2"/>
    </row>
    <row r="45" spans="1:47" ht="13.5">
      <c r="E45" s="19"/>
      <c r="H45" s="188"/>
      <c r="I45" s="188"/>
      <c r="J45" s="188"/>
      <c r="K45"/>
      <c r="L45"/>
      <c r="R45" s="346"/>
      <c r="S45" s="346"/>
      <c r="T45" s="346"/>
      <c r="U45" s="346"/>
      <c r="V45" s="346"/>
      <c r="W45" s="346"/>
      <c r="X45" s="2"/>
    </row>
    <row r="46" spans="1:47" ht="27">
      <c r="D46" s="5" t="s">
        <v>120</v>
      </c>
      <c r="E46" s="122" t="s">
        <v>453</v>
      </c>
      <c r="F46"/>
      <c r="H46" s="191" t="s">
        <v>394</v>
      </c>
      <c r="I46" s="192" t="s">
        <v>410</v>
      </c>
      <c r="J46" s="192" t="s">
        <v>411</v>
      </c>
      <c r="K46"/>
      <c r="L46"/>
      <c r="R46" s="347"/>
      <c r="S46" s="347"/>
      <c r="T46" s="347"/>
      <c r="U46" s="347"/>
      <c r="V46" s="347"/>
      <c r="W46" s="347"/>
      <c r="X46" s="2"/>
    </row>
    <row r="47" spans="1:47" ht="13.5">
      <c r="H47" s="189"/>
      <c r="I47" s="189"/>
      <c r="J47" s="189"/>
      <c r="K47"/>
      <c r="L47"/>
      <c r="X47" s="2"/>
    </row>
    <row r="48" spans="1:47" ht="13.5">
      <c r="D48" s="6" t="s">
        <v>114</v>
      </c>
      <c r="E48" s="6"/>
      <c r="H48" s="190"/>
      <c r="I48" s="188"/>
      <c r="K48"/>
      <c r="L48"/>
    </row>
    <row r="49" spans="4:16" ht="13.5">
      <c r="D49" s="7" t="s">
        <v>115</v>
      </c>
      <c r="E49" s="7" t="s">
        <v>78</v>
      </c>
      <c r="H49" s="188"/>
      <c r="I49" s="188"/>
      <c r="K49"/>
      <c r="L49"/>
    </row>
    <row r="50" spans="4:16" ht="13.5">
      <c r="D50" s="20" t="s">
        <v>82</v>
      </c>
      <c r="E50" s="123" t="s">
        <v>130</v>
      </c>
      <c r="H50" s="188"/>
      <c r="I50" s="188"/>
      <c r="K50"/>
      <c r="L50"/>
    </row>
    <row r="51" spans="4:16" ht="13.5">
      <c r="D51" s="20" t="s">
        <v>84</v>
      </c>
      <c r="E51" s="123" t="s">
        <v>129</v>
      </c>
      <c r="H51" s="188"/>
      <c r="I51" s="188"/>
      <c r="K51"/>
      <c r="L51"/>
      <c r="M51" s="270" t="s">
        <v>718</v>
      </c>
      <c r="N51" s="256"/>
      <c r="O51" s="256"/>
      <c r="P51" s="256"/>
    </row>
    <row r="52" spans="4:16" ht="13.5">
      <c r="D52" s="20" t="s">
        <v>85</v>
      </c>
      <c r="E52" s="123" t="s">
        <v>186</v>
      </c>
      <c r="H52" s="188"/>
      <c r="I52" s="188"/>
      <c r="K52"/>
      <c r="L52"/>
      <c r="M52" s="251"/>
      <c r="N52" s="431" t="s">
        <v>719</v>
      </c>
      <c r="O52" s="431" t="s">
        <v>720</v>
      </c>
      <c r="P52" s="431" t="s">
        <v>721</v>
      </c>
    </row>
    <row r="53" spans="4:16" ht="13.5">
      <c r="D53" s="20" t="s">
        <v>86</v>
      </c>
      <c r="E53" s="123" t="s">
        <v>182</v>
      </c>
      <c r="K53"/>
      <c r="L53"/>
      <c r="M53" s="432">
        <v>1</v>
      </c>
      <c r="N53" s="433" t="s">
        <v>722</v>
      </c>
      <c r="O53" s="433" t="s">
        <v>723</v>
      </c>
      <c r="P53" s="434" t="s">
        <v>724</v>
      </c>
    </row>
    <row r="54" spans="4:16" ht="13.5">
      <c r="D54" s="20" t="s">
        <v>87</v>
      </c>
      <c r="E54" s="123" t="s">
        <v>183</v>
      </c>
      <c r="K54"/>
      <c r="L54"/>
      <c r="M54" s="435">
        <v>2</v>
      </c>
      <c r="N54" s="436" t="s">
        <v>725</v>
      </c>
      <c r="O54" s="436" t="s">
        <v>726</v>
      </c>
      <c r="P54" s="437" t="s">
        <v>727</v>
      </c>
    </row>
    <row r="55" spans="4:16" ht="13.5">
      <c r="D55" s="20" t="s">
        <v>88</v>
      </c>
      <c r="E55" s="123" t="s">
        <v>184</v>
      </c>
      <c r="H55" s="186" t="s">
        <v>395</v>
      </c>
      <c r="I55" s="187"/>
      <c r="J55" s="197"/>
      <c r="K55"/>
      <c r="L55"/>
      <c r="M55" s="435">
        <v>3</v>
      </c>
      <c r="N55" s="436" t="s">
        <v>728</v>
      </c>
      <c r="O55" s="436" t="s">
        <v>729</v>
      </c>
      <c r="P55" s="437" t="s">
        <v>730</v>
      </c>
    </row>
    <row r="56" spans="4:16" ht="13.5">
      <c r="D56" s="20" t="s">
        <v>89</v>
      </c>
      <c r="E56" s="257" t="s">
        <v>445</v>
      </c>
      <c r="H56" s="192" t="s">
        <v>396</v>
      </c>
      <c r="I56" s="192" t="s">
        <v>397</v>
      </c>
      <c r="J56" s="192">
        <v>1</v>
      </c>
      <c r="K56"/>
      <c r="L56"/>
      <c r="M56" s="435">
        <v>4</v>
      </c>
      <c r="N56" s="436" t="s">
        <v>731</v>
      </c>
      <c r="O56" s="436" t="s">
        <v>732</v>
      </c>
      <c r="P56" s="437" t="s">
        <v>733</v>
      </c>
    </row>
    <row r="57" spans="4:16" ht="13.5">
      <c r="D57" s="20" t="s">
        <v>90</v>
      </c>
      <c r="E57" s="123" t="s">
        <v>444</v>
      </c>
      <c r="H57" s="192" t="s">
        <v>398</v>
      </c>
      <c r="I57" s="192" t="s">
        <v>396</v>
      </c>
      <c r="J57" s="192">
        <v>2</v>
      </c>
      <c r="K57"/>
      <c r="L57"/>
      <c r="M57" s="435">
        <v>5</v>
      </c>
      <c r="N57" s="436" t="s">
        <v>734</v>
      </c>
      <c r="O57" s="436" t="s">
        <v>735</v>
      </c>
      <c r="P57" s="437" t="s">
        <v>736</v>
      </c>
    </row>
    <row r="58" spans="4:16" ht="13.5">
      <c r="D58" s="20" t="s">
        <v>91</v>
      </c>
      <c r="E58" s="123" t="s">
        <v>443</v>
      </c>
      <c r="H58" s="192" t="s">
        <v>399</v>
      </c>
      <c r="I58" s="192" t="s">
        <v>398</v>
      </c>
      <c r="J58" s="192">
        <v>3</v>
      </c>
      <c r="K58"/>
      <c r="L58"/>
      <c r="M58" s="435">
        <v>6</v>
      </c>
      <c r="N58" s="436" t="s">
        <v>737</v>
      </c>
      <c r="O58" s="436" t="s">
        <v>738</v>
      </c>
      <c r="P58" s="437" t="s">
        <v>739</v>
      </c>
    </row>
    <row r="59" spans="4:16" ht="13.5">
      <c r="D59" s="20" t="s">
        <v>92</v>
      </c>
      <c r="E59" s="123"/>
      <c r="H59" s="192" t="s">
        <v>400</v>
      </c>
      <c r="I59" s="192" t="s">
        <v>399</v>
      </c>
      <c r="J59" s="192">
        <v>4</v>
      </c>
      <c r="K59"/>
      <c r="L59"/>
      <c r="M59" s="435">
        <v>7</v>
      </c>
      <c r="N59" s="436" t="s">
        <v>740</v>
      </c>
      <c r="O59" s="436"/>
      <c r="P59" s="437" t="s">
        <v>741</v>
      </c>
    </row>
    <row r="60" spans="4:16" ht="13.5">
      <c r="D60" s="20" t="s">
        <v>93</v>
      </c>
      <c r="E60" s="123"/>
      <c r="H60" s="192" t="s">
        <v>401</v>
      </c>
      <c r="I60" s="192" t="s">
        <v>400</v>
      </c>
      <c r="J60" s="192">
        <v>5</v>
      </c>
      <c r="K60"/>
      <c r="L60"/>
      <c r="M60" s="435">
        <v>8</v>
      </c>
      <c r="N60" s="436" t="s">
        <v>742</v>
      </c>
      <c r="O60" s="436"/>
      <c r="P60" s="437" t="s">
        <v>743</v>
      </c>
    </row>
    <row r="61" spans="4:16" ht="13.5">
      <c r="D61" s="20" t="s">
        <v>94</v>
      </c>
      <c r="E61" s="123"/>
      <c r="H61" s="192" t="s">
        <v>402</v>
      </c>
      <c r="I61" s="192" t="s">
        <v>401</v>
      </c>
      <c r="J61" s="192">
        <v>6</v>
      </c>
      <c r="K61"/>
      <c r="L61"/>
      <c r="M61" s="435">
        <v>9</v>
      </c>
      <c r="N61" s="436"/>
      <c r="O61" s="436"/>
      <c r="P61" s="437" t="s">
        <v>744</v>
      </c>
    </row>
    <row r="62" spans="4:16" ht="13.5">
      <c r="D62" s="20" t="s">
        <v>95</v>
      </c>
      <c r="E62" s="123" t="s">
        <v>442</v>
      </c>
      <c r="H62" s="192" t="s">
        <v>397</v>
      </c>
      <c r="I62" s="192" t="s">
        <v>402</v>
      </c>
      <c r="J62" s="192">
        <v>7</v>
      </c>
      <c r="K62"/>
      <c r="L62"/>
      <c r="M62" s="435">
        <v>10</v>
      </c>
      <c r="N62" s="436"/>
      <c r="O62" s="436"/>
      <c r="P62" s="437" t="s">
        <v>745</v>
      </c>
    </row>
    <row r="63" spans="4:16" ht="13.5">
      <c r="D63" s="20" t="s">
        <v>96</v>
      </c>
      <c r="E63" s="123" t="s">
        <v>441</v>
      </c>
      <c r="K63"/>
      <c r="L63"/>
      <c r="M63" s="435">
        <v>11</v>
      </c>
      <c r="N63" s="436"/>
      <c r="O63" s="436"/>
      <c r="P63" s="437" t="s">
        <v>746</v>
      </c>
    </row>
    <row r="64" spans="4:16" ht="13.5">
      <c r="D64" s="20" t="s">
        <v>97</v>
      </c>
      <c r="E64" s="123"/>
      <c r="H64" s="251" t="s">
        <v>424</v>
      </c>
      <c r="I64" s="256" t="s">
        <v>425</v>
      </c>
      <c r="K64"/>
      <c r="L64"/>
      <c r="M64" s="435">
        <v>12</v>
      </c>
      <c r="N64" s="436"/>
      <c r="O64" s="436"/>
      <c r="P64" s="437" t="s">
        <v>750</v>
      </c>
    </row>
    <row r="65" spans="4:16" ht="13.5">
      <c r="D65" s="20" t="s">
        <v>98</v>
      </c>
      <c r="E65" s="123"/>
      <c r="H65" s="253" t="s">
        <v>218</v>
      </c>
      <c r="I65" s="256" t="s">
        <v>429</v>
      </c>
      <c r="K65"/>
      <c r="L65"/>
      <c r="M65" s="438"/>
      <c r="N65" s="438"/>
      <c r="O65" s="438"/>
      <c r="P65" s="438"/>
    </row>
    <row r="66" spans="4:16" ht="13.5">
      <c r="D66" s="20" t="s">
        <v>99</v>
      </c>
      <c r="E66" s="123" t="s">
        <v>440</v>
      </c>
      <c r="H66" s="254" t="s">
        <v>426</v>
      </c>
      <c r="I66" s="256" t="s">
        <v>430</v>
      </c>
      <c r="K66"/>
      <c r="L66"/>
    </row>
    <row r="67" spans="4:16" ht="13.5">
      <c r="D67" s="20" t="s">
        <v>100</v>
      </c>
      <c r="E67" s="123" t="s">
        <v>439</v>
      </c>
      <c r="H67" s="254" t="s">
        <v>295</v>
      </c>
      <c r="I67" s="252"/>
      <c r="K67"/>
      <c r="L67"/>
      <c r="M67" s="256" t="s">
        <v>747</v>
      </c>
      <c r="N67" s="256"/>
    </row>
    <row r="68" spans="4:16" ht="13.5">
      <c r="D68" s="20" t="s">
        <v>101</v>
      </c>
      <c r="E68" s="123" t="s">
        <v>438</v>
      </c>
      <c r="H68" s="254" t="s">
        <v>427</v>
      </c>
      <c r="I68" s="252"/>
      <c r="K68"/>
      <c r="L68"/>
      <c r="M68" s="251"/>
      <c r="N68" s="431" t="s">
        <v>748</v>
      </c>
    </row>
    <row r="69" spans="4:16" ht="13.5">
      <c r="D69" s="20" t="s">
        <v>102</v>
      </c>
      <c r="E69" s="123" t="s">
        <v>437</v>
      </c>
      <c r="H69" s="254" t="s">
        <v>428</v>
      </c>
      <c r="I69" s="252"/>
      <c r="K69"/>
      <c r="L69"/>
      <c r="M69" s="432">
        <v>1</v>
      </c>
      <c r="N69" s="433" t="s">
        <v>652</v>
      </c>
    </row>
    <row r="70" spans="4:16" ht="13.5">
      <c r="D70" s="20" t="s">
        <v>103</v>
      </c>
      <c r="E70" s="257" t="s">
        <v>447</v>
      </c>
      <c r="H70" s="255"/>
      <c r="I70" s="252"/>
      <c r="K70"/>
      <c r="L70"/>
      <c r="M70" s="435">
        <v>2</v>
      </c>
      <c r="N70" s="436" t="s">
        <v>749</v>
      </c>
    </row>
    <row r="71" spans="4:16" ht="13.5">
      <c r="D71" s="20" t="s">
        <v>104</v>
      </c>
      <c r="E71" s="123"/>
      <c r="K71"/>
      <c r="L71"/>
      <c r="M71" s="435">
        <v>3</v>
      </c>
      <c r="N71" s="436" t="s">
        <v>651</v>
      </c>
    </row>
    <row r="72" spans="4:16" ht="13.5">
      <c r="D72" s="20" t="s">
        <v>105</v>
      </c>
      <c r="E72" s="123"/>
      <c r="K72"/>
      <c r="L72"/>
      <c r="M72" s="435">
        <v>4</v>
      </c>
      <c r="N72" s="436" t="s">
        <v>784</v>
      </c>
    </row>
    <row r="73" spans="4:16" ht="13.5">
      <c r="D73" s="20" t="s">
        <v>106</v>
      </c>
      <c r="E73" s="123" t="s">
        <v>436</v>
      </c>
      <c r="K73"/>
      <c r="L73"/>
      <c r="M73" s="435">
        <v>5</v>
      </c>
      <c r="N73" s="436"/>
    </row>
    <row r="74" spans="4:16" ht="13.5">
      <c r="D74" s="20" t="s">
        <v>107</v>
      </c>
      <c r="E74" s="123" t="s">
        <v>435</v>
      </c>
      <c r="K74"/>
      <c r="L74"/>
      <c r="M74" s="435">
        <v>6</v>
      </c>
      <c r="N74" s="436"/>
    </row>
    <row r="75" spans="4:16" ht="13.5">
      <c r="D75" s="20" t="s">
        <v>108</v>
      </c>
      <c r="E75" s="257" t="s">
        <v>450</v>
      </c>
      <c r="K75"/>
      <c r="L75"/>
      <c r="M75" s="435">
        <v>7</v>
      </c>
      <c r="N75" s="436"/>
    </row>
    <row r="76" spans="4:16" ht="13.5">
      <c r="D76" s="20" t="s">
        <v>1</v>
      </c>
      <c r="E76" s="257" t="s">
        <v>451</v>
      </c>
      <c r="K76"/>
      <c r="L76"/>
      <c r="M76" s="435">
        <v>8</v>
      </c>
      <c r="N76" s="436"/>
    </row>
    <row r="77" spans="4:16" ht="13.5">
      <c r="D77" s="20" t="s">
        <v>0</v>
      </c>
      <c r="E77" s="123"/>
      <c r="K77"/>
      <c r="L77"/>
      <c r="M77" s="435">
        <v>9</v>
      </c>
      <c r="N77" s="436"/>
    </row>
    <row r="78" spans="4:16" ht="13.5">
      <c r="D78" s="20" t="s">
        <v>2</v>
      </c>
      <c r="E78" s="123"/>
      <c r="K78"/>
      <c r="L78"/>
      <c r="M78" s="435">
        <v>10</v>
      </c>
      <c r="N78" s="436"/>
    </row>
    <row r="79" spans="4:16" ht="13.5">
      <c r="D79" s="20" t="s">
        <v>3</v>
      </c>
      <c r="E79" s="123" t="s">
        <v>434</v>
      </c>
      <c r="K79"/>
      <c r="L79"/>
      <c r="M79" s="435">
        <v>11</v>
      </c>
      <c r="N79" s="436"/>
    </row>
    <row r="80" spans="4:16" ht="13.5">
      <c r="D80" s="20" t="s">
        <v>4</v>
      </c>
      <c r="E80" s="123" t="s">
        <v>433</v>
      </c>
      <c r="M80" s="435">
        <v>12</v>
      </c>
      <c r="N80" s="436"/>
    </row>
    <row r="81" spans="4:14">
      <c r="D81" s="20" t="s">
        <v>5</v>
      </c>
      <c r="E81" s="123" t="s">
        <v>432</v>
      </c>
      <c r="M81" s="438"/>
      <c r="N81" s="438"/>
    </row>
    <row r="82" spans="4:14">
      <c r="D82" s="20" t="s">
        <v>6</v>
      </c>
      <c r="E82" s="123"/>
    </row>
    <row r="83" spans="4:14">
      <c r="D83" s="20" t="s">
        <v>7</v>
      </c>
      <c r="E83" s="123"/>
    </row>
    <row r="84" spans="4:14">
      <c r="D84" s="20" t="s">
        <v>8</v>
      </c>
      <c r="E84" s="123"/>
    </row>
    <row r="85" spans="4:14">
      <c r="D85" s="20" t="s">
        <v>9</v>
      </c>
      <c r="E85" s="123"/>
    </row>
    <row r="86" spans="4:14">
      <c r="D86" s="20" t="s">
        <v>10</v>
      </c>
      <c r="E86" s="123"/>
    </row>
    <row r="87" spans="4:14">
      <c r="D87" s="20" t="s">
        <v>11</v>
      </c>
      <c r="E87" s="123"/>
    </row>
    <row r="88" spans="4:14">
      <c r="D88" s="20" t="s">
        <v>12</v>
      </c>
      <c r="E88" s="123"/>
    </row>
    <row r="89" spans="4:14">
      <c r="D89" s="20" t="s">
        <v>13</v>
      </c>
      <c r="E89" s="123"/>
    </row>
    <row r="90" spans="4:14">
      <c r="D90" s="20" t="s">
        <v>14</v>
      </c>
      <c r="E90" s="123"/>
    </row>
    <row r="91" spans="4:14">
      <c r="D91" s="20" t="s">
        <v>15</v>
      </c>
      <c r="E91" s="123"/>
    </row>
    <row r="92" spans="4:14">
      <c r="D92" s="20" t="s">
        <v>16</v>
      </c>
      <c r="E92" s="123"/>
    </row>
    <row r="93" spans="4:14">
      <c r="D93" s="20" t="s">
        <v>17</v>
      </c>
      <c r="E93" s="123"/>
    </row>
    <row r="94" spans="4:14">
      <c r="D94" s="20" t="s">
        <v>18</v>
      </c>
      <c r="E94" s="123"/>
    </row>
    <row r="95" spans="4:14">
      <c r="D95" s="20" t="s">
        <v>19</v>
      </c>
      <c r="E95" s="123"/>
    </row>
    <row r="96" spans="4:14">
      <c r="D96" s="20" t="s">
        <v>20</v>
      </c>
      <c r="E96" s="123"/>
    </row>
    <row r="97" spans="4:5">
      <c r="D97" s="20" t="s">
        <v>21</v>
      </c>
      <c r="E97" s="123"/>
    </row>
    <row r="98" spans="4:5">
      <c r="D98" s="20" t="s">
        <v>22</v>
      </c>
      <c r="E98" s="123"/>
    </row>
    <row r="99" spans="4:5">
      <c r="D99" s="20" t="s">
        <v>23</v>
      </c>
      <c r="E99" s="123"/>
    </row>
    <row r="100" spans="4:5">
      <c r="D100" s="20" t="s">
        <v>24</v>
      </c>
      <c r="E100" s="123"/>
    </row>
    <row r="101" spans="4:5">
      <c r="D101" s="20" t="s">
        <v>25</v>
      </c>
      <c r="E101" s="123"/>
    </row>
    <row r="102" spans="4:5">
      <c r="D102" s="20" t="s">
        <v>26</v>
      </c>
      <c r="E102" s="123"/>
    </row>
    <row r="103" spans="4:5">
      <c r="D103" s="20" t="s">
        <v>27</v>
      </c>
      <c r="E103" s="123"/>
    </row>
    <row r="104" spans="4:5">
      <c r="D104" s="20" t="s">
        <v>28</v>
      </c>
      <c r="E104" s="123"/>
    </row>
    <row r="105" spans="4:5">
      <c r="D105" s="20" t="s">
        <v>29</v>
      </c>
      <c r="E105" s="123"/>
    </row>
    <row r="106" spans="4:5">
      <c r="D106" s="20" t="s">
        <v>30</v>
      </c>
      <c r="E106" s="123"/>
    </row>
    <row r="107" spans="4:5">
      <c r="D107" s="20" t="s">
        <v>31</v>
      </c>
      <c r="E107" s="123"/>
    </row>
    <row r="108" spans="4:5">
      <c r="D108" s="20" t="s">
        <v>32</v>
      </c>
      <c r="E108" s="123"/>
    </row>
    <row r="109" spans="4:5">
      <c r="D109" s="20" t="s">
        <v>33</v>
      </c>
      <c r="E109" s="123"/>
    </row>
    <row r="110" spans="4:5">
      <c r="D110" s="20" t="s">
        <v>34</v>
      </c>
      <c r="E110" s="123"/>
    </row>
    <row r="111" spans="4:5">
      <c r="D111" s="20" t="s">
        <v>35</v>
      </c>
      <c r="E111" s="123"/>
    </row>
    <row r="112" spans="4:5">
      <c r="D112" s="20" t="s">
        <v>36</v>
      </c>
      <c r="E112" s="123"/>
    </row>
    <row r="113" spans="4:5">
      <c r="D113" s="20" t="s">
        <v>37</v>
      </c>
      <c r="E113" s="123"/>
    </row>
    <row r="114" spans="4:5">
      <c r="D114" s="20" t="s">
        <v>38</v>
      </c>
      <c r="E114" s="123"/>
    </row>
    <row r="115" spans="4:5">
      <c r="D115" s="20" t="s">
        <v>39</v>
      </c>
      <c r="E115" s="123"/>
    </row>
    <row r="116" spans="4:5">
      <c r="D116" s="20" t="s">
        <v>40</v>
      </c>
      <c r="E116" s="123"/>
    </row>
    <row r="117" spans="4:5">
      <c r="D117" s="20" t="s">
        <v>41</v>
      </c>
      <c r="E117" s="123"/>
    </row>
    <row r="118" spans="4:5">
      <c r="D118" s="20" t="s">
        <v>42</v>
      </c>
      <c r="E118" s="123"/>
    </row>
    <row r="119" spans="4:5">
      <c r="D119" s="20" t="s">
        <v>43</v>
      </c>
      <c r="E119" s="123"/>
    </row>
    <row r="120" spans="4:5">
      <c r="D120" s="20" t="s">
        <v>44</v>
      </c>
      <c r="E120" s="123"/>
    </row>
    <row r="121" spans="4:5">
      <c r="D121" s="20" t="s">
        <v>45</v>
      </c>
      <c r="E121" s="123"/>
    </row>
    <row r="122" spans="4:5">
      <c r="D122" s="20" t="s">
        <v>46</v>
      </c>
      <c r="E122" s="123"/>
    </row>
    <row r="123" spans="4:5">
      <c r="D123" s="20" t="s">
        <v>47</v>
      </c>
      <c r="E123" s="123"/>
    </row>
    <row r="124" spans="4:5">
      <c r="D124" s="20" t="s">
        <v>48</v>
      </c>
      <c r="E124" s="123"/>
    </row>
    <row r="125" spans="4:5">
      <c r="D125" s="20" t="s">
        <v>49</v>
      </c>
      <c r="E125" s="123"/>
    </row>
    <row r="126" spans="4:5">
      <c r="D126" s="20" t="s">
        <v>50</v>
      </c>
      <c r="E126" s="123"/>
    </row>
    <row r="127" spans="4:5">
      <c r="D127" s="20" t="s">
        <v>51</v>
      </c>
      <c r="E127" s="123"/>
    </row>
    <row r="128" spans="4:5">
      <c r="D128" s="20" t="s">
        <v>52</v>
      </c>
      <c r="E128" s="123"/>
    </row>
    <row r="129" spans="4:5">
      <c r="D129" s="20" t="s">
        <v>53</v>
      </c>
      <c r="E129" s="123"/>
    </row>
    <row r="130" spans="4:5">
      <c r="D130" s="20" t="s">
        <v>54</v>
      </c>
      <c r="E130" s="123"/>
    </row>
    <row r="131" spans="4:5">
      <c r="D131" s="20" t="s">
        <v>55</v>
      </c>
      <c r="E131" s="123"/>
    </row>
    <row r="132" spans="4:5">
      <c r="D132" s="20" t="s">
        <v>56</v>
      </c>
      <c r="E132" s="123"/>
    </row>
    <row r="133" spans="4:5">
      <c r="D133" s="20" t="s">
        <v>57</v>
      </c>
      <c r="E133" s="123"/>
    </row>
    <row r="134" spans="4:5">
      <c r="D134" s="20" t="s">
        <v>58</v>
      </c>
      <c r="E134" s="123"/>
    </row>
    <row r="135" spans="4:5">
      <c r="D135" s="20" t="s">
        <v>59</v>
      </c>
      <c r="E135" s="123"/>
    </row>
    <row r="136" spans="4:5">
      <c r="D136" s="20" t="s">
        <v>60</v>
      </c>
      <c r="E136" s="123"/>
    </row>
    <row r="137" spans="4:5">
      <c r="D137" s="20" t="s">
        <v>61</v>
      </c>
      <c r="E137" s="123"/>
    </row>
    <row r="138" spans="4:5">
      <c r="D138" s="20" t="s">
        <v>62</v>
      </c>
      <c r="E138" s="123"/>
    </row>
    <row r="139" spans="4:5">
      <c r="D139" s="20" t="s">
        <v>63</v>
      </c>
      <c r="E139" s="123"/>
    </row>
    <row r="140" spans="4:5">
      <c r="D140" s="20" t="s">
        <v>64</v>
      </c>
      <c r="E140" s="123"/>
    </row>
    <row r="141" spans="4:5">
      <c r="D141" s="20" t="s">
        <v>65</v>
      </c>
      <c r="E141" s="123"/>
    </row>
    <row r="142" spans="4:5">
      <c r="D142" s="20" t="s">
        <v>66</v>
      </c>
      <c r="E142" s="123"/>
    </row>
    <row r="143" spans="4:5">
      <c r="D143" s="20" t="s">
        <v>67</v>
      </c>
      <c r="E143" s="123"/>
    </row>
    <row r="144" spans="4:5">
      <c r="D144" s="20" t="s">
        <v>68</v>
      </c>
      <c r="E144" s="123"/>
    </row>
    <row r="145" spans="4:5">
      <c r="D145" s="20" t="s">
        <v>69</v>
      </c>
      <c r="E145" s="123"/>
    </row>
    <row r="146" spans="4:5">
      <c r="D146" s="20" t="s">
        <v>70</v>
      </c>
      <c r="E146" s="123"/>
    </row>
    <row r="147" spans="4:5">
      <c r="D147" s="20" t="s">
        <v>71</v>
      </c>
      <c r="E147" s="123"/>
    </row>
    <row r="148" spans="4:5">
      <c r="D148" s="20" t="s">
        <v>72</v>
      </c>
      <c r="E148" s="123"/>
    </row>
    <row r="149" spans="4:5">
      <c r="D149" s="20" t="s">
        <v>73</v>
      </c>
      <c r="E149" s="123"/>
    </row>
  </sheetData>
  <mergeCells count="8">
    <mergeCell ref="I3:K4"/>
    <mergeCell ref="C1:K2"/>
    <mergeCell ref="I11:K11"/>
    <mergeCell ref="C3:D4"/>
    <mergeCell ref="D8:D9"/>
    <mergeCell ref="D11:D12"/>
    <mergeCell ref="E3:F4"/>
    <mergeCell ref="G3:H4"/>
  </mergeCells>
  <phoneticPr fontId="4"/>
  <dataValidations xWindow="708" yWindow="169" count="4">
    <dataValidation type="textLength" allowBlank="1" showInputMessage="1" showErrorMessage="1" errorTitle="編集禁止" error="このセルは編集できません" sqref="E37" xr:uid="{00000000-0002-0000-0600-000000000000}">
      <formula1>0</formula1>
      <formula2>0</formula2>
    </dataValidation>
    <dataValidation type="list" allowBlank="1" showInputMessage="1" showErrorMessage="1" sqref="E12" xr:uid="{00000000-0002-0000-0600-000001000000}">
      <formula1>$H$56:$H$62</formula1>
    </dataValidation>
    <dataValidation type="whole" allowBlank="1" showInputMessage="1" showErrorMessage="1" promptTitle="Bug Forecast Display Start Week" prompt="set after 5 weeks or later" sqref="H9" xr:uid="{00000000-0002-0000-0600-000002000000}">
      <formula1>5</formula1>
      <formula2>50</formula2>
    </dataValidation>
    <dataValidation type="list" allowBlank="1" showInputMessage="1" showErrorMessage="1" sqref="I13:K13" xr:uid="{00000000-0002-0000-0600-000003000000}">
      <formula1>OFFSET($I$15:$I$24,,,COUNTA($I$15:$I$24))</formula1>
    </dataValidation>
  </dataValidations>
  <pageMargins left="0.23622047244094491" right="0.23622047244094491" top="0.74803149606299213" bottom="0.74803149606299213" header="0.31496062992125984" footer="0.31496062992125984"/>
  <pageSetup paperSize="9" scale="98" orientation="landscape" r:id="rId1"/>
  <headerFooter>
    <oddFooter>&amp;L&amp;9TOMATO&amp;R&amp;9Copyright (c) TOYOTSU SYSCOM CO., LTD. All Rights Reserved.</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dimension ref="A1:P43"/>
  <sheetViews>
    <sheetView view="pageBreakPreview" zoomScale="80" zoomScaleNormal="100" zoomScaleSheetLayoutView="80" workbookViewId="0">
      <selection activeCell="A13" sqref="A13:B13"/>
    </sheetView>
  </sheetViews>
  <sheetFormatPr defaultRowHeight="11.25" customHeight="1"/>
  <cols>
    <col min="1" max="1" width="3.5" customWidth="1"/>
    <col min="2" max="2" width="3.625" customWidth="1"/>
  </cols>
  <sheetData>
    <row r="1" spans="1:16" ht="11.25" customHeight="1">
      <c r="A1" s="129"/>
      <c r="B1" s="643" t="s">
        <v>228</v>
      </c>
      <c r="C1" s="644"/>
      <c r="D1" s="644"/>
      <c r="E1" s="644"/>
      <c r="F1" s="644"/>
      <c r="G1" s="644"/>
      <c r="H1" s="644"/>
      <c r="I1" s="644"/>
    </row>
    <row r="2" spans="1:16" ht="11.25" customHeight="1">
      <c r="A2" s="130"/>
      <c r="B2" s="643"/>
      <c r="C2" s="644"/>
      <c r="D2" s="644"/>
      <c r="E2" s="644"/>
      <c r="F2" s="644"/>
      <c r="G2" s="644"/>
      <c r="H2" s="644"/>
      <c r="I2" s="644"/>
    </row>
    <row r="3" spans="1:16" ht="11.25" customHeight="1">
      <c r="A3" s="131"/>
      <c r="B3" s="643"/>
      <c r="C3" s="644"/>
      <c r="D3" s="644"/>
      <c r="E3" s="644"/>
      <c r="F3" s="644"/>
      <c r="G3" s="644"/>
      <c r="H3" s="644"/>
      <c r="I3" s="644"/>
    </row>
    <row r="4" spans="1:16" ht="11.25" customHeight="1">
      <c r="A4" s="132"/>
      <c r="B4" s="645"/>
      <c r="C4" s="646"/>
      <c r="D4" s="646"/>
      <c r="E4" s="646"/>
      <c r="F4" s="646"/>
      <c r="G4" s="646"/>
      <c r="H4" s="646"/>
      <c r="I4" s="646"/>
      <c r="J4" s="133"/>
      <c r="K4" s="133"/>
      <c r="L4" s="133"/>
      <c r="M4" s="133"/>
      <c r="N4" s="133"/>
      <c r="O4" s="133"/>
      <c r="P4" s="133"/>
    </row>
    <row r="6" spans="1:16" ht="11.25" customHeight="1">
      <c r="A6" t="s">
        <v>229</v>
      </c>
    </row>
    <row r="8" spans="1:16" ht="11.25" customHeight="1">
      <c r="A8" s="647" t="s">
        <v>230</v>
      </c>
      <c r="B8" s="648"/>
      <c r="C8" s="648" t="s">
        <v>231</v>
      </c>
      <c r="D8" s="648"/>
      <c r="E8" s="648"/>
      <c r="F8" s="648" t="s">
        <v>232</v>
      </c>
      <c r="G8" s="648"/>
      <c r="H8" s="648"/>
      <c r="I8" s="648"/>
      <c r="J8" s="648"/>
      <c r="K8" s="648"/>
      <c r="L8" s="648" t="s">
        <v>233</v>
      </c>
      <c r="M8" s="648" t="s">
        <v>234</v>
      </c>
      <c r="N8" s="648"/>
      <c r="O8" s="648" t="s">
        <v>235</v>
      </c>
      <c r="P8" s="651"/>
    </row>
    <row r="9" spans="1:16" ht="11.25" customHeight="1">
      <c r="A9" s="649"/>
      <c r="B9" s="650"/>
      <c r="C9" s="650"/>
      <c r="D9" s="650"/>
      <c r="E9" s="650"/>
      <c r="F9" s="650"/>
      <c r="G9" s="650"/>
      <c r="H9" s="650"/>
      <c r="I9" s="650"/>
      <c r="J9" s="650"/>
      <c r="K9" s="650"/>
      <c r="L9" s="650"/>
      <c r="M9" s="650"/>
      <c r="N9" s="650"/>
      <c r="O9" s="650"/>
      <c r="P9" s="652"/>
    </row>
    <row r="10" spans="1:16" ht="25.5" customHeight="1">
      <c r="A10" s="631">
        <v>1</v>
      </c>
      <c r="B10" s="631"/>
      <c r="C10" s="632" t="s">
        <v>236</v>
      </c>
      <c r="D10" s="632"/>
      <c r="E10" s="632"/>
      <c r="F10" s="632" t="s">
        <v>237</v>
      </c>
      <c r="G10" s="632"/>
      <c r="H10" s="632"/>
      <c r="I10" s="632"/>
      <c r="J10" s="632"/>
      <c r="K10" s="632"/>
      <c r="L10" s="134">
        <v>1</v>
      </c>
      <c r="M10" s="653" t="s">
        <v>238</v>
      </c>
      <c r="N10" s="631"/>
      <c r="O10" s="634">
        <v>41426</v>
      </c>
      <c r="P10" s="634"/>
    </row>
    <row r="11" spans="1:16" ht="25.5" customHeight="1">
      <c r="A11" s="631">
        <v>2</v>
      </c>
      <c r="B11" s="631"/>
      <c r="C11" s="632" t="s">
        <v>241</v>
      </c>
      <c r="D11" s="632"/>
      <c r="E11" s="632"/>
      <c r="F11" s="632" t="s">
        <v>242</v>
      </c>
      <c r="G11" s="632"/>
      <c r="H11" s="632"/>
      <c r="I11" s="632"/>
      <c r="J11" s="632"/>
      <c r="K11" s="632"/>
      <c r="L11" s="134">
        <v>1.01</v>
      </c>
      <c r="M11" s="631" t="s">
        <v>243</v>
      </c>
      <c r="N11" s="631"/>
      <c r="O11" s="634">
        <v>41452</v>
      </c>
      <c r="P11" s="634"/>
    </row>
    <row r="12" spans="1:16" ht="25.5" customHeight="1">
      <c r="A12" s="631">
        <v>3</v>
      </c>
      <c r="B12" s="631"/>
      <c r="C12" s="632" t="s">
        <v>241</v>
      </c>
      <c r="D12" s="632"/>
      <c r="E12" s="632"/>
      <c r="F12" s="632" t="s">
        <v>247</v>
      </c>
      <c r="G12" s="632"/>
      <c r="H12" s="632"/>
      <c r="I12" s="632"/>
      <c r="J12" s="632"/>
      <c r="K12" s="632"/>
      <c r="L12" s="134">
        <v>1.02</v>
      </c>
      <c r="M12" s="631" t="s">
        <v>243</v>
      </c>
      <c r="N12" s="631"/>
      <c r="O12" s="634">
        <v>41485</v>
      </c>
      <c r="P12" s="634"/>
    </row>
    <row r="13" spans="1:16" ht="36" customHeight="1">
      <c r="A13" s="631">
        <v>4</v>
      </c>
      <c r="B13" s="631"/>
      <c r="C13" s="632" t="s">
        <v>248</v>
      </c>
      <c r="D13" s="632"/>
      <c r="E13" s="632"/>
      <c r="F13" s="638" t="s">
        <v>249</v>
      </c>
      <c r="G13" s="639"/>
      <c r="H13" s="639"/>
      <c r="I13" s="639"/>
      <c r="J13" s="639"/>
      <c r="K13" s="640"/>
      <c r="L13" s="134">
        <v>1.02</v>
      </c>
      <c r="M13" s="631" t="s">
        <v>243</v>
      </c>
      <c r="N13" s="631"/>
      <c r="O13" s="634">
        <v>41485</v>
      </c>
      <c r="P13" s="634"/>
    </row>
    <row r="14" spans="1:16" ht="33" customHeight="1">
      <c r="A14" s="631">
        <v>5</v>
      </c>
      <c r="B14" s="631"/>
      <c r="C14" s="632" t="s">
        <v>251</v>
      </c>
      <c r="D14" s="632"/>
      <c r="E14" s="632"/>
      <c r="F14" s="638" t="s">
        <v>252</v>
      </c>
      <c r="G14" s="639"/>
      <c r="H14" s="639"/>
      <c r="I14" s="639"/>
      <c r="J14" s="639"/>
      <c r="K14" s="640"/>
      <c r="L14" s="134">
        <v>1.02</v>
      </c>
      <c r="M14" s="631" t="s">
        <v>243</v>
      </c>
      <c r="N14" s="631"/>
      <c r="O14" s="634">
        <v>41485</v>
      </c>
      <c r="P14" s="634"/>
    </row>
    <row r="15" spans="1:16" ht="25.5" customHeight="1">
      <c r="A15" s="631">
        <v>6</v>
      </c>
      <c r="B15" s="631"/>
      <c r="C15" s="632" t="s">
        <v>251</v>
      </c>
      <c r="D15" s="632"/>
      <c r="E15" s="632"/>
      <c r="F15" s="632" t="s">
        <v>253</v>
      </c>
      <c r="G15" s="632"/>
      <c r="H15" s="632"/>
      <c r="I15" s="632"/>
      <c r="J15" s="632"/>
      <c r="K15" s="632"/>
      <c r="L15" s="134">
        <v>1.02</v>
      </c>
      <c r="M15" s="631" t="s">
        <v>243</v>
      </c>
      <c r="N15" s="631"/>
      <c r="O15" s="634">
        <v>41485</v>
      </c>
      <c r="P15" s="634"/>
    </row>
    <row r="16" spans="1:16" ht="39" customHeight="1">
      <c r="A16" s="631">
        <v>7</v>
      </c>
      <c r="B16" s="631"/>
      <c r="C16" s="632" t="s">
        <v>250</v>
      </c>
      <c r="D16" s="632"/>
      <c r="E16" s="632"/>
      <c r="F16" s="638" t="s">
        <v>255</v>
      </c>
      <c r="G16" s="639"/>
      <c r="H16" s="639"/>
      <c r="I16" s="639"/>
      <c r="J16" s="639"/>
      <c r="K16" s="640"/>
      <c r="L16" s="134">
        <v>1.02</v>
      </c>
      <c r="M16" s="631" t="s">
        <v>243</v>
      </c>
      <c r="N16" s="631"/>
      <c r="O16" s="634">
        <v>41485</v>
      </c>
      <c r="P16" s="634"/>
    </row>
    <row r="17" spans="1:16" ht="25.5" customHeight="1">
      <c r="A17" s="631">
        <v>8</v>
      </c>
      <c r="B17" s="631"/>
      <c r="C17" s="632" t="s">
        <v>248</v>
      </c>
      <c r="D17" s="632"/>
      <c r="E17" s="632"/>
      <c r="F17" s="632" t="s">
        <v>256</v>
      </c>
      <c r="G17" s="632"/>
      <c r="H17" s="632"/>
      <c r="I17" s="632"/>
      <c r="J17" s="632"/>
      <c r="K17" s="632"/>
      <c r="L17" s="134">
        <v>1.02</v>
      </c>
      <c r="M17" s="631" t="s">
        <v>243</v>
      </c>
      <c r="N17" s="631"/>
      <c r="O17" s="634">
        <v>41492</v>
      </c>
      <c r="P17" s="634"/>
    </row>
    <row r="18" spans="1:16" ht="25.5" customHeight="1">
      <c r="A18" s="631">
        <v>9</v>
      </c>
      <c r="B18" s="631"/>
      <c r="C18" s="632" t="s">
        <v>257</v>
      </c>
      <c r="D18" s="632"/>
      <c r="E18" s="632"/>
      <c r="F18" s="632" t="s">
        <v>258</v>
      </c>
      <c r="G18" s="632"/>
      <c r="H18" s="632"/>
      <c r="I18" s="632"/>
      <c r="J18" s="632"/>
      <c r="K18" s="632"/>
      <c r="L18" s="134">
        <v>1.02</v>
      </c>
      <c r="M18" s="631" t="s">
        <v>243</v>
      </c>
      <c r="N18" s="631"/>
      <c r="O18" s="634">
        <v>41502</v>
      </c>
      <c r="P18" s="634"/>
    </row>
    <row r="19" spans="1:16" ht="25.5" customHeight="1">
      <c r="A19" s="631">
        <v>10</v>
      </c>
      <c r="B19" s="631"/>
      <c r="C19" s="632" t="s">
        <v>248</v>
      </c>
      <c r="D19" s="632"/>
      <c r="E19" s="632"/>
      <c r="F19" s="632" t="s">
        <v>261</v>
      </c>
      <c r="G19" s="632"/>
      <c r="H19" s="632"/>
      <c r="I19" s="632"/>
      <c r="J19" s="632"/>
      <c r="K19" s="632"/>
      <c r="L19" s="134">
        <v>1.03</v>
      </c>
      <c r="M19" s="631" t="s">
        <v>260</v>
      </c>
      <c r="N19" s="631"/>
      <c r="O19" s="634">
        <v>41614</v>
      </c>
      <c r="P19" s="634"/>
    </row>
    <row r="20" spans="1:16" ht="25.5" customHeight="1">
      <c r="A20" s="631">
        <v>11</v>
      </c>
      <c r="B20" s="631"/>
      <c r="C20" s="632" t="s">
        <v>264</v>
      </c>
      <c r="D20" s="632"/>
      <c r="E20" s="632"/>
      <c r="F20" s="632" t="s">
        <v>265</v>
      </c>
      <c r="G20" s="632"/>
      <c r="H20" s="632"/>
      <c r="I20" s="632"/>
      <c r="J20" s="632"/>
      <c r="K20" s="632"/>
      <c r="L20" s="134">
        <v>1.03</v>
      </c>
      <c r="M20" s="631" t="s">
        <v>260</v>
      </c>
      <c r="N20" s="631"/>
      <c r="O20" s="634">
        <v>41614</v>
      </c>
      <c r="P20" s="634"/>
    </row>
    <row r="21" spans="1:16" ht="25.5" customHeight="1">
      <c r="A21" s="631">
        <v>12</v>
      </c>
      <c r="B21" s="631"/>
      <c r="C21" s="632" t="s">
        <v>236</v>
      </c>
      <c r="D21" s="632"/>
      <c r="E21" s="632"/>
      <c r="F21" s="632" t="s">
        <v>285</v>
      </c>
      <c r="G21" s="632"/>
      <c r="H21" s="632"/>
      <c r="I21" s="632"/>
      <c r="J21" s="632"/>
      <c r="K21" s="632"/>
      <c r="L21" s="134">
        <v>2</v>
      </c>
      <c r="M21" s="631" t="s">
        <v>282</v>
      </c>
      <c r="N21" s="631"/>
      <c r="O21" s="634">
        <v>41730</v>
      </c>
      <c r="P21" s="634"/>
    </row>
    <row r="22" spans="1:16" ht="34.5" customHeight="1">
      <c r="A22" s="631">
        <v>13</v>
      </c>
      <c r="B22" s="631"/>
      <c r="C22" s="632" t="s">
        <v>281</v>
      </c>
      <c r="D22" s="632"/>
      <c r="E22" s="632"/>
      <c r="F22" s="633" t="s">
        <v>294</v>
      </c>
      <c r="G22" s="632"/>
      <c r="H22" s="632"/>
      <c r="I22" s="632"/>
      <c r="J22" s="632"/>
      <c r="K22" s="632"/>
      <c r="L22" s="134">
        <v>2</v>
      </c>
      <c r="M22" s="631" t="s">
        <v>282</v>
      </c>
      <c r="N22" s="631"/>
      <c r="O22" s="634">
        <v>41730</v>
      </c>
      <c r="P22" s="634"/>
    </row>
    <row r="23" spans="1:16" ht="25.5" customHeight="1">
      <c r="A23" s="641">
        <v>14</v>
      </c>
      <c r="B23" s="642"/>
      <c r="C23" s="635" t="s">
        <v>284</v>
      </c>
      <c r="D23" s="636"/>
      <c r="E23" s="637"/>
      <c r="F23" s="635" t="s">
        <v>283</v>
      </c>
      <c r="G23" s="636"/>
      <c r="H23" s="636"/>
      <c r="I23" s="636"/>
      <c r="J23" s="636"/>
      <c r="K23" s="637"/>
      <c r="L23" s="134">
        <v>2</v>
      </c>
      <c r="M23" s="641" t="s">
        <v>282</v>
      </c>
      <c r="N23" s="642"/>
      <c r="O23" s="634">
        <v>41730</v>
      </c>
      <c r="P23" s="634"/>
    </row>
    <row r="24" spans="1:16" ht="25.5" customHeight="1">
      <c r="A24" s="641">
        <v>15</v>
      </c>
      <c r="B24" s="642"/>
      <c r="C24" s="635" t="s">
        <v>281</v>
      </c>
      <c r="D24" s="636"/>
      <c r="E24" s="637"/>
      <c r="F24" s="635" t="s">
        <v>296</v>
      </c>
      <c r="G24" s="636"/>
      <c r="H24" s="636"/>
      <c r="I24" s="636"/>
      <c r="J24" s="636"/>
      <c r="K24" s="637"/>
      <c r="L24" s="134">
        <v>2.0099999999999998</v>
      </c>
      <c r="M24" s="641" t="s">
        <v>282</v>
      </c>
      <c r="N24" s="642"/>
      <c r="O24" s="634">
        <v>41782</v>
      </c>
      <c r="P24" s="634"/>
    </row>
    <row r="25" spans="1:16" ht="25.5" customHeight="1">
      <c r="A25" s="641">
        <v>16</v>
      </c>
      <c r="B25" s="642"/>
      <c r="C25" s="632" t="s">
        <v>299</v>
      </c>
      <c r="D25" s="632"/>
      <c r="E25" s="632"/>
      <c r="F25" s="633" t="s">
        <v>300</v>
      </c>
      <c r="G25" s="632"/>
      <c r="H25" s="632"/>
      <c r="I25" s="632"/>
      <c r="J25" s="632"/>
      <c r="K25" s="632"/>
      <c r="L25" s="134">
        <v>2.02</v>
      </c>
      <c r="M25" s="631" t="s">
        <v>301</v>
      </c>
      <c r="N25" s="631"/>
      <c r="O25" s="634">
        <v>41834</v>
      </c>
      <c r="P25" s="634"/>
    </row>
    <row r="26" spans="1:16" ht="25.5" customHeight="1">
      <c r="A26" s="641">
        <v>17</v>
      </c>
      <c r="B26" s="642"/>
      <c r="C26" s="632" t="s">
        <v>299</v>
      </c>
      <c r="D26" s="632"/>
      <c r="E26" s="632"/>
      <c r="F26" s="633" t="s">
        <v>302</v>
      </c>
      <c r="G26" s="632"/>
      <c r="H26" s="632"/>
      <c r="I26" s="632"/>
      <c r="J26" s="632"/>
      <c r="K26" s="632"/>
      <c r="L26" s="134">
        <v>2.02</v>
      </c>
      <c r="M26" s="631" t="s">
        <v>301</v>
      </c>
      <c r="N26" s="631"/>
      <c r="O26" s="634">
        <v>41834</v>
      </c>
      <c r="P26" s="634"/>
    </row>
    <row r="27" spans="1:16" ht="25.5" customHeight="1">
      <c r="A27" s="631">
        <v>18</v>
      </c>
      <c r="B27" s="631"/>
      <c r="C27" s="632" t="s">
        <v>307</v>
      </c>
      <c r="D27" s="632"/>
      <c r="E27" s="632"/>
      <c r="F27" s="632" t="s">
        <v>308</v>
      </c>
      <c r="G27" s="632"/>
      <c r="H27" s="632"/>
      <c r="I27" s="632"/>
      <c r="J27" s="632"/>
      <c r="K27" s="632"/>
      <c r="L27" s="134">
        <v>2.02</v>
      </c>
      <c r="M27" s="631" t="s">
        <v>309</v>
      </c>
      <c r="N27" s="631"/>
      <c r="O27" s="634">
        <v>41865</v>
      </c>
      <c r="P27" s="634"/>
    </row>
    <row r="28" spans="1:16" ht="25.5" customHeight="1">
      <c r="A28" s="631">
        <v>19</v>
      </c>
      <c r="B28" s="631"/>
      <c r="C28" s="632" t="s">
        <v>314</v>
      </c>
      <c r="D28" s="632"/>
      <c r="E28" s="632"/>
      <c r="F28" s="632" t="s">
        <v>315</v>
      </c>
      <c r="G28" s="632"/>
      <c r="H28" s="632"/>
      <c r="I28" s="632"/>
      <c r="J28" s="632"/>
      <c r="K28" s="632"/>
      <c r="L28" s="134">
        <v>2.02</v>
      </c>
      <c r="M28" s="631" t="s">
        <v>260</v>
      </c>
      <c r="N28" s="631"/>
      <c r="O28" s="634">
        <v>41865</v>
      </c>
      <c r="P28" s="634"/>
    </row>
    <row r="29" spans="1:16" ht="25.5" customHeight="1">
      <c r="A29" s="631">
        <v>20</v>
      </c>
      <c r="B29" s="631"/>
      <c r="C29" s="632" t="s">
        <v>312</v>
      </c>
      <c r="D29" s="632"/>
      <c r="E29" s="632"/>
      <c r="F29" s="632" t="s">
        <v>316</v>
      </c>
      <c r="G29" s="632"/>
      <c r="H29" s="632"/>
      <c r="I29" s="632"/>
      <c r="J29" s="632"/>
      <c r="K29" s="632"/>
      <c r="L29" s="134">
        <v>2.02</v>
      </c>
      <c r="M29" s="631" t="s">
        <v>260</v>
      </c>
      <c r="N29" s="631"/>
      <c r="O29" s="634">
        <v>41865</v>
      </c>
      <c r="P29" s="634"/>
    </row>
    <row r="30" spans="1:16" ht="25.5" customHeight="1">
      <c r="A30" s="631">
        <v>21</v>
      </c>
      <c r="B30" s="631"/>
      <c r="C30" s="632" t="s">
        <v>312</v>
      </c>
      <c r="D30" s="632"/>
      <c r="E30" s="632"/>
      <c r="F30" s="632" t="s">
        <v>319</v>
      </c>
      <c r="G30" s="632"/>
      <c r="H30" s="632"/>
      <c r="I30" s="632"/>
      <c r="J30" s="632"/>
      <c r="K30" s="632"/>
      <c r="L30" s="134">
        <v>2.02</v>
      </c>
      <c r="M30" s="641" t="s">
        <v>260</v>
      </c>
      <c r="N30" s="642"/>
      <c r="O30" s="634">
        <v>41865</v>
      </c>
      <c r="P30" s="634"/>
    </row>
    <row r="31" spans="1:16" ht="25.5" customHeight="1">
      <c r="A31" s="631">
        <v>22</v>
      </c>
      <c r="B31" s="631"/>
      <c r="C31" s="632" t="s">
        <v>312</v>
      </c>
      <c r="D31" s="632"/>
      <c r="E31" s="632"/>
      <c r="F31" s="632" t="s">
        <v>313</v>
      </c>
      <c r="G31" s="632"/>
      <c r="H31" s="632"/>
      <c r="I31" s="632"/>
      <c r="J31" s="632"/>
      <c r="K31" s="632"/>
      <c r="L31" s="134">
        <v>2.02</v>
      </c>
      <c r="M31" s="631" t="s">
        <v>260</v>
      </c>
      <c r="N31" s="631"/>
      <c r="O31" s="634">
        <v>41865</v>
      </c>
      <c r="P31" s="634"/>
    </row>
    <row r="32" spans="1:16" ht="25.5" customHeight="1">
      <c r="A32" s="631">
        <v>23</v>
      </c>
      <c r="B32" s="631"/>
      <c r="C32" s="635" t="s">
        <v>299</v>
      </c>
      <c r="D32" s="636"/>
      <c r="E32" s="637"/>
      <c r="F32" s="160" t="s">
        <v>318</v>
      </c>
      <c r="G32" s="161"/>
      <c r="H32" s="161"/>
      <c r="I32" s="161"/>
      <c r="J32" s="161"/>
      <c r="K32" s="162"/>
      <c r="L32" s="134">
        <v>2.02</v>
      </c>
      <c r="M32" s="631" t="s">
        <v>260</v>
      </c>
      <c r="N32" s="631"/>
      <c r="O32" s="634">
        <v>41865</v>
      </c>
      <c r="P32" s="634"/>
    </row>
    <row r="33" spans="1:16" ht="25.5" customHeight="1">
      <c r="A33" s="631">
        <v>24</v>
      </c>
      <c r="B33" s="631"/>
      <c r="C33" s="632" t="s">
        <v>322</v>
      </c>
      <c r="D33" s="632"/>
      <c r="E33" s="632"/>
      <c r="F33" s="632" t="s">
        <v>321</v>
      </c>
      <c r="G33" s="632"/>
      <c r="H33" s="632"/>
      <c r="I33" s="632"/>
      <c r="J33" s="632"/>
      <c r="K33" s="632"/>
      <c r="L33" s="134">
        <v>2.02</v>
      </c>
      <c r="M33" s="631" t="s">
        <v>282</v>
      </c>
      <c r="N33" s="631"/>
      <c r="O33" s="634">
        <v>41865</v>
      </c>
      <c r="P33" s="634"/>
    </row>
    <row r="34" spans="1:16" ht="25.5" customHeight="1">
      <c r="A34" s="631">
        <v>25</v>
      </c>
      <c r="B34" s="631"/>
      <c r="C34" s="635" t="s">
        <v>299</v>
      </c>
      <c r="D34" s="636"/>
      <c r="E34" s="637"/>
      <c r="F34" s="632" t="s">
        <v>323</v>
      </c>
      <c r="G34" s="632"/>
      <c r="H34" s="632"/>
      <c r="I34" s="632"/>
      <c r="J34" s="632"/>
      <c r="K34" s="632"/>
      <c r="L34" s="134">
        <v>2.0299999999999998</v>
      </c>
      <c r="M34" s="631" t="s">
        <v>260</v>
      </c>
      <c r="N34" s="631"/>
      <c r="O34" s="634">
        <v>41880</v>
      </c>
      <c r="P34" s="634"/>
    </row>
    <row r="35" spans="1:16" ht="25.5" customHeight="1">
      <c r="A35" s="631">
        <v>26</v>
      </c>
      <c r="B35" s="631"/>
      <c r="C35" s="635" t="s">
        <v>299</v>
      </c>
      <c r="D35" s="636"/>
      <c r="E35" s="637"/>
      <c r="F35" s="638" t="s">
        <v>324</v>
      </c>
      <c r="G35" s="639"/>
      <c r="H35" s="639"/>
      <c r="I35" s="639"/>
      <c r="J35" s="639"/>
      <c r="K35" s="640"/>
      <c r="L35" s="134">
        <v>2.0299999999999998</v>
      </c>
      <c r="M35" s="631" t="s">
        <v>325</v>
      </c>
      <c r="N35" s="631"/>
      <c r="O35" s="634">
        <v>41880</v>
      </c>
      <c r="P35" s="634"/>
    </row>
    <row r="36" spans="1:16" ht="25.5" customHeight="1">
      <c r="A36" s="631">
        <v>27</v>
      </c>
      <c r="B36" s="631"/>
      <c r="C36" s="632" t="s">
        <v>344</v>
      </c>
      <c r="D36" s="632"/>
      <c r="E36" s="632"/>
      <c r="F36" s="632" t="s">
        <v>345</v>
      </c>
      <c r="G36" s="632"/>
      <c r="H36" s="632"/>
      <c r="I36" s="632"/>
      <c r="J36" s="632"/>
      <c r="K36" s="632"/>
      <c r="L36" s="134">
        <v>2.5</v>
      </c>
      <c r="M36" s="631" t="s">
        <v>325</v>
      </c>
      <c r="N36" s="631"/>
      <c r="O36" s="634">
        <v>41913</v>
      </c>
      <c r="P36" s="634"/>
    </row>
    <row r="37" spans="1:16" ht="25.5" customHeight="1">
      <c r="A37" s="631">
        <v>28</v>
      </c>
      <c r="B37" s="631"/>
      <c r="C37" s="632" t="s">
        <v>347</v>
      </c>
      <c r="D37" s="632"/>
      <c r="E37" s="632"/>
      <c r="F37" s="632" t="s">
        <v>348</v>
      </c>
      <c r="G37" s="632"/>
      <c r="H37" s="632"/>
      <c r="I37" s="632"/>
      <c r="J37" s="632"/>
      <c r="K37" s="632"/>
      <c r="L37" s="134">
        <v>2.6</v>
      </c>
      <c r="M37" s="631" t="s">
        <v>325</v>
      </c>
      <c r="N37" s="631"/>
      <c r="O37" s="634">
        <v>42038</v>
      </c>
      <c r="P37" s="634"/>
    </row>
    <row r="38" spans="1:16" ht="25.5" customHeight="1">
      <c r="A38" s="631">
        <v>29</v>
      </c>
      <c r="B38" s="631"/>
      <c r="C38" s="632" t="s">
        <v>349</v>
      </c>
      <c r="D38" s="632"/>
      <c r="E38" s="632"/>
      <c r="F38" s="632" t="s">
        <v>350</v>
      </c>
      <c r="G38" s="632"/>
      <c r="H38" s="632"/>
      <c r="I38" s="632"/>
      <c r="J38" s="632"/>
      <c r="K38" s="632"/>
      <c r="L38" s="134">
        <v>2.6</v>
      </c>
      <c r="M38" s="631" t="s">
        <v>325</v>
      </c>
      <c r="N38" s="631"/>
      <c r="O38" s="634">
        <v>42038</v>
      </c>
      <c r="P38" s="634"/>
    </row>
    <row r="39" spans="1:16" ht="25.5" customHeight="1">
      <c r="A39" s="631">
        <v>30</v>
      </c>
      <c r="B39" s="631"/>
      <c r="C39" s="632" t="s">
        <v>349</v>
      </c>
      <c r="D39" s="632"/>
      <c r="E39" s="632"/>
      <c r="F39" s="632" t="s">
        <v>354</v>
      </c>
      <c r="G39" s="632"/>
      <c r="H39" s="632"/>
      <c r="I39" s="632"/>
      <c r="J39" s="632"/>
      <c r="K39" s="632"/>
      <c r="L39" s="134">
        <v>2.7</v>
      </c>
      <c r="M39" s="631" t="s">
        <v>325</v>
      </c>
      <c r="N39" s="631"/>
      <c r="O39" s="634">
        <v>43009</v>
      </c>
      <c r="P39" s="634"/>
    </row>
    <row r="40" spans="1:16" ht="25.5" customHeight="1">
      <c r="A40" s="631">
        <v>31</v>
      </c>
      <c r="B40" s="631"/>
      <c r="C40" s="632" t="s">
        <v>351</v>
      </c>
      <c r="D40" s="632"/>
      <c r="E40" s="632"/>
      <c r="F40" s="632" t="s">
        <v>353</v>
      </c>
      <c r="G40" s="632"/>
      <c r="H40" s="632"/>
      <c r="I40" s="632"/>
      <c r="J40" s="632"/>
      <c r="K40" s="632"/>
      <c r="L40" s="134">
        <v>2.7</v>
      </c>
      <c r="M40" s="631" t="s">
        <v>325</v>
      </c>
      <c r="N40" s="631"/>
      <c r="O40" s="634">
        <v>43009</v>
      </c>
      <c r="P40" s="634"/>
    </row>
    <row r="41" spans="1:16" ht="25.5" customHeight="1">
      <c r="A41" s="631">
        <v>32</v>
      </c>
      <c r="B41" s="631"/>
      <c r="C41" s="632" t="s">
        <v>236</v>
      </c>
      <c r="D41" s="632"/>
      <c r="E41" s="632"/>
      <c r="F41" s="633" t="s">
        <v>422</v>
      </c>
      <c r="G41" s="632"/>
      <c r="H41" s="632"/>
      <c r="I41" s="632"/>
      <c r="J41" s="632"/>
      <c r="K41" s="632"/>
      <c r="L41" s="134">
        <v>3</v>
      </c>
      <c r="M41" s="631" t="s">
        <v>423</v>
      </c>
      <c r="N41" s="631"/>
      <c r="O41" s="634">
        <v>43190</v>
      </c>
      <c r="P41" s="634"/>
    </row>
    <row r="42" spans="1:16" ht="25.5" customHeight="1">
      <c r="A42" s="631" t="s">
        <v>239</v>
      </c>
      <c r="B42" s="631"/>
      <c r="C42" s="632"/>
      <c r="D42" s="632"/>
      <c r="E42" s="632"/>
      <c r="F42" s="632"/>
      <c r="G42" s="632"/>
      <c r="H42" s="632"/>
      <c r="I42" s="632"/>
      <c r="J42" s="632"/>
      <c r="K42" s="632"/>
      <c r="L42" s="134"/>
      <c r="M42" s="631"/>
      <c r="N42" s="631"/>
      <c r="O42" s="634"/>
      <c r="P42" s="634"/>
    </row>
    <row r="43" spans="1:16" ht="11.25" customHeight="1">
      <c r="A43" s="135" t="s">
        <v>240</v>
      </c>
    </row>
  </sheetData>
  <mergeCells count="171">
    <mergeCell ref="A15:B15"/>
    <mergeCell ref="C15:E15"/>
    <mergeCell ref="F15:K15"/>
    <mergeCell ref="M15:N15"/>
    <mergeCell ref="O15:P15"/>
    <mergeCell ref="A16:B16"/>
    <mergeCell ref="C16:E16"/>
    <mergeCell ref="F16:K16"/>
    <mergeCell ref="M16:N16"/>
    <mergeCell ref="O16:P16"/>
    <mergeCell ref="A13:B13"/>
    <mergeCell ref="C13:E13"/>
    <mergeCell ref="F13:K13"/>
    <mergeCell ref="M13:N13"/>
    <mergeCell ref="O13:P13"/>
    <mergeCell ref="A14:B14"/>
    <mergeCell ref="C14:E14"/>
    <mergeCell ref="F14:K14"/>
    <mergeCell ref="M14:N14"/>
    <mergeCell ref="O14:P14"/>
    <mergeCell ref="O8:P9"/>
    <mergeCell ref="A10:B10"/>
    <mergeCell ref="C10:E10"/>
    <mergeCell ref="F10:K10"/>
    <mergeCell ref="M10:N10"/>
    <mergeCell ref="O10:P10"/>
    <mergeCell ref="M8:N9"/>
    <mergeCell ref="O11:P11"/>
    <mergeCell ref="A12:B12"/>
    <mergeCell ref="C12:E12"/>
    <mergeCell ref="F12:K12"/>
    <mergeCell ref="M12:N12"/>
    <mergeCell ref="O12:P12"/>
    <mergeCell ref="B1:I4"/>
    <mergeCell ref="A8:B9"/>
    <mergeCell ref="C8:E9"/>
    <mergeCell ref="F8:K9"/>
    <mergeCell ref="L8:L9"/>
    <mergeCell ref="A11:B11"/>
    <mergeCell ref="C11:E11"/>
    <mergeCell ref="F11:K11"/>
    <mergeCell ref="M11:N11"/>
    <mergeCell ref="A17:B17"/>
    <mergeCell ref="C17:E17"/>
    <mergeCell ref="F17:K17"/>
    <mergeCell ref="M17:N17"/>
    <mergeCell ref="O17:P17"/>
    <mergeCell ref="A18:B18"/>
    <mergeCell ref="C18:E18"/>
    <mergeCell ref="F18:K18"/>
    <mergeCell ref="M18:N18"/>
    <mergeCell ref="O18:P18"/>
    <mergeCell ref="A19:B19"/>
    <mergeCell ref="C19:E19"/>
    <mergeCell ref="F19:K19"/>
    <mergeCell ref="M19:N19"/>
    <mergeCell ref="O19:P19"/>
    <mergeCell ref="A20:B20"/>
    <mergeCell ref="C20:E20"/>
    <mergeCell ref="F20:K20"/>
    <mergeCell ref="M20:N20"/>
    <mergeCell ref="O20:P20"/>
    <mergeCell ref="A21:B21"/>
    <mergeCell ref="C21:E21"/>
    <mergeCell ref="F21:K21"/>
    <mergeCell ref="M21:N21"/>
    <mergeCell ref="O21:P21"/>
    <mergeCell ref="A22:B22"/>
    <mergeCell ref="C22:E22"/>
    <mergeCell ref="F22:K22"/>
    <mergeCell ref="M22:N22"/>
    <mergeCell ref="O22:P22"/>
    <mergeCell ref="A23:B23"/>
    <mergeCell ref="C23:E23"/>
    <mergeCell ref="F23:K23"/>
    <mergeCell ref="M23:N23"/>
    <mergeCell ref="O23:P23"/>
    <mergeCell ref="A42:B42"/>
    <mergeCell ref="C42:E42"/>
    <mergeCell ref="F42:K42"/>
    <mergeCell ref="M42:N42"/>
    <mergeCell ref="O42:P42"/>
    <mergeCell ref="A27:B27"/>
    <mergeCell ref="C27:E27"/>
    <mergeCell ref="F27:K27"/>
    <mergeCell ref="M27:N27"/>
    <mergeCell ref="A28:B28"/>
    <mergeCell ref="C28:E28"/>
    <mergeCell ref="F28:K28"/>
    <mergeCell ref="M28:N28"/>
    <mergeCell ref="O28:P28"/>
    <mergeCell ref="A29:B29"/>
    <mergeCell ref="C29:E29"/>
    <mergeCell ref="F29:K29"/>
    <mergeCell ref="M29:N29"/>
    <mergeCell ref="O29:P29"/>
    <mergeCell ref="A30:B30"/>
    <mergeCell ref="C30:E30"/>
    <mergeCell ref="F30:K30"/>
    <mergeCell ref="M30:N30"/>
    <mergeCell ref="O30:P30"/>
    <mergeCell ref="O27:P27"/>
    <mergeCell ref="A24:B24"/>
    <mergeCell ref="C24:E24"/>
    <mergeCell ref="F24:K24"/>
    <mergeCell ref="M24:N24"/>
    <mergeCell ref="O24:P24"/>
    <mergeCell ref="O25:P25"/>
    <mergeCell ref="C26:E26"/>
    <mergeCell ref="F26:K26"/>
    <mergeCell ref="M26:N26"/>
    <mergeCell ref="O26:P26"/>
    <mergeCell ref="A25:B25"/>
    <mergeCell ref="A26:B26"/>
    <mergeCell ref="C25:E25"/>
    <mergeCell ref="F25:K25"/>
    <mergeCell ref="M25:N25"/>
    <mergeCell ref="A32:B32"/>
    <mergeCell ref="M32:N32"/>
    <mergeCell ref="O32:P32"/>
    <mergeCell ref="C31:E31"/>
    <mergeCell ref="A33:B33"/>
    <mergeCell ref="C33:E33"/>
    <mergeCell ref="F33:K33"/>
    <mergeCell ref="M33:N33"/>
    <mergeCell ref="O33:P33"/>
    <mergeCell ref="C32:E32"/>
    <mergeCell ref="A31:B31"/>
    <mergeCell ref="M31:N31"/>
    <mergeCell ref="O31:P31"/>
    <mergeCell ref="F31:K31"/>
    <mergeCell ref="M35:N35"/>
    <mergeCell ref="A35:B35"/>
    <mergeCell ref="C35:E35"/>
    <mergeCell ref="F35:K35"/>
    <mergeCell ref="O35:P35"/>
    <mergeCell ref="A34:B34"/>
    <mergeCell ref="C34:E34"/>
    <mergeCell ref="F34:K34"/>
    <mergeCell ref="M34:N34"/>
    <mergeCell ref="O34:P34"/>
    <mergeCell ref="A38:B38"/>
    <mergeCell ref="C38:E38"/>
    <mergeCell ref="F38:K38"/>
    <mergeCell ref="M38:N38"/>
    <mergeCell ref="O38:P38"/>
    <mergeCell ref="A36:B36"/>
    <mergeCell ref="C36:E36"/>
    <mergeCell ref="F36:K36"/>
    <mergeCell ref="M36:N36"/>
    <mergeCell ref="O36:P36"/>
    <mergeCell ref="A37:B37"/>
    <mergeCell ref="C37:E37"/>
    <mergeCell ref="F37:K37"/>
    <mergeCell ref="M37:N37"/>
    <mergeCell ref="O37:P37"/>
    <mergeCell ref="A41:B41"/>
    <mergeCell ref="C41:E41"/>
    <mergeCell ref="F41:K41"/>
    <mergeCell ref="M41:N41"/>
    <mergeCell ref="O41:P41"/>
    <mergeCell ref="A39:B39"/>
    <mergeCell ref="C39:E39"/>
    <mergeCell ref="F39:K39"/>
    <mergeCell ref="M39:N39"/>
    <mergeCell ref="O39:P39"/>
    <mergeCell ref="A40:B40"/>
    <mergeCell ref="C40:E40"/>
    <mergeCell ref="F40:K40"/>
    <mergeCell ref="M40:N40"/>
    <mergeCell ref="O40:P40"/>
  </mergeCells>
  <phoneticPr fontId="28"/>
  <dataValidations count="1">
    <dataValidation type="list" allowBlank="1" showInputMessage="1" showErrorMessage="1" sqref="C16:E16" xr:uid="{00000000-0002-0000-0700-000000000000}">
      <formula1>"全シート,マスタ,課題管理表,分析レポート,W_集計データ,その他"</formula1>
    </dataValidation>
  </dataValidations>
  <pageMargins left="0.23622047244094491" right="0.23622047244094491" top="0.74803149606299213" bottom="0.74803149606299213" header="0.31496062992125984" footer="0.31496062992125984"/>
  <pageSetup paperSize="9" orientation="landscape" r:id="rId1"/>
  <headerFooter>
    <oddFooter>&amp;L&amp;9TOMATO&amp;R&amp;9Copyright (c) TOYOTSU SYSCOM CO., LTD. All Rights Reserved.</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theme="0" tint="-0.499984740745262"/>
  </sheetPr>
  <dimension ref="B1:BA45"/>
  <sheetViews>
    <sheetView zoomScale="80" zoomScaleNormal="80" workbookViewId="0">
      <selection activeCell="G26" sqref="G26"/>
    </sheetView>
  </sheetViews>
  <sheetFormatPr defaultColWidth="9" defaultRowHeight="12"/>
  <cols>
    <col min="1" max="1" width="2.125" style="75" customWidth="1"/>
    <col min="2" max="2" width="13.25" style="75" customWidth="1"/>
    <col min="3" max="3" width="21" style="75" customWidth="1"/>
    <col min="4" max="4" width="13" style="75" customWidth="1"/>
    <col min="5" max="5" width="11.125" style="75" customWidth="1"/>
    <col min="6" max="9" width="9.5" style="80" bestFit="1" customWidth="1"/>
    <col min="10" max="49" width="9.5" style="75" bestFit="1" customWidth="1"/>
    <col min="50" max="53" width="8.625" style="75" bestFit="1" customWidth="1"/>
    <col min="54" max="16384" width="9" style="75"/>
  </cols>
  <sheetData>
    <row r="1" spans="2:53" ht="13.5">
      <c r="B1" s="73"/>
      <c r="C1" s="73"/>
      <c r="D1" s="73"/>
      <c r="E1" s="73"/>
      <c r="F1" s="74"/>
      <c r="G1" s="74"/>
      <c r="H1" s="74"/>
      <c r="I1" s="74"/>
      <c r="J1" s="73"/>
      <c r="K1" s="73"/>
      <c r="L1" s="73"/>
      <c r="M1" s="73"/>
      <c r="N1" s="73"/>
      <c r="O1" s="73"/>
      <c r="P1" s="73"/>
      <c r="Q1" s="73"/>
      <c r="R1" s="73"/>
      <c r="S1" s="73"/>
      <c r="T1" s="73"/>
      <c r="U1" s="73"/>
      <c r="V1" s="73"/>
      <c r="W1" s="73"/>
      <c r="X1" s="73"/>
      <c r="Y1" s="73"/>
      <c r="Z1" s="73"/>
      <c r="AA1" s="73"/>
      <c r="AB1" s="73"/>
      <c r="AC1" s="73"/>
      <c r="AD1" s="73"/>
      <c r="AE1" s="73"/>
      <c r="AF1" s="73"/>
      <c r="AG1" s="73"/>
      <c r="AH1" s="73"/>
      <c r="AI1" s="73"/>
      <c r="AJ1" s="73"/>
      <c r="AK1" s="73"/>
      <c r="AL1" s="73"/>
      <c r="AM1" s="73"/>
      <c r="AN1" s="73"/>
      <c r="AO1" s="73"/>
      <c r="AP1" s="73"/>
      <c r="AQ1" s="73"/>
      <c r="AR1" s="73"/>
      <c r="AS1" s="73"/>
      <c r="AT1" s="73"/>
      <c r="AU1" s="73"/>
      <c r="AV1" s="73"/>
      <c r="AW1" s="73"/>
      <c r="AX1" s="73"/>
      <c r="AY1" s="73"/>
      <c r="AZ1" s="73"/>
      <c r="BA1" s="73"/>
    </row>
    <row r="2" spans="2:53" ht="13.5">
      <c r="B2" s="73"/>
      <c r="C2" s="73" t="s">
        <v>149</v>
      </c>
      <c r="D2" s="73"/>
      <c r="E2" s="76"/>
      <c r="F2" s="74"/>
      <c r="G2" s="74"/>
      <c r="H2" s="74"/>
      <c r="I2" s="74"/>
      <c r="J2" s="73"/>
      <c r="K2" s="73"/>
      <c r="L2" s="73"/>
      <c r="M2" s="73"/>
      <c r="N2" s="73"/>
      <c r="O2" s="73"/>
      <c r="P2" s="73"/>
      <c r="Q2" s="73"/>
      <c r="R2" s="73"/>
      <c r="S2" s="73"/>
      <c r="T2" s="73"/>
      <c r="U2" s="73"/>
      <c r="V2" s="73"/>
      <c r="W2" s="73"/>
      <c r="X2" s="73"/>
      <c r="Y2" s="73"/>
      <c r="Z2" s="73"/>
      <c r="AA2" s="73"/>
      <c r="AB2" s="73"/>
      <c r="AC2" s="73"/>
      <c r="AD2" s="73"/>
      <c r="AE2" s="73"/>
      <c r="AF2" s="73"/>
      <c r="AG2" s="73"/>
      <c r="AH2" s="73"/>
      <c r="AI2" s="73"/>
      <c r="AJ2" s="73"/>
      <c r="AK2" s="73"/>
      <c r="AL2" s="73"/>
      <c r="AM2" s="73"/>
      <c r="AN2" s="73"/>
      <c r="AO2" s="73"/>
      <c r="AP2" s="73"/>
      <c r="AQ2" s="73"/>
      <c r="AR2" s="73"/>
      <c r="AS2" s="73"/>
      <c r="AT2" s="73"/>
      <c r="AU2" s="73"/>
      <c r="AV2" s="73"/>
      <c r="AW2" s="73"/>
      <c r="AX2" s="73"/>
      <c r="AY2" s="73"/>
      <c r="AZ2" s="73"/>
      <c r="BA2" s="73"/>
    </row>
    <row r="3" spans="2:53" ht="13.5">
      <c r="B3" s="73"/>
      <c r="C3" s="73"/>
      <c r="D3" s="73">
        <v>1</v>
      </c>
      <c r="E3" s="73">
        <v>2</v>
      </c>
      <c r="F3" s="73">
        <v>3</v>
      </c>
      <c r="G3" s="73">
        <v>4</v>
      </c>
      <c r="H3" s="73">
        <v>5</v>
      </c>
      <c r="I3" s="73">
        <v>6</v>
      </c>
      <c r="J3" s="73">
        <v>7</v>
      </c>
      <c r="K3" s="73">
        <v>8</v>
      </c>
      <c r="L3" s="73">
        <v>9</v>
      </c>
      <c r="M3" s="73">
        <v>10</v>
      </c>
      <c r="N3" s="73">
        <v>11</v>
      </c>
      <c r="O3" s="73">
        <v>12</v>
      </c>
      <c r="P3" s="73">
        <v>13</v>
      </c>
      <c r="Q3" s="73">
        <v>14</v>
      </c>
      <c r="R3" s="73">
        <v>15</v>
      </c>
      <c r="S3" s="73">
        <v>16</v>
      </c>
      <c r="T3" s="73">
        <v>17</v>
      </c>
      <c r="U3" s="73">
        <v>18</v>
      </c>
      <c r="V3" s="73">
        <v>19</v>
      </c>
      <c r="W3" s="73">
        <v>20</v>
      </c>
      <c r="X3" s="73">
        <v>21</v>
      </c>
      <c r="Y3" s="73">
        <v>22</v>
      </c>
      <c r="Z3" s="73">
        <v>23</v>
      </c>
      <c r="AA3" s="73">
        <v>24</v>
      </c>
      <c r="AB3" s="73">
        <v>25</v>
      </c>
      <c r="AC3" s="73">
        <v>26</v>
      </c>
      <c r="AD3" s="73">
        <v>27</v>
      </c>
      <c r="AE3" s="73">
        <v>28</v>
      </c>
      <c r="AF3" s="73">
        <v>29</v>
      </c>
      <c r="AG3" s="73">
        <v>30</v>
      </c>
      <c r="AH3" s="73">
        <v>31</v>
      </c>
      <c r="AI3" s="73">
        <v>32</v>
      </c>
      <c r="AJ3" s="73">
        <v>33</v>
      </c>
      <c r="AK3" s="73">
        <v>34</v>
      </c>
      <c r="AL3" s="73">
        <v>35</v>
      </c>
      <c r="AM3" s="73">
        <v>36</v>
      </c>
      <c r="AN3" s="73">
        <v>37</v>
      </c>
      <c r="AO3" s="73">
        <v>38</v>
      </c>
      <c r="AP3" s="73">
        <v>39</v>
      </c>
      <c r="AQ3" s="73">
        <v>40</v>
      </c>
      <c r="AR3" s="73">
        <v>41</v>
      </c>
      <c r="AS3" s="73">
        <v>42</v>
      </c>
      <c r="AT3" s="73">
        <v>43</v>
      </c>
      <c r="AU3" s="73">
        <v>44</v>
      </c>
      <c r="AV3" s="73">
        <v>45</v>
      </c>
      <c r="AW3" s="73">
        <v>46</v>
      </c>
      <c r="AX3" s="73">
        <v>47</v>
      </c>
      <c r="AY3" s="73">
        <v>48</v>
      </c>
      <c r="AZ3" s="73">
        <v>49</v>
      </c>
      <c r="BA3" s="73">
        <v>50</v>
      </c>
    </row>
    <row r="4" spans="2:53" s="78" customFormat="1" ht="13.5">
      <c r="B4" s="245" t="s">
        <v>419</v>
      </c>
      <c r="C4" s="243" t="s">
        <v>175</v>
      </c>
      <c r="D4" s="77">
        <f>Master!E9-MOD((WEEKDAY(Master!E9)+7-VLOOKUP(Master!E12,Master!$I$56:$J$62,2,FALSE)),7)</f>
        <v>46111</v>
      </c>
      <c r="E4" s="164">
        <f>IF(D4="","",IF(D4+7&gt;Master!$F$9+7,D4,D4+7))</f>
        <v>46118</v>
      </c>
      <c r="F4" s="164">
        <f>IF(E4="","",IF(E4+7&gt;Master!$F$9+7,E4,E4+7))</f>
        <v>46125</v>
      </c>
      <c r="G4" s="164">
        <f>IF(F4="","",IF(F4+7&gt;Master!$F$9+7,F4,F4+7))</f>
        <v>46132</v>
      </c>
      <c r="H4" s="164">
        <f>IF(G4="","",IF(G4+7&gt;Master!$F$9+7,G4,G4+7))</f>
        <v>46139</v>
      </c>
      <c r="I4" s="164">
        <f>IF(H4="","",IF(H4+7&gt;Master!$F$9+7,H4,H4+7))</f>
        <v>46146</v>
      </c>
      <c r="J4" s="164">
        <f>IF(I4="","",IF(I4+7&gt;Master!$F$9+7,I4,I4+7))</f>
        <v>46153</v>
      </c>
      <c r="K4" s="164">
        <f>IF(J4="","",IF(J4+7&gt;Master!$F$9+7,J4,J4+7))</f>
        <v>46160</v>
      </c>
      <c r="L4" s="164">
        <f>IF(K4="","",IF(K4+7&gt;Master!$F$9+7,K4,K4+7))</f>
        <v>46167</v>
      </c>
      <c r="M4" s="164">
        <f>IF(L4="","",IF(L4+7&gt;Master!$F$9+7,L4,L4+7))</f>
        <v>46174</v>
      </c>
      <c r="N4" s="164">
        <f>IF(M4="","",IF(M4+7&gt;Master!$F$9+7,M4,M4+7))</f>
        <v>46181</v>
      </c>
      <c r="O4" s="164">
        <f>IF(N4="","",IF(N4+7&gt;Master!$F$9+7,N4,N4+7))</f>
        <v>46188</v>
      </c>
      <c r="P4" s="164">
        <f>IF(O4="","",IF(O4+7&gt;Master!$F$9+7,O4,O4+7))</f>
        <v>46195</v>
      </c>
      <c r="Q4" s="164">
        <f>IF(P4="","",IF(P4+7&gt;Master!$F$9+7,P4,P4+7))</f>
        <v>46202</v>
      </c>
      <c r="R4" s="164">
        <f>IF(Q4="","",IF(Q4+7&gt;Master!$F$9+7,Q4,Q4+7))</f>
        <v>46209</v>
      </c>
      <c r="S4" s="164">
        <f>IF(R4="","",IF(R4+7&gt;Master!$F$9+7,R4,R4+7))</f>
        <v>46209</v>
      </c>
      <c r="T4" s="164">
        <f>IF(S4="","",IF(S4+7&gt;Master!$F$9+7,S4,S4+7))</f>
        <v>46209</v>
      </c>
      <c r="U4" s="164">
        <f>IF(T4="","",IF(T4+7&gt;Master!$F$9+7,T4,T4+7))</f>
        <v>46209</v>
      </c>
      <c r="V4" s="164">
        <f>IF(U4="","",IF(U4+7&gt;Master!$F$9+7,U4,U4+7))</f>
        <v>46209</v>
      </c>
      <c r="W4" s="164">
        <f>IF(V4="","",IF(V4+7&gt;Master!$F$9+7,V4,V4+7))</f>
        <v>46209</v>
      </c>
      <c r="X4" s="164">
        <f>IF(W4="","",IF(W4+7&gt;Master!$F$9+7,W4,W4+7))</f>
        <v>46209</v>
      </c>
      <c r="Y4" s="164">
        <f>IF(X4="","",IF(X4+7&gt;Master!$F$9+7,X4,X4+7))</f>
        <v>46209</v>
      </c>
      <c r="Z4" s="164">
        <f>IF(Y4="","",IF(Y4+7&gt;Master!$F$9+7,Y4,Y4+7))</f>
        <v>46209</v>
      </c>
      <c r="AA4" s="164">
        <f>IF(Z4="","",IF(Z4+7&gt;Master!$F$9+7,Z4,Z4+7))</f>
        <v>46209</v>
      </c>
      <c r="AB4" s="164">
        <f>IF(AA4="","",IF(AA4+7&gt;Master!$F$9+7,AA4,AA4+7))</f>
        <v>46209</v>
      </c>
      <c r="AC4" s="164">
        <f>IF(AB4="","",IF(AB4+7&gt;Master!$F$9+7,AB4,AB4+7))</f>
        <v>46209</v>
      </c>
      <c r="AD4" s="164">
        <f>IF(AC4="","",IF(AC4+7&gt;Master!$F$9+7,AC4,AC4+7))</f>
        <v>46209</v>
      </c>
      <c r="AE4" s="164">
        <f>IF(AD4="","",IF(AD4+7&gt;Master!$F$9+7,AD4,AD4+7))</f>
        <v>46209</v>
      </c>
      <c r="AF4" s="164">
        <f>IF(AE4="","",IF(AE4+7&gt;Master!$F$9+7,AE4,AE4+7))</f>
        <v>46209</v>
      </c>
      <c r="AG4" s="164">
        <f>IF(AF4="","",IF(AF4+7&gt;Master!$F$9+7,AF4,AF4+7))</f>
        <v>46209</v>
      </c>
      <c r="AH4" s="164">
        <f>IF(AG4="","",IF(AG4+7&gt;Master!$F$9+7,AG4,AG4+7))</f>
        <v>46209</v>
      </c>
      <c r="AI4" s="164">
        <f>IF(AH4="","",IF(AH4+7&gt;Master!$F$9+7,AH4,AH4+7))</f>
        <v>46209</v>
      </c>
      <c r="AJ4" s="164">
        <f>IF(AI4="","",IF(AI4+7&gt;Master!$F$9+7,AI4,AI4+7))</f>
        <v>46209</v>
      </c>
      <c r="AK4" s="164">
        <f>IF(AJ4="","",IF(AJ4+7&gt;Master!$F$9+7,AJ4,AJ4+7))</f>
        <v>46209</v>
      </c>
      <c r="AL4" s="164">
        <f>IF(AK4="","",IF(AK4+7&gt;Master!$F$9+7,AK4,AK4+7))</f>
        <v>46209</v>
      </c>
      <c r="AM4" s="164">
        <f>IF(AL4="","",IF(AL4+7&gt;Master!$F$9+7,AL4,AL4+7))</f>
        <v>46209</v>
      </c>
      <c r="AN4" s="164">
        <f>IF(AM4="","",IF(AM4+7&gt;Master!$F$9+7,AM4,AM4+7))</f>
        <v>46209</v>
      </c>
      <c r="AO4" s="164">
        <f>IF(AN4="","",IF(AN4+7&gt;Master!$F$9+7,AN4,AN4+7))</f>
        <v>46209</v>
      </c>
      <c r="AP4" s="164">
        <f>IF(AO4="","",IF(AO4+7&gt;Master!$F$9+7,AO4,AO4+7))</f>
        <v>46209</v>
      </c>
      <c r="AQ4" s="164">
        <f>IF(AP4="","",IF(AP4+7&gt;Master!$F$9+7,AP4,AP4+7))</f>
        <v>46209</v>
      </c>
      <c r="AR4" s="164">
        <f>IF(AQ4="","",IF(AQ4+7&gt;Master!$F$9+7,AQ4,AQ4+7))</f>
        <v>46209</v>
      </c>
      <c r="AS4" s="164">
        <f>IF(AR4="","",IF(AR4+7&gt;Master!$F$9+7,AR4,AR4+7))</f>
        <v>46209</v>
      </c>
      <c r="AT4" s="164">
        <f>IF(AS4="","",IF(AS4+7&gt;Master!$F$9+7,AS4,AS4+7))</f>
        <v>46209</v>
      </c>
      <c r="AU4" s="164">
        <f>IF(AT4="","",IF(AT4+7&gt;Master!$F$9+7,AT4,AT4+7))</f>
        <v>46209</v>
      </c>
      <c r="AV4" s="164">
        <f>IF(AU4="","",IF(AU4+7&gt;Master!$F$9+7,AU4,AU4+7))</f>
        <v>46209</v>
      </c>
      <c r="AW4" s="164">
        <f>IF(AV4="","",IF(AV4+7&gt;Master!$F$9+7,AV4,AV4+7))</f>
        <v>46209</v>
      </c>
      <c r="AX4" s="164">
        <f>IF(AW4="","",IF(AW4+7&gt;Master!$F$9+7,AW4,AW4+7))</f>
        <v>46209</v>
      </c>
      <c r="AY4" s="164">
        <f>IF(AX4="","",IF(AX4+7&gt;Master!$F$9+7,AX4,AX4+7))</f>
        <v>46209</v>
      </c>
      <c r="AZ4" s="164">
        <f>IF(AY4="","",IF(AY4+7&gt;Master!$F$9+7,AY4,AY4+7))</f>
        <v>46209</v>
      </c>
      <c r="BA4" s="164">
        <f>IF(AZ4="","",IF(AZ4+7&gt;Master!$F$9+7,AZ4,AZ4+7))</f>
        <v>46209</v>
      </c>
    </row>
    <row r="5" spans="2:53" ht="13.5">
      <c r="B5" s="246"/>
      <c r="C5" s="243" t="s">
        <v>144</v>
      </c>
      <c r="D5" s="79">
        <f>IF('W_Failure data'!D4&gt;'Failure Management'!$AI$3,NA(),SUMPRODUCT(('Failure Management'!$C9:$C1183&gt;=D4)*('Failure Management'!$C9:$C1183&lt;E4)))</f>
        <v>0</v>
      </c>
      <c r="E5" s="79">
        <f>IF('W_Failure data'!E4&gt;'Failure Management'!$AI$3,NA(),SUMPRODUCT(('Failure Management'!$C9:$C1183&gt;=E4)*('Failure Management'!$C9:$C1183&lt;F4)))</f>
        <v>0</v>
      </c>
      <c r="F5" s="79">
        <f>IF('W_Failure data'!F4&gt;'Failure Management'!$AI$3,NA(),SUMPRODUCT(('Failure Management'!$C9:$C1183&gt;=F4)*('Failure Management'!$C9:$C1183&lt;G4)))</f>
        <v>0</v>
      </c>
      <c r="G5" s="79">
        <f>IF('W_Failure data'!G4&gt;'Failure Management'!$AI$3,NA(),SUMPRODUCT(('Failure Management'!$C9:$C1183&gt;=G4)*('Failure Management'!$C9:$C1183&lt;H4)))</f>
        <v>0</v>
      </c>
      <c r="H5" s="79">
        <f>IF('W_Failure data'!H4&gt;'Failure Management'!$AI$3,NA(),SUMPRODUCT(('Failure Management'!$C9:$C1183&gt;=H4)*('Failure Management'!$C9:$C1183&lt;I4)))</f>
        <v>0</v>
      </c>
      <c r="I5" s="79" t="e">
        <f>IF('W_Failure data'!I4&gt;'Failure Management'!$AI$3,NA(),SUMPRODUCT(('Failure Management'!$C9:$C1183&gt;=I4)*('Failure Management'!$C9:$C1183&lt;J4)))</f>
        <v>#N/A</v>
      </c>
      <c r="J5" s="79" t="e">
        <f>IF('W_Failure data'!J4&gt;'Failure Management'!$AI$3,NA(),SUMPRODUCT(('Failure Management'!$C9:$C1183&gt;=J4)*('Failure Management'!$C9:$C1183&lt;K4)))</f>
        <v>#N/A</v>
      </c>
      <c r="K5" s="79" t="e">
        <f>IF('W_Failure data'!K4&gt;'Failure Management'!$AI$3,NA(),SUMPRODUCT(('Failure Management'!$C9:$C1183&gt;=K4)*('Failure Management'!$C9:$C1183&lt;L4)))</f>
        <v>#N/A</v>
      </c>
      <c r="L5" s="79" t="e">
        <f>IF('W_Failure data'!L4&gt;'Failure Management'!$AI$3,NA(),SUMPRODUCT(('Failure Management'!$C9:$C1183&gt;=L4)*('Failure Management'!$C9:$C1183&lt;M4)))</f>
        <v>#N/A</v>
      </c>
      <c r="M5" s="79" t="e">
        <f>IF('W_Failure data'!M4&gt;'Failure Management'!$AI$3,NA(),SUMPRODUCT(('Failure Management'!$C9:$C1183&gt;=M4)*('Failure Management'!$C9:$C1183&lt;N4)))</f>
        <v>#N/A</v>
      </c>
      <c r="N5" s="79" t="e">
        <f>IF('W_Failure data'!N4&gt;'Failure Management'!$AI$3,NA(),SUMPRODUCT(('Failure Management'!$C9:$C1183&gt;=N4)*('Failure Management'!$C9:$C1183&lt;O4)))</f>
        <v>#N/A</v>
      </c>
      <c r="O5" s="79" t="e">
        <f>IF('W_Failure data'!O4&gt;'Failure Management'!$AI$3,NA(),SUMPRODUCT(('Failure Management'!$C9:$C1183&gt;=O4)*('Failure Management'!$C9:$C1183&lt;P4)))</f>
        <v>#N/A</v>
      </c>
      <c r="P5" s="79" t="e">
        <f>IF('W_Failure data'!P4&gt;'Failure Management'!$AI$3,NA(),SUMPRODUCT(('Failure Management'!$C9:$C1183&gt;=P4)*('Failure Management'!$C9:$C1183&lt;Q4)))</f>
        <v>#N/A</v>
      </c>
      <c r="Q5" s="79" t="e">
        <f>IF('W_Failure data'!Q4&gt;'Failure Management'!$AI$3,NA(),SUMPRODUCT(('Failure Management'!$C9:$C1183&gt;=Q4)*('Failure Management'!$C9:$C1183&lt;R4)))</f>
        <v>#N/A</v>
      </c>
      <c r="R5" s="79" t="e">
        <f>IF('W_Failure data'!R4&gt;'Failure Management'!$AI$3,NA(),SUMPRODUCT(('Failure Management'!$C9:$C1183&gt;=R4)*('Failure Management'!$C9:$C1183&lt;S4)))</f>
        <v>#N/A</v>
      </c>
      <c r="S5" s="79" t="e">
        <f>IF('W_Failure data'!S4&gt;'Failure Management'!$AI$3,NA(),SUMPRODUCT(('Failure Management'!$C9:$C1183&gt;=S4)*('Failure Management'!$C9:$C1183&lt;T4)))</f>
        <v>#N/A</v>
      </c>
      <c r="T5" s="79" t="e">
        <f>IF('W_Failure data'!T4&gt;'Failure Management'!$AI$3,NA(),SUMPRODUCT(('Failure Management'!$C9:$C1183&gt;=T4)*('Failure Management'!$C9:$C1183&lt;U4)))</f>
        <v>#N/A</v>
      </c>
      <c r="U5" s="79" t="e">
        <f>IF('W_Failure data'!U4&gt;'Failure Management'!$AI$3,NA(),SUMPRODUCT(('Failure Management'!$C9:$C1183&gt;=U4)*('Failure Management'!$C9:$C1183&lt;V4)))</f>
        <v>#N/A</v>
      </c>
      <c r="V5" s="79" t="e">
        <f>IF('W_Failure data'!V4&gt;'Failure Management'!$AI$3,NA(),SUMPRODUCT(('Failure Management'!$C9:$C1183&gt;=V4)*('Failure Management'!$C9:$C1183&lt;W4)))</f>
        <v>#N/A</v>
      </c>
      <c r="W5" s="79" t="e">
        <f>IF('W_Failure data'!W4&gt;'Failure Management'!$AI$3,NA(),SUMPRODUCT(('Failure Management'!$C9:$C1183&gt;=W4)*('Failure Management'!$C9:$C1183&lt;X4)))</f>
        <v>#N/A</v>
      </c>
      <c r="X5" s="79" t="e">
        <f>IF('W_Failure data'!X4&gt;'Failure Management'!$AI$3,NA(),SUMPRODUCT(('Failure Management'!$C9:$C1183&gt;=X4)*('Failure Management'!$C9:$C1183&lt;Y4)))</f>
        <v>#N/A</v>
      </c>
      <c r="Y5" s="79" t="e">
        <f>IF('W_Failure data'!Y4&gt;'Failure Management'!$AI$3,NA(),SUMPRODUCT(('Failure Management'!$C9:$C1183&gt;=Y4)*('Failure Management'!$C9:$C1183&lt;Z4)))</f>
        <v>#N/A</v>
      </c>
      <c r="Z5" s="79" t="e">
        <f>IF('W_Failure data'!Z4&gt;'Failure Management'!$AI$3,NA(),SUMPRODUCT(('Failure Management'!$C9:$C1183&gt;=Z4)*('Failure Management'!$C9:$C1183&lt;AA4)))</f>
        <v>#N/A</v>
      </c>
      <c r="AA5" s="79" t="e">
        <f>IF('W_Failure data'!AA4&gt;'Failure Management'!$AI$3,NA(),SUMPRODUCT(('Failure Management'!$C9:$C1183&gt;=AA4)*('Failure Management'!$C9:$C1183&lt;AB4)))</f>
        <v>#N/A</v>
      </c>
      <c r="AB5" s="79" t="e">
        <f>IF('W_Failure data'!AB4&gt;'Failure Management'!$AI$3,NA(),SUMPRODUCT(('Failure Management'!$C9:$C1183&gt;=AB4)*('Failure Management'!$C9:$C1183&lt;AC4)))</f>
        <v>#N/A</v>
      </c>
      <c r="AC5" s="79" t="e">
        <f>IF('W_Failure data'!AC4&gt;'Failure Management'!$AI$3,NA(),SUMPRODUCT(('Failure Management'!$C9:$C1183&gt;=AC4)*('Failure Management'!$C9:$C1183&lt;AD4)))</f>
        <v>#N/A</v>
      </c>
      <c r="AD5" s="79" t="e">
        <f>IF('W_Failure data'!AD4&gt;'Failure Management'!$AI$3,NA(),SUMPRODUCT(('Failure Management'!$C9:$C1183&gt;=AD4)*('Failure Management'!$C9:$C1183&lt;AE4)))</f>
        <v>#N/A</v>
      </c>
      <c r="AE5" s="79" t="e">
        <f>IF('W_Failure data'!AE4&gt;'Failure Management'!$AI$3,NA(),SUMPRODUCT(('Failure Management'!$C9:$C1183&gt;=AE4)*('Failure Management'!$C9:$C1183&lt;AF4)))</f>
        <v>#N/A</v>
      </c>
      <c r="AF5" s="79" t="e">
        <f>IF('W_Failure data'!AF4&gt;'Failure Management'!$AI$3,NA(),SUMPRODUCT(('Failure Management'!$C9:$C1183&gt;=AF4)*('Failure Management'!$C9:$C1183&lt;AG4)))</f>
        <v>#N/A</v>
      </c>
      <c r="AG5" s="79" t="e">
        <f>IF('W_Failure data'!AG4&gt;'Failure Management'!$AI$3,NA(),SUMPRODUCT(('Failure Management'!$C9:$C1183&gt;=AG4)*('Failure Management'!$C9:$C1183&lt;AH4)))</f>
        <v>#N/A</v>
      </c>
      <c r="AH5" s="79" t="e">
        <f>IF('W_Failure data'!AH4&gt;'Failure Management'!$AI$3,NA(),SUMPRODUCT(('Failure Management'!$C9:$C1183&gt;=AH4)*('Failure Management'!$C9:$C1183&lt;AI4)))</f>
        <v>#N/A</v>
      </c>
      <c r="AI5" s="79" t="e">
        <f>IF('W_Failure data'!AI4&gt;'Failure Management'!$AI$3,NA(),SUMPRODUCT(('Failure Management'!$C9:$C1183&gt;=AI4)*('Failure Management'!$C9:$C1183&lt;AJ4)))</f>
        <v>#N/A</v>
      </c>
      <c r="AJ5" s="79" t="e">
        <f>IF('W_Failure data'!AJ4&gt;'Failure Management'!$AI$3,NA(),SUMPRODUCT(('Failure Management'!$C9:$C1183&gt;=AJ4)*('Failure Management'!$C9:$C1183&lt;AK4)))</f>
        <v>#N/A</v>
      </c>
      <c r="AK5" s="79" t="e">
        <f>IF('W_Failure data'!AK4&gt;'Failure Management'!$AI$3,NA(),SUMPRODUCT(('Failure Management'!$C9:$C1183&gt;=AK4)*('Failure Management'!$C9:$C1183&lt;AL4)))</f>
        <v>#N/A</v>
      </c>
      <c r="AL5" s="79" t="e">
        <f>IF('W_Failure data'!AL4&gt;'Failure Management'!$AI$3,NA(),SUMPRODUCT(('Failure Management'!$C9:$C1183&gt;=AL4)*('Failure Management'!$C9:$C1183&lt;AM4)))</f>
        <v>#N/A</v>
      </c>
      <c r="AM5" s="79" t="e">
        <f>IF('W_Failure data'!AM4&gt;'Failure Management'!$AI$3,NA(),SUMPRODUCT(('Failure Management'!$C9:$C1183&gt;=AM4)*('Failure Management'!$C9:$C1183&lt;AN4)))</f>
        <v>#N/A</v>
      </c>
      <c r="AN5" s="79" t="e">
        <f>IF('W_Failure data'!AN4&gt;'Failure Management'!$AI$3,NA(),SUMPRODUCT(('Failure Management'!$C9:$C1183&gt;=AN4)*('Failure Management'!$C9:$C1183&lt;AO4)))</f>
        <v>#N/A</v>
      </c>
      <c r="AO5" s="79" t="e">
        <f>IF('W_Failure data'!AO4&gt;'Failure Management'!$AI$3,NA(),SUMPRODUCT(('Failure Management'!$C9:$C1183&gt;=AO4)*('Failure Management'!$C9:$C1183&lt;AP4)))</f>
        <v>#N/A</v>
      </c>
      <c r="AP5" s="79" t="e">
        <f>IF('W_Failure data'!AP4&gt;'Failure Management'!$AI$3,NA(),SUMPRODUCT(('Failure Management'!$C9:$C1183&gt;=AP4)*('Failure Management'!$C9:$C1183&lt;AQ4)))</f>
        <v>#N/A</v>
      </c>
      <c r="AQ5" s="79" t="e">
        <f>IF('W_Failure data'!AQ4&gt;'Failure Management'!$AI$3,NA(),SUMPRODUCT(('Failure Management'!$C9:$C1183&gt;=AQ4)*('Failure Management'!$C9:$C1183&lt;AR4)))</f>
        <v>#N/A</v>
      </c>
      <c r="AR5" s="79" t="e">
        <f>IF('W_Failure data'!AR4&gt;'Failure Management'!$AI$3,NA(),SUMPRODUCT(('Failure Management'!$C9:$C1183&gt;=AR4)*('Failure Management'!$C9:$C1183&lt;AS4)))</f>
        <v>#N/A</v>
      </c>
      <c r="AS5" s="79" t="e">
        <f>IF('W_Failure data'!AS4&gt;'Failure Management'!$AI$3,NA(),SUMPRODUCT(('Failure Management'!$C9:$C1183&gt;=AS4)*('Failure Management'!$C9:$C1183&lt;AT4)))</f>
        <v>#N/A</v>
      </c>
      <c r="AT5" s="79" t="e">
        <f>IF('W_Failure data'!AT4&gt;'Failure Management'!$AI$3,NA(),SUMPRODUCT(('Failure Management'!$C9:$C1183&gt;=AT4)*('Failure Management'!$C9:$C1183&lt;AU4)))</f>
        <v>#N/A</v>
      </c>
      <c r="AU5" s="79" t="e">
        <f>IF('W_Failure data'!AU4&gt;'Failure Management'!$AI$3,NA(),SUMPRODUCT(('Failure Management'!$C9:$C1183&gt;=AU4)*('Failure Management'!$C9:$C1183&lt;AV4)))</f>
        <v>#N/A</v>
      </c>
      <c r="AV5" s="79" t="e">
        <f>IF('W_Failure data'!AV4&gt;'Failure Management'!$AI$3,NA(),SUMPRODUCT(('Failure Management'!$C9:$C1183&gt;=AV4)*('Failure Management'!$C9:$C1183&lt;AW4)))</f>
        <v>#N/A</v>
      </c>
      <c r="AW5" s="79" t="e">
        <f>IF('W_Failure data'!AW4&gt;'Failure Management'!$AI$3,NA(),SUMPRODUCT(('Failure Management'!$C9:$C1183&gt;=AW4)*('Failure Management'!$C9:$C1183&lt;AX4)))</f>
        <v>#N/A</v>
      </c>
      <c r="AX5" s="79" t="e">
        <f>IF('W_Failure data'!AX4&gt;'Failure Management'!$AI$3,NA(),SUMPRODUCT(('Failure Management'!$C9:$C1183&gt;=AX4)*('Failure Management'!$C9:$C1183&lt;AY4)))</f>
        <v>#N/A</v>
      </c>
      <c r="AY5" s="79" t="e">
        <f>IF('W_Failure data'!AY4&gt;'Failure Management'!$AI$3,NA(),SUMPRODUCT(('Failure Management'!$C9:$C1183&gt;=AY4)*('Failure Management'!$C9:$C1183&lt;AZ4)))</f>
        <v>#N/A</v>
      </c>
      <c r="AZ5" s="79" t="e">
        <f>IF('W_Failure data'!AZ4&gt;'Failure Management'!$AI$3,NA(),SUMPRODUCT(('Failure Management'!$C9:$C1183&gt;=AZ4)*('Failure Management'!$C9:$C1183&lt;BA4)))</f>
        <v>#N/A</v>
      </c>
      <c r="BA5" s="79" t="e">
        <f>IF('W_Failure data'!BA4&gt;'Failure Management'!$AI$3,NA(),SUMPRODUCT(('Failure Management'!$C9:$C1183&gt;=BA4)*('Failure Management'!$C9:$C1183&lt;BB4)))</f>
        <v>#N/A</v>
      </c>
    </row>
    <row r="6" spans="2:53" s="78" customFormat="1" ht="13.5">
      <c r="B6" s="247" t="s">
        <v>412</v>
      </c>
      <c r="C6" s="243" t="s">
        <v>145</v>
      </c>
      <c r="D6" s="79">
        <f>D5</f>
        <v>0</v>
      </c>
      <c r="E6" s="79">
        <f>D6+E5</f>
        <v>0</v>
      </c>
      <c r="F6" s="79">
        <f t="shared" ref="F6:BA6" si="0">E6+F5</f>
        <v>0</v>
      </c>
      <c r="G6" s="79">
        <f t="shared" si="0"/>
        <v>0</v>
      </c>
      <c r="H6" s="79">
        <f t="shared" si="0"/>
        <v>0</v>
      </c>
      <c r="I6" s="79" t="e">
        <f t="shared" si="0"/>
        <v>#N/A</v>
      </c>
      <c r="J6" s="79" t="e">
        <f t="shared" si="0"/>
        <v>#N/A</v>
      </c>
      <c r="K6" s="79" t="e">
        <f t="shared" si="0"/>
        <v>#N/A</v>
      </c>
      <c r="L6" s="79" t="e">
        <f t="shared" si="0"/>
        <v>#N/A</v>
      </c>
      <c r="M6" s="79" t="e">
        <f t="shared" si="0"/>
        <v>#N/A</v>
      </c>
      <c r="N6" s="79" t="e">
        <f t="shared" si="0"/>
        <v>#N/A</v>
      </c>
      <c r="O6" s="79" t="e">
        <f t="shared" ref="O6:W6" si="1">N6+O5</f>
        <v>#N/A</v>
      </c>
      <c r="P6" s="79" t="e">
        <f t="shared" si="1"/>
        <v>#N/A</v>
      </c>
      <c r="Q6" s="79" t="e">
        <f t="shared" si="1"/>
        <v>#N/A</v>
      </c>
      <c r="R6" s="79" t="e">
        <f t="shared" si="1"/>
        <v>#N/A</v>
      </c>
      <c r="S6" s="79" t="e">
        <f t="shared" si="1"/>
        <v>#N/A</v>
      </c>
      <c r="T6" s="79" t="e">
        <f t="shared" si="1"/>
        <v>#N/A</v>
      </c>
      <c r="U6" s="79" t="e">
        <f t="shared" si="1"/>
        <v>#N/A</v>
      </c>
      <c r="V6" s="79" t="e">
        <f t="shared" si="1"/>
        <v>#N/A</v>
      </c>
      <c r="W6" s="79" t="e">
        <f t="shared" si="1"/>
        <v>#N/A</v>
      </c>
      <c r="X6" s="79" t="e">
        <f>W6+X5</f>
        <v>#N/A</v>
      </c>
      <c r="Y6" s="79" t="e">
        <f>X6+Y5</f>
        <v>#N/A</v>
      </c>
      <c r="Z6" s="79" t="e">
        <f t="shared" ref="Z6:AI6" si="2">Y6+Z5</f>
        <v>#N/A</v>
      </c>
      <c r="AA6" s="79" t="e">
        <f t="shared" si="2"/>
        <v>#N/A</v>
      </c>
      <c r="AB6" s="79" t="e">
        <f t="shared" si="2"/>
        <v>#N/A</v>
      </c>
      <c r="AC6" s="79" t="e">
        <f t="shared" si="2"/>
        <v>#N/A</v>
      </c>
      <c r="AD6" s="79" t="e">
        <f t="shared" si="2"/>
        <v>#N/A</v>
      </c>
      <c r="AE6" s="79" t="e">
        <f t="shared" si="2"/>
        <v>#N/A</v>
      </c>
      <c r="AF6" s="79" t="e">
        <f t="shared" si="2"/>
        <v>#N/A</v>
      </c>
      <c r="AG6" s="79" t="e">
        <f t="shared" si="2"/>
        <v>#N/A</v>
      </c>
      <c r="AH6" s="79" t="e">
        <f t="shared" si="2"/>
        <v>#N/A</v>
      </c>
      <c r="AI6" s="79" t="e">
        <f t="shared" si="2"/>
        <v>#N/A</v>
      </c>
      <c r="AJ6" s="79" t="e">
        <f>AI6+AJ5</f>
        <v>#N/A</v>
      </c>
      <c r="AK6" s="79" t="e">
        <f>AJ6+AK5</f>
        <v>#N/A</v>
      </c>
      <c r="AL6" s="79" t="e">
        <f t="shared" si="0"/>
        <v>#N/A</v>
      </c>
      <c r="AM6" s="79" t="e">
        <f t="shared" si="0"/>
        <v>#N/A</v>
      </c>
      <c r="AN6" s="79" t="e">
        <f t="shared" si="0"/>
        <v>#N/A</v>
      </c>
      <c r="AO6" s="79" t="e">
        <f t="shared" si="0"/>
        <v>#N/A</v>
      </c>
      <c r="AP6" s="79" t="e">
        <f t="shared" si="0"/>
        <v>#N/A</v>
      </c>
      <c r="AQ6" s="79" t="e">
        <f t="shared" si="0"/>
        <v>#N/A</v>
      </c>
      <c r="AR6" s="79" t="e">
        <f t="shared" si="0"/>
        <v>#N/A</v>
      </c>
      <c r="AS6" s="79" t="e">
        <f t="shared" si="0"/>
        <v>#N/A</v>
      </c>
      <c r="AT6" s="79" t="e">
        <f>AS6+AT5</f>
        <v>#N/A</v>
      </c>
      <c r="AU6" s="79" t="e">
        <f t="shared" si="0"/>
        <v>#N/A</v>
      </c>
      <c r="AV6" s="79" t="e">
        <f t="shared" si="0"/>
        <v>#N/A</v>
      </c>
      <c r="AW6" s="79" t="e">
        <f t="shared" si="0"/>
        <v>#N/A</v>
      </c>
      <c r="AX6" s="79" t="e">
        <f t="shared" si="0"/>
        <v>#N/A</v>
      </c>
      <c r="AY6" s="79" t="e">
        <f t="shared" si="0"/>
        <v>#N/A</v>
      </c>
      <c r="AZ6" s="79" t="e">
        <f t="shared" si="0"/>
        <v>#N/A</v>
      </c>
      <c r="BA6" s="79" t="e">
        <f t="shared" si="0"/>
        <v>#N/A</v>
      </c>
    </row>
    <row r="7" spans="2:53" s="78" customFormat="1" ht="13.5">
      <c r="B7" s="247" t="s">
        <v>418</v>
      </c>
      <c r="C7" s="244" t="s">
        <v>266</v>
      </c>
      <c r="D7" s="79" t="e">
        <f>IF('Analysis report'!$L$1&gt;=Master!$E$9+7*(Master!$H$9-1),IF(C4&lt;&gt;D4,$D$28*$D$27^EXP(-1*$D$32*D3),NA()),"")</f>
        <v>#DIV/0!</v>
      </c>
      <c r="E7" s="79" t="e">
        <f>IF('Analysis report'!$L$1&gt;=Master!$E$9+7*(Master!$H$9-1),IF(D4&lt;&gt;E4,$D$28*$D$27^EXP(-1*$D$32*E3),NA()),"")</f>
        <v>#DIV/0!</v>
      </c>
      <c r="F7" s="79" t="e">
        <f>IF('Analysis report'!$L$1&gt;=Master!$E$9+7*(Master!$H$9-1),IF(E4&lt;&gt;F4,$D$28*$D$27^EXP(-1*$D$32*F3),NA()),"")</f>
        <v>#DIV/0!</v>
      </c>
      <c r="G7" s="79" t="e">
        <f>IF('Analysis report'!$L$1&gt;=Master!$E$9+7*(Master!$H$9-1),IF(F4&lt;&gt;G4,$D$28*$D$27^EXP(-1*$D$32*G3),NA()),"")</f>
        <v>#DIV/0!</v>
      </c>
      <c r="H7" s="79" t="e">
        <f>IF('Analysis report'!$L$1&gt;=Master!$E$9+7*(Master!$H$9-1),IF(G4&lt;&gt;H4,$D$28*$D$27^EXP(-1*$D$32*H3),NA()),"")</f>
        <v>#DIV/0!</v>
      </c>
      <c r="I7" s="79" t="e">
        <f>IF('Analysis report'!$L$1&gt;=Master!$E$9+7*(Master!$H$9-1),IF(H4&lt;&gt;I4,$D$28*$D$27^EXP(-1*$D$32*I3),NA()),"")</f>
        <v>#DIV/0!</v>
      </c>
      <c r="J7" s="79" t="e">
        <f>IF('Analysis report'!$L$1&gt;=Master!$E$9+7*(Master!$H$9-1),IF(I4&lt;&gt;J4,$D$28*$D$27^EXP(-1*$D$32*J3),NA()),"")</f>
        <v>#DIV/0!</v>
      </c>
      <c r="K7" s="79" t="e">
        <f>IF('Analysis report'!$L$1&gt;=Master!$E$9+7*(Master!$H$9-1),IF(J4&lt;&gt;K4,$D$28*$D$27^EXP(-1*$D$32*K3),NA()),"")</f>
        <v>#DIV/0!</v>
      </c>
      <c r="L7" s="79" t="e">
        <f>IF('Analysis report'!$L$1&gt;=Master!$E$9+7*(Master!$H$9-1),IF(K4&lt;&gt;L4,$D$28*$D$27^EXP(-1*$D$32*L3),NA()),"")</f>
        <v>#DIV/0!</v>
      </c>
      <c r="M7" s="79" t="e">
        <f>IF('Analysis report'!$L$1&gt;=Master!$E$9+7*(Master!$H$9-1),IF(L4&lt;&gt;M4,$D$28*$D$27^EXP(-1*$D$32*M3),NA()),"")</f>
        <v>#DIV/0!</v>
      </c>
      <c r="N7" s="79" t="e">
        <f>IF('Analysis report'!$L$1&gt;=Master!$E$9+7*(Master!$H$9-1),IF(M4&lt;&gt;N4,$D$28*$D$27^EXP(-1*$D$32*N3),NA()),"")</f>
        <v>#DIV/0!</v>
      </c>
      <c r="O7" s="79" t="e">
        <f>IF('Analysis report'!$L$1&gt;=Master!$E$9+7*(Master!$H$9-1),IF(N4&lt;&gt;O4,$D$28*$D$27^EXP(-1*$D$32*O3),NA()),"")</f>
        <v>#DIV/0!</v>
      </c>
      <c r="P7" s="79" t="e">
        <f>IF('Analysis report'!$L$1&gt;=Master!$E$9+7*(Master!$H$9-1),IF(O4&lt;&gt;P4,$D$28*$D$27^EXP(-1*$D$32*P3),NA()),"")</f>
        <v>#DIV/0!</v>
      </c>
      <c r="Q7" s="79" t="e">
        <f>IF('Analysis report'!$L$1&gt;=Master!$E$9+7*(Master!$H$9-1),IF(P4&lt;&gt;Q4,$D$28*$D$27^EXP(-1*$D$32*Q3),NA()),"")</f>
        <v>#DIV/0!</v>
      </c>
      <c r="R7" s="79" t="e">
        <f>IF('Analysis report'!$L$1&gt;=Master!$E$9+7*(Master!$H$9-1),IF(Q4&lt;&gt;R4,$D$28*$D$27^EXP(-1*$D$32*R3),NA()),"")</f>
        <v>#DIV/0!</v>
      </c>
      <c r="S7" s="79" t="e">
        <f>IF('Analysis report'!$L$1&gt;=Master!$E$9+7*(Master!$H$9-1),IF(R4&lt;&gt;S4,$D$28*$D$27^EXP(-1*$D$32*S3),NA()),"")</f>
        <v>#N/A</v>
      </c>
      <c r="T7" s="79" t="e">
        <f>IF('Analysis report'!$L$1&gt;=Master!$E$9+7*(Master!$H$9-1),IF(S4&lt;&gt;T4,$D$28*$D$27^EXP(-1*$D$32*T3),NA()),"")</f>
        <v>#N/A</v>
      </c>
      <c r="U7" s="79" t="e">
        <f>IF('Analysis report'!$L$1&gt;=Master!$E$9+7*(Master!$H$9-1),IF(T4&lt;&gt;U4,$D$28*$D$27^EXP(-1*$D$32*U3),NA()),"")</f>
        <v>#N/A</v>
      </c>
      <c r="V7" s="79" t="e">
        <f>IF('Analysis report'!$L$1&gt;=Master!$E$9+7*(Master!$H$9-1),IF(U4&lt;&gt;V4,$D$28*$D$27^EXP(-1*$D$32*V3),NA()),"")</f>
        <v>#N/A</v>
      </c>
      <c r="W7" s="79" t="e">
        <f>IF('Analysis report'!$L$1&gt;=Master!$E$9+7*(Master!$H$9-1),IF(V4&lt;&gt;W4,$D$28*$D$27^EXP(-1*$D$32*W3),NA()),"")</f>
        <v>#N/A</v>
      </c>
      <c r="X7" s="79" t="e">
        <f>IF('Analysis report'!$L$1&gt;=Master!$E$9+7*(Master!$H$9-1),IF(W4&lt;&gt;X4,$D$28*$D$27^EXP(-1*$D$32*X3),NA()),"")</f>
        <v>#N/A</v>
      </c>
      <c r="Y7" s="79" t="e">
        <f>IF('Analysis report'!$L$1&gt;=Master!$E$9+7*(Master!$H$9-1),IF(X4&lt;&gt;Y4,$D$28*$D$27^EXP(-1*$D$32*Y3),NA()),"")</f>
        <v>#N/A</v>
      </c>
      <c r="Z7" s="79" t="e">
        <f>IF('Analysis report'!$L$1&gt;=Master!$E$9+7*(Master!$H$9-1),IF(Y4&lt;&gt;Z4,$D$28*$D$27^EXP(-1*$D$32*Z3),NA()),"")</f>
        <v>#N/A</v>
      </c>
      <c r="AA7" s="79" t="e">
        <f>IF('Analysis report'!$L$1&gt;=Master!$E$9+7*(Master!$H$9-1),IF(Z4&lt;&gt;AA4,$D$28*$D$27^EXP(-1*$D$32*AA3),NA()),"")</f>
        <v>#N/A</v>
      </c>
      <c r="AB7" s="79" t="e">
        <f>IF('Analysis report'!$L$1&gt;=Master!$E$9+7*(Master!$H$9-1),IF(AA4&lt;&gt;AB4,$D$28*$D$27^EXP(-1*$D$32*AB3),NA()),"")</f>
        <v>#N/A</v>
      </c>
      <c r="AC7" s="79" t="e">
        <f>IF('Analysis report'!$L$1&gt;=Master!$E$9+7*(Master!$H$9-1),IF(AB4&lt;&gt;AC4,$D$28*$D$27^EXP(-1*$D$32*AC3),NA()),"")</f>
        <v>#N/A</v>
      </c>
      <c r="AD7" s="79" t="e">
        <f>IF('Analysis report'!$L$1&gt;=Master!$E$9+7*(Master!$H$9-1),IF(AC4&lt;&gt;AD4,$D$28*$D$27^EXP(-1*$D$32*AD3),NA()),"")</f>
        <v>#N/A</v>
      </c>
      <c r="AE7" s="79" t="e">
        <f>IF('Analysis report'!$L$1&gt;=Master!$E$9+7*(Master!$H$9-1),IF(AD4&lt;&gt;AE4,$D$28*$D$27^EXP(-1*$D$32*AE3),NA()),"")</f>
        <v>#N/A</v>
      </c>
      <c r="AF7" s="79" t="e">
        <f>IF('Analysis report'!$L$1&gt;=Master!$E$9+7*(Master!$H$9-1),IF(AE4&lt;&gt;AF4,$D$28*$D$27^EXP(-1*$D$32*AF3),NA()),"")</f>
        <v>#N/A</v>
      </c>
      <c r="AG7" s="79" t="e">
        <f>IF('Analysis report'!$L$1&gt;=Master!$E$9+7*(Master!$H$9-1),IF(AF4&lt;&gt;AG4,$D$28*$D$27^EXP(-1*$D$32*AG3),NA()),"")</f>
        <v>#N/A</v>
      </c>
      <c r="AH7" s="79" t="e">
        <f>IF('Analysis report'!$L$1&gt;=Master!$E$9+7*(Master!$H$9-1),IF(AG4&lt;&gt;AH4,$D$28*$D$27^EXP(-1*$D$32*AH3),NA()),"")</f>
        <v>#N/A</v>
      </c>
      <c r="AI7" s="79" t="e">
        <f>IF('Analysis report'!$L$1&gt;=Master!$E$9+7*(Master!$H$9-1),IF(AH4&lt;&gt;AI4,$D$28*$D$27^EXP(-1*$D$32*AI3),NA()),"")</f>
        <v>#N/A</v>
      </c>
      <c r="AJ7" s="79" t="e">
        <f>IF('Analysis report'!$L$1&gt;=Master!$E$9+7*(Master!$H$9-1),IF(AI4&lt;&gt;AJ4,$D$28*$D$27^EXP(-1*$D$32*AJ3),NA()),"")</f>
        <v>#N/A</v>
      </c>
      <c r="AK7" s="79" t="e">
        <f>IF('Analysis report'!$L$1&gt;=Master!$E$9+7*(Master!$H$9-1),IF(AJ4&lt;&gt;AK4,$D$28*$D$27^EXP(-1*$D$32*AK3),NA()),"")</f>
        <v>#N/A</v>
      </c>
      <c r="AL7" s="79" t="e">
        <f>IF('Analysis report'!$L$1&gt;=Master!$E$9+7*(Master!$H$9-1),IF(AK4&lt;&gt;AL4,$D$28*$D$27^EXP(-1*$D$32*AL3),NA()),"")</f>
        <v>#N/A</v>
      </c>
      <c r="AM7" s="79" t="e">
        <f>IF('Analysis report'!$L$1&gt;=Master!$E$9+7*(Master!$H$9-1),IF(AL4&lt;&gt;AM4,$D$28*$D$27^EXP(-1*$D$32*AM3),NA()),"")</f>
        <v>#N/A</v>
      </c>
      <c r="AN7" s="79" t="e">
        <f>IF('Analysis report'!$L$1&gt;=Master!$E$9+7*(Master!$H$9-1),IF(AM4&lt;&gt;AN4,$D$28*$D$27^EXP(-1*$D$32*AN3),NA()),"")</f>
        <v>#N/A</v>
      </c>
      <c r="AO7" s="79" t="e">
        <f>IF('Analysis report'!$L$1&gt;=Master!$E$9+7*(Master!$H$9-1),IF(AN4&lt;&gt;AO4,$D$28*$D$27^EXP(-1*$D$32*AO3),NA()),"")</f>
        <v>#N/A</v>
      </c>
      <c r="AP7" s="79" t="e">
        <f>IF('Analysis report'!$L$1&gt;=Master!$E$9+7*(Master!$H$9-1),IF(AO4&lt;&gt;AP4,$D$28*$D$27^EXP(-1*$D$32*AP3),NA()),"")</f>
        <v>#N/A</v>
      </c>
      <c r="AQ7" s="79" t="e">
        <f>IF('Analysis report'!$L$1&gt;=Master!$E$9+7*(Master!$H$9-1),IF(AP4&lt;&gt;AQ4,$D$28*$D$27^EXP(-1*$D$32*AQ3),NA()),"")</f>
        <v>#N/A</v>
      </c>
      <c r="AR7" s="79" t="e">
        <f>IF('Analysis report'!$L$1&gt;=Master!$E$9+7*(Master!$H$9-1),IF(AQ4&lt;&gt;AR4,$D$28*$D$27^EXP(-1*$D$32*AR3),NA()),"")</f>
        <v>#N/A</v>
      </c>
      <c r="AS7" s="79" t="e">
        <f>IF('Analysis report'!$L$1&gt;=Master!$E$9+7*(Master!$H$9-1),IF(AR4&lt;&gt;AS4,$D$28*$D$27^EXP(-1*$D$32*AS3),NA()),"")</f>
        <v>#N/A</v>
      </c>
      <c r="AT7" s="79" t="e">
        <f>IF('Analysis report'!$L$1&gt;=Master!$E$9+7*(Master!$H$9-1),IF(AS4&lt;&gt;AT4,$D$28*$D$27^EXP(-1*$D$32*AT3),NA()),"")</f>
        <v>#N/A</v>
      </c>
      <c r="AU7" s="79" t="e">
        <f>IF('Analysis report'!$L$1&gt;=Master!$E$9+7*(Master!$H$9-1),IF(AT4&lt;&gt;AU4,$D$28*$D$27^EXP(-1*$D$32*AU3),NA()),"")</f>
        <v>#N/A</v>
      </c>
      <c r="AV7" s="79" t="e">
        <f>IF('Analysis report'!$L$1&gt;=Master!$E$9+7*(Master!$H$9-1),IF(AU4&lt;&gt;AV4,$D$28*$D$27^EXP(-1*$D$32*AV3),NA()),"")</f>
        <v>#N/A</v>
      </c>
      <c r="AW7" s="79" t="e">
        <f>IF('Analysis report'!$L$1&gt;=Master!$E$9+7*(Master!$H$9-1),IF(AV4&lt;&gt;AW4,$D$28*$D$27^EXP(-1*$D$32*AW3),NA()),"")</f>
        <v>#N/A</v>
      </c>
      <c r="AX7" s="79" t="e">
        <f>IF('Analysis report'!$L$1&gt;=Master!$E$9+7*(Master!$H$9-1),IF(AW4&lt;&gt;AX4,$D$28*$D$27^EXP(-1*$D$32*AX3),NA()),"")</f>
        <v>#N/A</v>
      </c>
      <c r="AY7" s="79" t="e">
        <f>IF('Analysis report'!$L$1&gt;=Master!$E$9+7*(Master!$H$9-1),IF(AX4&lt;&gt;AY4,$D$28*$D$27^EXP(-1*$D$32*AY3),NA()),"")</f>
        <v>#N/A</v>
      </c>
      <c r="AZ7" s="79" t="e">
        <f>IF('Analysis report'!$L$1&gt;=Master!$E$9+7*(Master!$H$9-1),IF(AY4&lt;&gt;AZ4,$D$28*$D$27^EXP(-1*$D$32*AZ3),NA()),"")</f>
        <v>#N/A</v>
      </c>
      <c r="BA7" s="79" t="e">
        <f>IF('Analysis report'!$L$1&gt;=Master!$E$9+7*(Master!$H$9-1),IF(AZ4&lt;&gt;BA4,$D$28*$D$27^EXP(-1*$D$32*BA3),NA()),"")</f>
        <v>#N/A</v>
      </c>
    </row>
    <row r="8" spans="2:53" s="78" customFormat="1" ht="13.5">
      <c r="B8" s="247"/>
      <c r="C8" s="244" t="s">
        <v>317</v>
      </c>
      <c r="D8" s="79" t="str">
        <f>IF(ISERROR(D7),"",D7)</f>
        <v/>
      </c>
      <c r="E8" s="79" t="str">
        <f t="shared" ref="E8:M8" si="3">IF(ISERROR(E7),"",E7)</f>
        <v/>
      </c>
      <c r="F8" s="79" t="str">
        <f t="shared" si="3"/>
        <v/>
      </c>
      <c r="G8" s="79" t="str">
        <f t="shared" si="3"/>
        <v/>
      </c>
      <c r="H8" s="79" t="str">
        <f t="shared" si="3"/>
        <v/>
      </c>
      <c r="I8" s="79" t="str">
        <f t="shared" si="3"/>
        <v/>
      </c>
      <c r="J8" s="79" t="str">
        <f t="shared" si="3"/>
        <v/>
      </c>
      <c r="K8" s="79" t="str">
        <f t="shared" si="3"/>
        <v/>
      </c>
      <c r="L8" s="79" t="str">
        <f t="shared" si="3"/>
        <v/>
      </c>
      <c r="M8" s="79" t="str">
        <f t="shared" si="3"/>
        <v/>
      </c>
      <c r="N8" s="79" t="str">
        <f>IF(ISERROR(N7),"",N7)</f>
        <v/>
      </c>
      <c r="O8" s="79" t="str">
        <f t="shared" ref="O8:BA8" si="4">IF(ISERROR(O7),"",O7)</f>
        <v/>
      </c>
      <c r="P8" s="79" t="str">
        <f t="shared" si="4"/>
        <v/>
      </c>
      <c r="Q8" s="79" t="str">
        <f t="shared" si="4"/>
        <v/>
      </c>
      <c r="R8" s="79" t="str">
        <f t="shared" si="4"/>
        <v/>
      </c>
      <c r="S8" s="79" t="str">
        <f t="shared" si="4"/>
        <v/>
      </c>
      <c r="T8" s="79" t="str">
        <f t="shared" si="4"/>
        <v/>
      </c>
      <c r="U8" s="79" t="str">
        <f t="shared" si="4"/>
        <v/>
      </c>
      <c r="V8" s="79" t="str">
        <f t="shared" si="4"/>
        <v/>
      </c>
      <c r="W8" s="79" t="str">
        <f t="shared" si="4"/>
        <v/>
      </c>
      <c r="X8" s="79" t="str">
        <f t="shared" si="4"/>
        <v/>
      </c>
      <c r="Y8" s="79" t="str">
        <f t="shared" si="4"/>
        <v/>
      </c>
      <c r="Z8" s="79" t="str">
        <f t="shared" si="4"/>
        <v/>
      </c>
      <c r="AA8" s="79" t="str">
        <f t="shared" si="4"/>
        <v/>
      </c>
      <c r="AB8" s="79" t="str">
        <f t="shared" si="4"/>
        <v/>
      </c>
      <c r="AC8" s="79" t="str">
        <f t="shared" si="4"/>
        <v/>
      </c>
      <c r="AD8" s="79" t="str">
        <f t="shared" si="4"/>
        <v/>
      </c>
      <c r="AE8" s="79" t="str">
        <f t="shared" si="4"/>
        <v/>
      </c>
      <c r="AF8" s="79" t="str">
        <f t="shared" si="4"/>
        <v/>
      </c>
      <c r="AG8" s="79" t="str">
        <f t="shared" si="4"/>
        <v/>
      </c>
      <c r="AH8" s="79" t="str">
        <f t="shared" si="4"/>
        <v/>
      </c>
      <c r="AI8" s="79" t="str">
        <f t="shared" si="4"/>
        <v/>
      </c>
      <c r="AJ8" s="79" t="str">
        <f t="shared" si="4"/>
        <v/>
      </c>
      <c r="AK8" s="79" t="str">
        <f t="shared" si="4"/>
        <v/>
      </c>
      <c r="AL8" s="79" t="str">
        <f t="shared" si="4"/>
        <v/>
      </c>
      <c r="AM8" s="79" t="str">
        <f t="shared" si="4"/>
        <v/>
      </c>
      <c r="AN8" s="79" t="str">
        <f t="shared" si="4"/>
        <v/>
      </c>
      <c r="AO8" s="79" t="str">
        <f t="shared" si="4"/>
        <v/>
      </c>
      <c r="AP8" s="79" t="str">
        <f t="shared" si="4"/>
        <v/>
      </c>
      <c r="AQ8" s="79" t="str">
        <f t="shared" si="4"/>
        <v/>
      </c>
      <c r="AR8" s="79" t="str">
        <f t="shared" si="4"/>
        <v/>
      </c>
      <c r="AS8" s="79" t="str">
        <f t="shared" si="4"/>
        <v/>
      </c>
      <c r="AT8" s="79" t="str">
        <f t="shared" si="4"/>
        <v/>
      </c>
      <c r="AU8" s="79" t="str">
        <f t="shared" si="4"/>
        <v/>
      </c>
      <c r="AV8" s="79" t="str">
        <f t="shared" si="4"/>
        <v/>
      </c>
      <c r="AW8" s="79" t="str">
        <f t="shared" si="4"/>
        <v/>
      </c>
      <c r="AX8" s="79" t="str">
        <f t="shared" si="4"/>
        <v/>
      </c>
      <c r="AY8" s="79" t="str">
        <f t="shared" si="4"/>
        <v/>
      </c>
      <c r="AZ8" s="79" t="str">
        <f t="shared" si="4"/>
        <v/>
      </c>
      <c r="BA8" s="79" t="str">
        <f t="shared" si="4"/>
        <v/>
      </c>
    </row>
    <row r="9" spans="2:53" ht="13.5">
      <c r="B9" s="246"/>
      <c r="C9" s="244" t="s">
        <v>146</v>
      </c>
      <c r="D9" s="79">
        <f>IF('W_Failure data'!D4&gt;'Failure Management'!$AI$3,NA(),SUMPRODUCT(('Failure Management'!$O9:$O1183&gt;=D4)*('Failure Management'!$O9:$O1183&lt;E4)))</f>
        <v>0</v>
      </c>
      <c r="E9" s="79">
        <f>IF('W_Failure data'!E4&gt;'Failure Management'!$AI$3,NA(),SUMPRODUCT(('Failure Management'!$O9:$O1183&gt;=E4)*('Failure Management'!$O9:$O1183&lt;F4)))</f>
        <v>0</v>
      </c>
      <c r="F9" s="79">
        <f>IF('W_Failure data'!F4&gt;'Failure Management'!$AI$3,NA(),SUMPRODUCT(('Failure Management'!$O9:$O1183&gt;=F4)*('Failure Management'!$O9:$O1183&lt;G4)))</f>
        <v>0</v>
      </c>
      <c r="G9" s="79">
        <f>IF('W_Failure data'!G4&gt;'Failure Management'!$AI$3,NA(),SUMPRODUCT(('Failure Management'!$O9:$O1183&gt;=G4)*('Failure Management'!$O9:$O1183&lt;H4)))</f>
        <v>0</v>
      </c>
      <c r="H9" s="79">
        <f>IF('W_Failure data'!H4&gt;'Failure Management'!$AI$3,NA(),SUMPRODUCT(('Failure Management'!$O9:$O1183&gt;=H4)*('Failure Management'!$O9:$O1183&lt;I4)))</f>
        <v>0</v>
      </c>
      <c r="I9" s="79" t="e">
        <f>IF('W_Failure data'!I4&gt;'Failure Management'!$AI$3,NA(),SUMPRODUCT(('Failure Management'!$O9:$O1183&gt;=I4)*('Failure Management'!$O9:$O1183&lt;J4)))</f>
        <v>#N/A</v>
      </c>
      <c r="J9" s="79" t="e">
        <f>IF('W_Failure data'!J4&gt;'Failure Management'!$AI$3,NA(),SUMPRODUCT(('Failure Management'!$O9:$O1183&gt;=J4)*('Failure Management'!$O9:$O1183&lt;K4)))</f>
        <v>#N/A</v>
      </c>
      <c r="K9" s="79" t="e">
        <f>IF('W_Failure data'!K4&gt;'Failure Management'!$AI$3,NA(),SUMPRODUCT(('Failure Management'!$O9:$O1183&gt;=K4)*('Failure Management'!$O9:$O1183&lt;L4)))</f>
        <v>#N/A</v>
      </c>
      <c r="L9" s="79" t="e">
        <f>IF('W_Failure data'!L4&gt;'Failure Management'!$AI$3,NA(),SUMPRODUCT(('Failure Management'!$O9:$O1183&gt;=L4)*('Failure Management'!$O9:$O1183&lt;M4)))</f>
        <v>#N/A</v>
      </c>
      <c r="M9" s="79" t="e">
        <f>IF('W_Failure data'!M4&gt;'Failure Management'!$AI$3,NA(),SUMPRODUCT(('Failure Management'!$O9:$O1183&gt;=M4)*('Failure Management'!$O9:$O1183&lt;N4)))</f>
        <v>#N/A</v>
      </c>
      <c r="N9" s="79" t="e">
        <f>IF('W_Failure data'!N4&gt;'Failure Management'!$AI$3,NA(),SUMPRODUCT(('Failure Management'!$O9:$O1183&gt;=N4)*('Failure Management'!$O9:$O1183&lt;O4)))</f>
        <v>#N/A</v>
      </c>
      <c r="O9" s="79" t="e">
        <f>IF('W_Failure data'!O4&gt;'Failure Management'!$AI$3,NA(),SUMPRODUCT(('Failure Management'!$O9:$O1183&gt;=O4)*('Failure Management'!$O9:$O1183&lt;P4)))</f>
        <v>#N/A</v>
      </c>
      <c r="P9" s="79" t="e">
        <f>IF('W_Failure data'!P4&gt;'Failure Management'!$AI$3,NA(),SUMPRODUCT(('Failure Management'!$O9:$O1183&gt;=P4)*('Failure Management'!$O9:$O1183&lt;Q4)))</f>
        <v>#N/A</v>
      </c>
      <c r="Q9" s="79" t="e">
        <f>IF('W_Failure data'!Q4&gt;'Failure Management'!$AI$3,NA(),SUMPRODUCT(('Failure Management'!$O9:$O1183&gt;=Q4)*('Failure Management'!$O9:$O1183&lt;R4)))</f>
        <v>#N/A</v>
      </c>
      <c r="R9" s="79" t="e">
        <f>IF('W_Failure data'!R4&gt;'Failure Management'!$AI$3,NA(),SUMPRODUCT(('Failure Management'!$O9:$O1183&gt;=R4)*('Failure Management'!$O9:$O1183&lt;S4)))</f>
        <v>#N/A</v>
      </c>
      <c r="S9" s="79" t="e">
        <f>IF('W_Failure data'!S4&gt;'Failure Management'!$AI$3,NA(),SUMPRODUCT(('Failure Management'!$O9:$O1183&gt;=S4)*('Failure Management'!$O9:$O1183&lt;T4)))</f>
        <v>#N/A</v>
      </c>
      <c r="T9" s="79" t="e">
        <f>IF('W_Failure data'!T4&gt;'Failure Management'!$AI$3,NA(),SUMPRODUCT(('Failure Management'!$O9:$O1183&gt;=T4)*('Failure Management'!$O9:$O1183&lt;U4)))</f>
        <v>#N/A</v>
      </c>
      <c r="U9" s="79" t="e">
        <f>IF('W_Failure data'!U4&gt;'Failure Management'!$AI$3,NA(),SUMPRODUCT(('Failure Management'!$O9:$O1183&gt;=U4)*('Failure Management'!$O9:$O1183&lt;V4)))</f>
        <v>#N/A</v>
      </c>
      <c r="V9" s="79" t="e">
        <f>IF('W_Failure data'!V4&gt;'Failure Management'!$AI$3,NA(),SUMPRODUCT(('Failure Management'!$O9:$O1183&gt;=V4)*('Failure Management'!$O9:$O1183&lt;W4)))</f>
        <v>#N/A</v>
      </c>
      <c r="W9" s="79" t="e">
        <f>IF('W_Failure data'!W4&gt;'Failure Management'!$AI$3,NA(),SUMPRODUCT(('Failure Management'!$O9:$O1183&gt;=W4)*('Failure Management'!$O9:$O1183&lt;X4)))</f>
        <v>#N/A</v>
      </c>
      <c r="X9" s="79" t="e">
        <f>IF('W_Failure data'!X4&gt;'Failure Management'!$AI$3,NA(),SUMPRODUCT(('Failure Management'!$O9:$O1183&gt;=X4)*('Failure Management'!$O9:$O1183&lt;Y4)))</f>
        <v>#N/A</v>
      </c>
      <c r="Y9" s="79" t="e">
        <f>IF('W_Failure data'!Y4&gt;'Failure Management'!$AI$3,NA(),SUMPRODUCT(('Failure Management'!$O9:$O1183&gt;=Y4)*('Failure Management'!$O9:$O1183&lt;Z4)))</f>
        <v>#N/A</v>
      </c>
      <c r="Z9" s="79" t="e">
        <f>IF('W_Failure data'!Z4&gt;'Failure Management'!$AI$3,NA(),SUMPRODUCT(('Failure Management'!$O9:$O1183&gt;=Z4)*('Failure Management'!$O9:$O1183&lt;AA4)))</f>
        <v>#N/A</v>
      </c>
      <c r="AA9" s="79" t="e">
        <f>IF('W_Failure data'!AA4&gt;'Failure Management'!$AI$3,NA(),SUMPRODUCT(('Failure Management'!$O9:$O1183&gt;=AA4)*('Failure Management'!$O9:$O1183&lt;AB4)))</f>
        <v>#N/A</v>
      </c>
      <c r="AB9" s="79" t="e">
        <f>IF('W_Failure data'!AB4&gt;'Failure Management'!$AI$3,NA(),SUMPRODUCT(('Failure Management'!$O9:$O1183&gt;=AB4)*('Failure Management'!$O9:$O1183&lt;AC4)))</f>
        <v>#N/A</v>
      </c>
      <c r="AC9" s="79" t="e">
        <f>IF('W_Failure data'!AC4&gt;'Failure Management'!$AI$3,NA(),SUMPRODUCT(('Failure Management'!$O9:$O1183&gt;=AC4)*('Failure Management'!$O9:$O1183&lt;AD4)))</f>
        <v>#N/A</v>
      </c>
      <c r="AD9" s="79" t="e">
        <f>IF('W_Failure data'!AD4&gt;'Failure Management'!$AI$3,NA(),SUMPRODUCT(('Failure Management'!$O9:$O1183&gt;=AD4)*('Failure Management'!$O9:$O1183&lt;AE4)))</f>
        <v>#N/A</v>
      </c>
      <c r="AE9" s="79" t="e">
        <f>IF('W_Failure data'!AE4&gt;'Failure Management'!$AI$3,NA(),SUMPRODUCT(('Failure Management'!$O9:$O1183&gt;=AE4)*('Failure Management'!$O9:$O1183&lt;AF4)))</f>
        <v>#N/A</v>
      </c>
      <c r="AF9" s="79" t="e">
        <f>IF('W_Failure data'!AF4&gt;'Failure Management'!$AI$3,NA(),SUMPRODUCT(('Failure Management'!$O9:$O1183&gt;=AF4)*('Failure Management'!$O9:$O1183&lt;AG4)))</f>
        <v>#N/A</v>
      </c>
      <c r="AG9" s="79" t="e">
        <f>IF('W_Failure data'!AG4&gt;'Failure Management'!$AI$3,NA(),SUMPRODUCT(('Failure Management'!$O9:$O1183&gt;=AG4)*('Failure Management'!$O9:$O1183&lt;AH4)))</f>
        <v>#N/A</v>
      </c>
      <c r="AH9" s="79" t="e">
        <f>IF('W_Failure data'!AH4&gt;'Failure Management'!$AI$3,NA(),SUMPRODUCT(('Failure Management'!$O9:$O1183&gt;=AH4)*('Failure Management'!$O9:$O1183&lt;AI4)))</f>
        <v>#N/A</v>
      </c>
      <c r="AI9" s="79" t="e">
        <f>IF('W_Failure data'!AI4&gt;'Failure Management'!$AI$3,NA(),SUMPRODUCT(('Failure Management'!$O9:$O1183&gt;=AI4)*('Failure Management'!$O9:$O1183&lt;AJ4)))</f>
        <v>#N/A</v>
      </c>
      <c r="AJ9" s="79" t="e">
        <f>IF('W_Failure data'!AJ4&gt;'Failure Management'!$AI$3,NA(),SUMPRODUCT(('Failure Management'!$O9:$O1183&gt;=AJ4)*('Failure Management'!$O9:$O1183&lt;AK4)))</f>
        <v>#N/A</v>
      </c>
      <c r="AK9" s="79" t="e">
        <f>IF('W_Failure data'!AK4&gt;'Failure Management'!$AI$3,NA(),SUMPRODUCT(('Failure Management'!$O9:$O1183&gt;=AK4)*('Failure Management'!$O9:$O1183&lt;AL4)))</f>
        <v>#N/A</v>
      </c>
      <c r="AL9" s="79" t="e">
        <f>IF('W_Failure data'!AL4&gt;'Failure Management'!$AI$3,NA(),SUMPRODUCT(('Failure Management'!$O9:$O1183&gt;=AL4)*('Failure Management'!$O9:$O1183&lt;AM4)))</f>
        <v>#N/A</v>
      </c>
      <c r="AM9" s="79" t="e">
        <f>IF('W_Failure data'!AM4&gt;'Failure Management'!$AI$3,NA(),SUMPRODUCT(('Failure Management'!$O9:$O1183&gt;=AM4)*('Failure Management'!$O9:$O1183&lt;AN4)))</f>
        <v>#N/A</v>
      </c>
      <c r="AN9" s="79" t="e">
        <f>IF('W_Failure data'!AN4&gt;'Failure Management'!$AI$3,NA(),SUMPRODUCT(('Failure Management'!$O9:$O1183&gt;=AN4)*('Failure Management'!$O9:$O1183&lt;AO4)))</f>
        <v>#N/A</v>
      </c>
      <c r="AO9" s="79" t="e">
        <f>IF('W_Failure data'!AO4&gt;'Failure Management'!$AI$3,NA(),SUMPRODUCT(('Failure Management'!$O9:$O1183&gt;=AO4)*('Failure Management'!$O9:$O1183&lt;AP4)))</f>
        <v>#N/A</v>
      </c>
      <c r="AP9" s="79" t="e">
        <f>IF('W_Failure data'!AP4&gt;'Failure Management'!$AI$3,NA(),SUMPRODUCT(('Failure Management'!$O9:$O1183&gt;=AP4)*('Failure Management'!$O9:$O1183&lt;AQ4)))</f>
        <v>#N/A</v>
      </c>
      <c r="AQ9" s="79" t="e">
        <f>IF('W_Failure data'!AQ4&gt;'Failure Management'!$AI$3,NA(),SUMPRODUCT(('Failure Management'!$O9:$O1183&gt;=AQ4)*('Failure Management'!$O9:$O1183&lt;AR4)))</f>
        <v>#N/A</v>
      </c>
      <c r="AR9" s="79" t="e">
        <f>IF('W_Failure data'!AR4&gt;'Failure Management'!$AI$3,NA(),SUMPRODUCT(('Failure Management'!$O9:$O1183&gt;=AR4)*('Failure Management'!$O9:$O1183&lt;AS4)))</f>
        <v>#N/A</v>
      </c>
      <c r="AS9" s="79" t="e">
        <f>IF('W_Failure data'!AS4&gt;'Failure Management'!$AI$3,NA(),SUMPRODUCT(('Failure Management'!$O9:$O1183&gt;=AS4)*('Failure Management'!$O9:$O1183&lt;AT4)))</f>
        <v>#N/A</v>
      </c>
      <c r="AT9" s="79" t="e">
        <f>IF('W_Failure data'!AT4&gt;'Failure Management'!$AI$3,NA(),SUMPRODUCT(('Failure Management'!$O9:$O1183&gt;=AT4)*('Failure Management'!$O9:$O1183&lt;AU4)))</f>
        <v>#N/A</v>
      </c>
      <c r="AU9" s="79" t="e">
        <f>IF('W_Failure data'!AU4&gt;'Failure Management'!$AI$3,NA(),SUMPRODUCT(('Failure Management'!$O9:$O1183&gt;=AU4)*('Failure Management'!$O9:$O1183&lt;AV4)))</f>
        <v>#N/A</v>
      </c>
      <c r="AV9" s="79" t="e">
        <f>IF('W_Failure data'!AV4&gt;'Failure Management'!$AI$3,NA(),SUMPRODUCT(('Failure Management'!$O9:$O1183&gt;=AV4)*('Failure Management'!$O9:$O1183&lt;AW4)))</f>
        <v>#N/A</v>
      </c>
      <c r="AW9" s="79" t="e">
        <f>IF('W_Failure data'!AW4&gt;'Failure Management'!$AI$3,NA(),SUMPRODUCT(('Failure Management'!$O9:$O1183&gt;=AW4)*('Failure Management'!$O9:$O1183&lt;AX4)))</f>
        <v>#N/A</v>
      </c>
      <c r="AX9" s="79" t="e">
        <f>IF('W_Failure data'!AX4&gt;'Failure Management'!$AI$3,NA(),SUMPRODUCT(('Failure Management'!$O9:$O1183&gt;=AX4)*('Failure Management'!$O9:$O1183&lt;AY4)))</f>
        <v>#N/A</v>
      </c>
      <c r="AY9" s="79" t="e">
        <f>IF('W_Failure data'!AY4&gt;'Failure Management'!$AI$3,NA(),SUMPRODUCT(('Failure Management'!$O9:$O1183&gt;=AY4)*('Failure Management'!$O9:$O1183&lt;AZ4)))</f>
        <v>#N/A</v>
      </c>
      <c r="AZ9" s="79" t="e">
        <f>IF('W_Failure data'!AZ4&gt;'Failure Management'!$AI$3,NA(),SUMPRODUCT(('Failure Management'!$O9:$O1183&gt;=AZ4)*('Failure Management'!$O9:$O1183&lt;BA4)))</f>
        <v>#N/A</v>
      </c>
      <c r="BA9" s="79" t="e">
        <f>IF('W_Failure data'!BA4&gt;'Failure Management'!$AI$3,NA(),SUMPRODUCT(('Failure Management'!$O9:$O1183&gt;=BA4)*('Failure Management'!$O9:$O1183&lt;BB4)))</f>
        <v>#N/A</v>
      </c>
    </row>
    <row r="10" spans="2:53" ht="13.5">
      <c r="B10" s="246" t="s">
        <v>413</v>
      </c>
      <c r="C10" s="244" t="s">
        <v>147</v>
      </c>
      <c r="D10" s="79">
        <f>D9</f>
        <v>0</v>
      </c>
      <c r="E10" s="79">
        <f t="shared" ref="E10:X10" si="5">D10+E9</f>
        <v>0</v>
      </c>
      <c r="F10" s="79">
        <f t="shared" si="5"/>
        <v>0</v>
      </c>
      <c r="G10" s="79">
        <f t="shared" si="5"/>
        <v>0</v>
      </c>
      <c r="H10" s="79">
        <f t="shared" si="5"/>
        <v>0</v>
      </c>
      <c r="I10" s="79" t="e">
        <f t="shared" si="5"/>
        <v>#N/A</v>
      </c>
      <c r="J10" s="79" t="e">
        <f t="shared" si="5"/>
        <v>#N/A</v>
      </c>
      <c r="K10" s="79" t="e">
        <f t="shared" si="5"/>
        <v>#N/A</v>
      </c>
      <c r="L10" s="79" t="e">
        <f t="shared" si="5"/>
        <v>#N/A</v>
      </c>
      <c r="M10" s="79" t="e">
        <f t="shared" si="5"/>
        <v>#N/A</v>
      </c>
      <c r="N10" s="79" t="e">
        <f t="shared" si="5"/>
        <v>#N/A</v>
      </c>
      <c r="O10" s="79" t="e">
        <f t="shared" si="5"/>
        <v>#N/A</v>
      </c>
      <c r="P10" s="79" t="e">
        <f t="shared" si="5"/>
        <v>#N/A</v>
      </c>
      <c r="Q10" s="79" t="e">
        <f t="shared" si="5"/>
        <v>#N/A</v>
      </c>
      <c r="R10" s="79" t="e">
        <f t="shared" si="5"/>
        <v>#N/A</v>
      </c>
      <c r="S10" s="79" t="e">
        <f t="shared" si="5"/>
        <v>#N/A</v>
      </c>
      <c r="T10" s="79" t="e">
        <f t="shared" si="5"/>
        <v>#N/A</v>
      </c>
      <c r="U10" s="79" t="e">
        <f t="shared" si="5"/>
        <v>#N/A</v>
      </c>
      <c r="V10" s="79" t="e">
        <f t="shared" si="5"/>
        <v>#N/A</v>
      </c>
      <c r="W10" s="79" t="e">
        <f t="shared" si="5"/>
        <v>#N/A</v>
      </c>
      <c r="X10" s="79" t="e">
        <f t="shared" si="5"/>
        <v>#N/A</v>
      </c>
      <c r="Y10" s="79" t="e">
        <f>N10+Y9</f>
        <v>#N/A</v>
      </c>
      <c r="Z10" s="79" t="e">
        <f t="shared" ref="Z10:AI10" si="6">O10+Z9</f>
        <v>#N/A</v>
      </c>
      <c r="AA10" s="79" t="e">
        <f t="shared" si="6"/>
        <v>#N/A</v>
      </c>
      <c r="AB10" s="79" t="e">
        <f t="shared" si="6"/>
        <v>#N/A</v>
      </c>
      <c r="AC10" s="79" t="e">
        <f t="shared" si="6"/>
        <v>#N/A</v>
      </c>
      <c r="AD10" s="79" t="e">
        <f t="shared" si="6"/>
        <v>#N/A</v>
      </c>
      <c r="AE10" s="79" t="e">
        <f t="shared" si="6"/>
        <v>#N/A</v>
      </c>
      <c r="AF10" s="79" t="e">
        <f t="shared" si="6"/>
        <v>#N/A</v>
      </c>
      <c r="AG10" s="79" t="e">
        <f t="shared" si="6"/>
        <v>#N/A</v>
      </c>
      <c r="AH10" s="79" t="e">
        <f t="shared" si="6"/>
        <v>#N/A</v>
      </c>
      <c r="AI10" s="79" t="e">
        <f t="shared" si="6"/>
        <v>#N/A</v>
      </c>
      <c r="AJ10" s="79" t="e">
        <f>Y10+AJ9</f>
        <v>#N/A</v>
      </c>
      <c r="AK10" s="79" t="e">
        <f t="shared" ref="AK10:BA10" si="7">AJ10+AK9</f>
        <v>#N/A</v>
      </c>
      <c r="AL10" s="79" t="e">
        <f t="shared" si="7"/>
        <v>#N/A</v>
      </c>
      <c r="AM10" s="79" t="e">
        <f t="shared" si="7"/>
        <v>#N/A</v>
      </c>
      <c r="AN10" s="79" t="e">
        <f t="shared" si="7"/>
        <v>#N/A</v>
      </c>
      <c r="AO10" s="79" t="e">
        <f t="shared" si="7"/>
        <v>#N/A</v>
      </c>
      <c r="AP10" s="79" t="e">
        <f t="shared" si="7"/>
        <v>#N/A</v>
      </c>
      <c r="AQ10" s="79" t="e">
        <f t="shared" si="7"/>
        <v>#N/A</v>
      </c>
      <c r="AR10" s="79" t="e">
        <f t="shared" si="7"/>
        <v>#N/A</v>
      </c>
      <c r="AS10" s="79" t="e">
        <f t="shared" si="7"/>
        <v>#N/A</v>
      </c>
      <c r="AT10" s="79" t="e">
        <f t="shared" si="7"/>
        <v>#N/A</v>
      </c>
      <c r="AU10" s="79" t="e">
        <f t="shared" si="7"/>
        <v>#N/A</v>
      </c>
      <c r="AV10" s="79" t="e">
        <f t="shared" si="7"/>
        <v>#N/A</v>
      </c>
      <c r="AW10" s="79" t="e">
        <f t="shared" si="7"/>
        <v>#N/A</v>
      </c>
      <c r="AX10" s="79" t="e">
        <f t="shared" si="7"/>
        <v>#N/A</v>
      </c>
      <c r="AY10" s="79" t="e">
        <f t="shared" si="7"/>
        <v>#N/A</v>
      </c>
      <c r="AZ10" s="79" t="e">
        <f t="shared" si="7"/>
        <v>#N/A</v>
      </c>
      <c r="BA10" s="79" t="e">
        <f t="shared" si="7"/>
        <v>#N/A</v>
      </c>
    </row>
    <row r="11" spans="2:53" ht="13.5">
      <c r="B11" s="246"/>
      <c r="C11" s="244" t="s">
        <v>148</v>
      </c>
      <c r="D11" s="79">
        <f t="shared" ref="D11:AI11" si="8">D6-D10</f>
        <v>0</v>
      </c>
      <c r="E11" s="79">
        <f t="shared" si="8"/>
        <v>0</v>
      </c>
      <c r="F11" s="79">
        <f t="shared" si="8"/>
        <v>0</v>
      </c>
      <c r="G11" s="79">
        <f t="shared" si="8"/>
        <v>0</v>
      </c>
      <c r="H11" s="79">
        <f t="shared" si="8"/>
        <v>0</v>
      </c>
      <c r="I11" s="79" t="e">
        <f t="shared" si="8"/>
        <v>#N/A</v>
      </c>
      <c r="J11" s="79" t="e">
        <f t="shared" si="8"/>
        <v>#N/A</v>
      </c>
      <c r="K11" s="79" t="e">
        <f t="shared" si="8"/>
        <v>#N/A</v>
      </c>
      <c r="L11" s="79" t="e">
        <f t="shared" si="8"/>
        <v>#N/A</v>
      </c>
      <c r="M11" s="79" t="e">
        <f t="shared" si="8"/>
        <v>#N/A</v>
      </c>
      <c r="N11" s="79" t="e">
        <f t="shared" si="8"/>
        <v>#N/A</v>
      </c>
      <c r="O11" s="79" t="e">
        <f t="shared" si="8"/>
        <v>#N/A</v>
      </c>
      <c r="P11" s="79" t="e">
        <f t="shared" si="8"/>
        <v>#N/A</v>
      </c>
      <c r="Q11" s="79" t="e">
        <f t="shared" si="8"/>
        <v>#N/A</v>
      </c>
      <c r="R11" s="79" t="e">
        <f t="shared" si="8"/>
        <v>#N/A</v>
      </c>
      <c r="S11" s="79" t="e">
        <f t="shared" si="8"/>
        <v>#N/A</v>
      </c>
      <c r="T11" s="79" t="e">
        <f t="shared" si="8"/>
        <v>#N/A</v>
      </c>
      <c r="U11" s="79" t="e">
        <f t="shared" si="8"/>
        <v>#N/A</v>
      </c>
      <c r="V11" s="79" t="e">
        <f t="shared" si="8"/>
        <v>#N/A</v>
      </c>
      <c r="W11" s="79" t="e">
        <f t="shared" si="8"/>
        <v>#N/A</v>
      </c>
      <c r="X11" s="79" t="e">
        <f t="shared" si="8"/>
        <v>#N/A</v>
      </c>
      <c r="Y11" s="79" t="e">
        <f t="shared" si="8"/>
        <v>#N/A</v>
      </c>
      <c r="Z11" s="79" t="e">
        <f t="shared" si="8"/>
        <v>#N/A</v>
      </c>
      <c r="AA11" s="79" t="e">
        <f t="shared" si="8"/>
        <v>#N/A</v>
      </c>
      <c r="AB11" s="79" t="e">
        <f t="shared" si="8"/>
        <v>#N/A</v>
      </c>
      <c r="AC11" s="79" t="e">
        <f t="shared" si="8"/>
        <v>#N/A</v>
      </c>
      <c r="AD11" s="79" t="e">
        <f t="shared" si="8"/>
        <v>#N/A</v>
      </c>
      <c r="AE11" s="79" t="e">
        <f t="shared" si="8"/>
        <v>#N/A</v>
      </c>
      <c r="AF11" s="79" t="e">
        <f t="shared" si="8"/>
        <v>#N/A</v>
      </c>
      <c r="AG11" s="79" t="e">
        <f t="shared" si="8"/>
        <v>#N/A</v>
      </c>
      <c r="AH11" s="79" t="e">
        <f t="shared" si="8"/>
        <v>#N/A</v>
      </c>
      <c r="AI11" s="79" t="e">
        <f t="shared" si="8"/>
        <v>#N/A</v>
      </c>
      <c r="AJ11" s="79" t="e">
        <f t="shared" ref="AJ11:BA11" si="9">AJ6-AJ10</f>
        <v>#N/A</v>
      </c>
      <c r="AK11" s="79" t="e">
        <f t="shared" si="9"/>
        <v>#N/A</v>
      </c>
      <c r="AL11" s="79" t="e">
        <f t="shared" si="9"/>
        <v>#N/A</v>
      </c>
      <c r="AM11" s="79" t="e">
        <f t="shared" si="9"/>
        <v>#N/A</v>
      </c>
      <c r="AN11" s="79" t="e">
        <f t="shared" si="9"/>
        <v>#N/A</v>
      </c>
      <c r="AO11" s="79" t="e">
        <f t="shared" si="9"/>
        <v>#N/A</v>
      </c>
      <c r="AP11" s="79" t="e">
        <f t="shared" si="9"/>
        <v>#N/A</v>
      </c>
      <c r="AQ11" s="79" t="e">
        <f t="shared" si="9"/>
        <v>#N/A</v>
      </c>
      <c r="AR11" s="79" t="e">
        <f t="shared" si="9"/>
        <v>#N/A</v>
      </c>
      <c r="AS11" s="79" t="e">
        <f t="shared" si="9"/>
        <v>#N/A</v>
      </c>
      <c r="AT11" s="79" t="e">
        <f t="shared" si="9"/>
        <v>#N/A</v>
      </c>
      <c r="AU11" s="79" t="e">
        <f t="shared" si="9"/>
        <v>#N/A</v>
      </c>
      <c r="AV11" s="79" t="e">
        <f t="shared" si="9"/>
        <v>#N/A</v>
      </c>
      <c r="AW11" s="79" t="e">
        <f t="shared" si="9"/>
        <v>#N/A</v>
      </c>
      <c r="AX11" s="79" t="e">
        <f t="shared" si="9"/>
        <v>#N/A</v>
      </c>
      <c r="AY11" s="79" t="e">
        <f t="shared" si="9"/>
        <v>#N/A</v>
      </c>
      <c r="AZ11" s="79" t="e">
        <f t="shared" si="9"/>
        <v>#N/A</v>
      </c>
      <c r="BA11" s="79" t="e">
        <f t="shared" si="9"/>
        <v>#N/A</v>
      </c>
    </row>
    <row r="12" spans="2:53" ht="13.5">
      <c r="B12" s="246" t="s">
        <v>416</v>
      </c>
      <c r="C12" s="244" t="s">
        <v>310</v>
      </c>
      <c r="D12" s="81">
        <f>Master!$E$28*Master!$F$32</f>
        <v>0</v>
      </c>
      <c r="E12" s="81">
        <f>Master!$E$28*Master!$F$32</f>
        <v>0</v>
      </c>
      <c r="F12" s="81">
        <f>Master!$E$28*Master!$F$32</f>
        <v>0</v>
      </c>
      <c r="G12" s="81">
        <f>Master!$E$28*Master!$F$32</f>
        <v>0</v>
      </c>
      <c r="H12" s="81">
        <f>Master!$E$28*Master!$F$32</f>
        <v>0</v>
      </c>
      <c r="I12" s="81">
        <f>Master!$E$28*Master!$F$32</f>
        <v>0</v>
      </c>
      <c r="J12" s="81">
        <f>Master!$E$28*Master!$F$32</f>
        <v>0</v>
      </c>
      <c r="K12" s="81">
        <f>Master!$E$28*Master!$F$32</f>
        <v>0</v>
      </c>
      <c r="L12" s="81">
        <f>Master!$E$28*Master!$F$32</f>
        <v>0</v>
      </c>
      <c r="M12" s="81">
        <f>Master!$E$28*Master!$F$32</f>
        <v>0</v>
      </c>
      <c r="N12" s="81">
        <f>Master!$E$28*Master!$F$32</f>
        <v>0</v>
      </c>
      <c r="O12" s="81">
        <f>Master!$E$28*Master!$F$32</f>
        <v>0</v>
      </c>
      <c r="P12" s="81">
        <f>Master!$E$28*Master!$F$32</f>
        <v>0</v>
      </c>
      <c r="Q12" s="81">
        <f>Master!$E$28*Master!$F$32</f>
        <v>0</v>
      </c>
      <c r="R12" s="81">
        <f>Master!$E$28*Master!$F$32</f>
        <v>0</v>
      </c>
      <c r="S12" s="81">
        <f>Master!$E$28*Master!$F$32</f>
        <v>0</v>
      </c>
      <c r="T12" s="81">
        <f>Master!$E$28*Master!$F$32</f>
        <v>0</v>
      </c>
      <c r="U12" s="81">
        <f>Master!$E$28*Master!$F$32</f>
        <v>0</v>
      </c>
      <c r="V12" s="81">
        <f>Master!$E$28*Master!$F$32</f>
        <v>0</v>
      </c>
      <c r="W12" s="81">
        <f>Master!$E$28*Master!$F$32</f>
        <v>0</v>
      </c>
      <c r="X12" s="81">
        <f>Master!$E$28*Master!$F$32</f>
        <v>0</v>
      </c>
      <c r="Y12" s="81">
        <f>Master!$E$28*Master!$F$32</f>
        <v>0</v>
      </c>
      <c r="Z12" s="81">
        <f>Master!$E$28*Master!$F$32</f>
        <v>0</v>
      </c>
      <c r="AA12" s="81">
        <f>Master!$E$28*Master!$F$32</f>
        <v>0</v>
      </c>
      <c r="AB12" s="81">
        <f>Master!$E$28*Master!$F$32</f>
        <v>0</v>
      </c>
      <c r="AC12" s="81">
        <f>Master!$E$28*Master!$F$32</f>
        <v>0</v>
      </c>
      <c r="AD12" s="81">
        <f>Master!$E$28*Master!$F$32</f>
        <v>0</v>
      </c>
      <c r="AE12" s="81">
        <f>Master!$E$28*Master!$F$32</f>
        <v>0</v>
      </c>
      <c r="AF12" s="81">
        <f>Master!$E$28*Master!$F$32</f>
        <v>0</v>
      </c>
      <c r="AG12" s="81">
        <f>Master!$E$28*Master!$F$32</f>
        <v>0</v>
      </c>
      <c r="AH12" s="81">
        <f>Master!$E$28*Master!$F$32</f>
        <v>0</v>
      </c>
      <c r="AI12" s="81">
        <f>Master!$E$28*Master!$F$32</f>
        <v>0</v>
      </c>
      <c r="AJ12" s="81">
        <f>Master!$E$28*Master!$F$32</f>
        <v>0</v>
      </c>
      <c r="AK12" s="81">
        <f>Master!$E$28*Master!$F$32</f>
        <v>0</v>
      </c>
      <c r="AL12" s="81">
        <f>Master!$E$28*Master!$F$32</f>
        <v>0</v>
      </c>
      <c r="AM12" s="81">
        <f>Master!$E$28*Master!$F$32</f>
        <v>0</v>
      </c>
      <c r="AN12" s="81">
        <f>Master!$E$28*Master!$F$32</f>
        <v>0</v>
      </c>
      <c r="AO12" s="81">
        <f>Master!$E$28*Master!$F$32</f>
        <v>0</v>
      </c>
      <c r="AP12" s="81">
        <f>Master!$E$28*Master!$F$32</f>
        <v>0</v>
      </c>
      <c r="AQ12" s="81">
        <f>Master!$E$28*Master!$F$32</f>
        <v>0</v>
      </c>
      <c r="AR12" s="81">
        <f>Master!$E$28*Master!$F$32</f>
        <v>0</v>
      </c>
      <c r="AS12" s="81">
        <f>Master!$E$28*Master!$F$32</f>
        <v>0</v>
      </c>
      <c r="AT12" s="81">
        <f>Master!$E$28*Master!$F$32</f>
        <v>0</v>
      </c>
      <c r="AU12" s="81">
        <f>Master!$E$28*Master!$F$32</f>
        <v>0</v>
      </c>
      <c r="AV12" s="81">
        <f>Master!$E$28*Master!$F$32</f>
        <v>0</v>
      </c>
      <c r="AW12" s="81">
        <f>Master!$E$28*Master!$F$32</f>
        <v>0</v>
      </c>
      <c r="AX12" s="81">
        <f>Master!$E$28*Master!$F$32</f>
        <v>0</v>
      </c>
      <c r="AY12" s="81">
        <f>Master!$E$28*Master!$F$32</f>
        <v>0</v>
      </c>
      <c r="AZ12" s="81">
        <f>Master!$E$28*Master!$F$32</f>
        <v>0</v>
      </c>
      <c r="BA12" s="81">
        <f>Master!$E$28*Master!$F$32</f>
        <v>0</v>
      </c>
    </row>
    <row r="13" spans="2:53" ht="13.5">
      <c r="B13" s="246" t="s">
        <v>417</v>
      </c>
      <c r="C13" s="244" t="s">
        <v>311</v>
      </c>
      <c r="D13" s="81">
        <f>Master!$E$28*Master!$E$32</f>
        <v>0</v>
      </c>
      <c r="E13" s="81">
        <f>Master!$E$28*Master!$E$32</f>
        <v>0</v>
      </c>
      <c r="F13" s="81">
        <f>Master!$E$28*Master!$E$32</f>
        <v>0</v>
      </c>
      <c r="G13" s="81">
        <f>Master!$E$28*Master!$E$32</f>
        <v>0</v>
      </c>
      <c r="H13" s="81">
        <f>Master!$E$28*Master!$E$32</f>
        <v>0</v>
      </c>
      <c r="I13" s="81">
        <f>Master!$E$28*Master!$E$32</f>
        <v>0</v>
      </c>
      <c r="J13" s="81">
        <f>Master!$E$28*Master!$E$32</f>
        <v>0</v>
      </c>
      <c r="K13" s="81">
        <f>Master!$E$28*Master!$E$32</f>
        <v>0</v>
      </c>
      <c r="L13" s="81">
        <f>Master!$E$28*Master!$E$32</f>
        <v>0</v>
      </c>
      <c r="M13" s="81">
        <f>Master!$E$28*Master!$E$32</f>
        <v>0</v>
      </c>
      <c r="N13" s="81">
        <f>Master!$E$28*Master!$E$32</f>
        <v>0</v>
      </c>
      <c r="O13" s="81">
        <f>Master!$E$28*Master!$E$32</f>
        <v>0</v>
      </c>
      <c r="P13" s="81">
        <f>Master!$E$28*Master!$E$32</f>
        <v>0</v>
      </c>
      <c r="Q13" s="81">
        <f>Master!$E$28*Master!$E$32</f>
        <v>0</v>
      </c>
      <c r="R13" s="81">
        <f>Master!$E$28*Master!$E$32</f>
        <v>0</v>
      </c>
      <c r="S13" s="81">
        <f>Master!$E$28*Master!$E$32</f>
        <v>0</v>
      </c>
      <c r="T13" s="81">
        <f>Master!$E$28*Master!$E$32</f>
        <v>0</v>
      </c>
      <c r="U13" s="81">
        <f>Master!$E$28*Master!$E$32</f>
        <v>0</v>
      </c>
      <c r="V13" s="81">
        <f>Master!$E$28*Master!$E$32</f>
        <v>0</v>
      </c>
      <c r="W13" s="81">
        <f>Master!$E$28*Master!$E$32</f>
        <v>0</v>
      </c>
      <c r="X13" s="81">
        <f>Master!$E$28*Master!$E$32</f>
        <v>0</v>
      </c>
      <c r="Y13" s="81">
        <f>Master!$E$28*Master!$E$32</f>
        <v>0</v>
      </c>
      <c r="Z13" s="81">
        <f>Master!$E$28*Master!$E$32</f>
        <v>0</v>
      </c>
      <c r="AA13" s="81">
        <f>Master!$E$28*Master!$E$32</f>
        <v>0</v>
      </c>
      <c r="AB13" s="81">
        <f>Master!$E$28*Master!$E$32</f>
        <v>0</v>
      </c>
      <c r="AC13" s="81">
        <f>Master!$E$28*Master!$E$32</f>
        <v>0</v>
      </c>
      <c r="AD13" s="81">
        <f>Master!$E$28*Master!$E$32</f>
        <v>0</v>
      </c>
      <c r="AE13" s="81">
        <f>Master!$E$28*Master!$E$32</f>
        <v>0</v>
      </c>
      <c r="AF13" s="81">
        <f>Master!$E$28*Master!$E$32</f>
        <v>0</v>
      </c>
      <c r="AG13" s="81">
        <f>Master!$E$28*Master!$E$32</f>
        <v>0</v>
      </c>
      <c r="AH13" s="81">
        <f>Master!$E$28*Master!$E$32</f>
        <v>0</v>
      </c>
      <c r="AI13" s="81">
        <f>Master!$E$28*Master!$E$32</f>
        <v>0</v>
      </c>
      <c r="AJ13" s="81">
        <f>Master!$E$28*Master!$E$32</f>
        <v>0</v>
      </c>
      <c r="AK13" s="81">
        <f>Master!$E$28*Master!$E$32</f>
        <v>0</v>
      </c>
      <c r="AL13" s="81">
        <f>Master!$E$28*Master!$E$32</f>
        <v>0</v>
      </c>
      <c r="AM13" s="81">
        <f>Master!$E$28*Master!$E$32</f>
        <v>0</v>
      </c>
      <c r="AN13" s="81">
        <f>Master!$E$28*Master!$E$32</f>
        <v>0</v>
      </c>
      <c r="AO13" s="81">
        <f>Master!$E$28*Master!$E$32</f>
        <v>0</v>
      </c>
      <c r="AP13" s="81">
        <f>Master!$E$28*Master!$E$32</f>
        <v>0</v>
      </c>
      <c r="AQ13" s="81">
        <f>Master!$E$28*Master!$E$32</f>
        <v>0</v>
      </c>
      <c r="AR13" s="81">
        <f>Master!$E$28*Master!$E$32</f>
        <v>0</v>
      </c>
      <c r="AS13" s="81">
        <f>Master!$E$28*Master!$E$32</f>
        <v>0</v>
      </c>
      <c r="AT13" s="81">
        <f>Master!$E$28*Master!$E$32</f>
        <v>0</v>
      </c>
      <c r="AU13" s="81">
        <f>Master!$E$28*Master!$E$32</f>
        <v>0</v>
      </c>
      <c r="AV13" s="81">
        <f>Master!$E$28*Master!$E$32</f>
        <v>0</v>
      </c>
      <c r="AW13" s="81">
        <f>Master!$E$28*Master!$E$32</f>
        <v>0</v>
      </c>
      <c r="AX13" s="81">
        <f>Master!$E$28*Master!$E$32</f>
        <v>0</v>
      </c>
      <c r="AY13" s="81">
        <f>Master!$E$28*Master!$E$32</f>
        <v>0</v>
      </c>
      <c r="AZ13" s="81">
        <f>Master!$E$28*Master!$E$32</f>
        <v>0</v>
      </c>
      <c r="BA13" s="81">
        <f>Master!$E$28*Master!$E$32</f>
        <v>0</v>
      </c>
    </row>
    <row r="14" spans="2:53" s="73" customFormat="1" ht="13.5">
      <c r="B14" s="246"/>
    </row>
    <row r="15" spans="2:53" s="73" customFormat="1" ht="13.5">
      <c r="B15" s="246"/>
      <c r="C15" s="73" t="s">
        <v>267</v>
      </c>
    </row>
    <row r="16" spans="2:53" s="73" customFormat="1" ht="13.5">
      <c r="B16" s="246"/>
      <c r="C16" s="144" t="s">
        <v>268</v>
      </c>
    </row>
    <row r="17" spans="2:53" s="73" customFormat="1" ht="13.5">
      <c r="B17" s="246"/>
      <c r="C17" s="144" t="s">
        <v>269</v>
      </c>
    </row>
    <row r="18" spans="2:53" s="73" customFormat="1" ht="13.5">
      <c r="B18" s="246"/>
      <c r="C18" s="144" t="s">
        <v>270</v>
      </c>
    </row>
    <row r="19" spans="2:53" s="73" customFormat="1" ht="13.5">
      <c r="B19" s="246"/>
      <c r="C19" s="144" t="s">
        <v>271</v>
      </c>
    </row>
    <row r="20" spans="2:53" s="73" customFormat="1" ht="13.5">
      <c r="B20" s="246"/>
      <c r="C20" s="144" t="s">
        <v>272</v>
      </c>
    </row>
    <row r="21" spans="2:53" s="73" customFormat="1" ht="13.5">
      <c r="B21" s="246"/>
      <c r="C21" s="144"/>
    </row>
    <row r="22" spans="2:53" s="73" customFormat="1" ht="13.5">
      <c r="B22" s="246"/>
      <c r="C22" s="144" t="s">
        <v>273</v>
      </c>
      <c r="F22" s="73" t="str">
        <f>IF(ISNA(F6),"",IF(F6&lt;=0,"",LN(F6)))</f>
        <v/>
      </c>
      <c r="G22" s="73" t="str">
        <f t="shared" ref="G22:K22" si="10">IF(ISNA(G6),"",IF(G6&lt;=0,"",LN(G6)))</f>
        <v/>
      </c>
      <c r="H22" s="73" t="str">
        <f t="shared" si="10"/>
        <v/>
      </c>
      <c r="I22" s="73" t="str">
        <f t="shared" si="10"/>
        <v/>
      </c>
      <c r="J22" s="73" t="str">
        <f t="shared" si="10"/>
        <v/>
      </c>
      <c r="K22" s="73" t="str">
        <f t="shared" si="10"/>
        <v/>
      </c>
      <c r="L22" s="73" t="str">
        <f>IF(ISNA(L6),"",IF(L6&lt;=0,"",LN(L6)))</f>
        <v/>
      </c>
      <c r="M22" s="73" t="str">
        <f t="shared" ref="M22:BA22" si="11">IF(ISNA(M6),"",IF(M6&lt;=0,"",LN(M6)))</f>
        <v/>
      </c>
      <c r="N22" s="73" t="str">
        <f t="shared" si="11"/>
        <v/>
      </c>
      <c r="O22" s="73" t="str">
        <f t="shared" si="11"/>
        <v/>
      </c>
      <c r="P22" s="73" t="str">
        <f t="shared" si="11"/>
        <v/>
      </c>
      <c r="Q22" s="73" t="str">
        <f t="shared" si="11"/>
        <v/>
      </c>
      <c r="R22" s="73" t="str">
        <f t="shared" si="11"/>
        <v/>
      </c>
      <c r="S22" s="73" t="str">
        <f t="shared" si="11"/>
        <v/>
      </c>
      <c r="T22" s="73" t="str">
        <f t="shared" si="11"/>
        <v/>
      </c>
      <c r="U22" s="73" t="str">
        <f t="shared" si="11"/>
        <v/>
      </c>
      <c r="V22" s="73" t="str">
        <f t="shared" si="11"/>
        <v/>
      </c>
      <c r="W22" s="73" t="str">
        <f t="shared" si="11"/>
        <v/>
      </c>
      <c r="X22" s="73" t="str">
        <f t="shared" si="11"/>
        <v/>
      </c>
      <c r="Y22" s="73" t="str">
        <f t="shared" si="11"/>
        <v/>
      </c>
      <c r="Z22" s="73" t="str">
        <f t="shared" si="11"/>
        <v/>
      </c>
      <c r="AA22" s="73" t="str">
        <f t="shared" si="11"/>
        <v/>
      </c>
      <c r="AB22" s="73" t="str">
        <f t="shared" si="11"/>
        <v/>
      </c>
      <c r="AC22" s="73" t="str">
        <f t="shared" si="11"/>
        <v/>
      </c>
      <c r="AD22" s="73" t="str">
        <f t="shared" si="11"/>
        <v/>
      </c>
      <c r="AE22" s="73" t="str">
        <f t="shared" si="11"/>
        <v/>
      </c>
      <c r="AF22" s="73" t="str">
        <f t="shared" si="11"/>
        <v/>
      </c>
      <c r="AG22" s="73" t="str">
        <f t="shared" si="11"/>
        <v/>
      </c>
      <c r="AH22" s="73" t="str">
        <f t="shared" si="11"/>
        <v/>
      </c>
      <c r="AI22" s="73" t="str">
        <f t="shared" si="11"/>
        <v/>
      </c>
      <c r="AJ22" s="73" t="str">
        <f t="shared" si="11"/>
        <v/>
      </c>
      <c r="AK22" s="73" t="str">
        <f t="shared" si="11"/>
        <v/>
      </c>
      <c r="AL22" s="73" t="str">
        <f t="shared" si="11"/>
        <v/>
      </c>
      <c r="AM22" s="73" t="str">
        <f t="shared" si="11"/>
        <v/>
      </c>
      <c r="AN22" s="73" t="str">
        <f t="shared" si="11"/>
        <v/>
      </c>
      <c r="AO22" s="73" t="str">
        <f t="shared" si="11"/>
        <v/>
      </c>
      <c r="AP22" s="73" t="str">
        <f t="shared" si="11"/>
        <v/>
      </c>
      <c r="AQ22" s="73" t="str">
        <f t="shared" si="11"/>
        <v/>
      </c>
      <c r="AR22" s="73" t="str">
        <f t="shared" si="11"/>
        <v/>
      </c>
      <c r="AS22" s="73" t="str">
        <f t="shared" si="11"/>
        <v/>
      </c>
      <c r="AT22" s="73" t="str">
        <f t="shared" si="11"/>
        <v/>
      </c>
      <c r="AU22" s="73" t="str">
        <f t="shared" si="11"/>
        <v/>
      </c>
      <c r="AV22" s="73" t="str">
        <f t="shared" si="11"/>
        <v/>
      </c>
      <c r="AW22" s="73" t="str">
        <f t="shared" si="11"/>
        <v/>
      </c>
      <c r="AX22" s="73" t="str">
        <f t="shared" si="11"/>
        <v/>
      </c>
      <c r="AY22" s="73" t="str">
        <f t="shared" si="11"/>
        <v/>
      </c>
      <c r="AZ22" s="73" t="str">
        <f t="shared" si="11"/>
        <v/>
      </c>
      <c r="BA22" s="73" t="str">
        <f t="shared" si="11"/>
        <v/>
      </c>
    </row>
    <row r="23" spans="2:53" s="73" customFormat="1" ht="13.5">
      <c r="B23" s="246"/>
      <c r="C23" s="144" t="s">
        <v>274</v>
      </c>
      <c r="F23" s="73" t="str">
        <f>IF(ISNA(F6),"",IF(F6&lt;=0,"",EXP(-1*$D$32*F3)))</f>
        <v/>
      </c>
      <c r="G23" s="73" t="str">
        <f t="shared" ref="G23:BA23" si="12">IF(ISNA(G6),"",IF(G6&lt;=0,"",EXP(-1*$D$32*G3)))</f>
        <v/>
      </c>
      <c r="H23" s="73" t="str">
        <f t="shared" si="12"/>
        <v/>
      </c>
      <c r="I23" s="73" t="str">
        <f t="shared" si="12"/>
        <v/>
      </c>
      <c r="J23" s="73" t="str">
        <f t="shared" si="12"/>
        <v/>
      </c>
      <c r="K23" s="73" t="str">
        <f t="shared" si="12"/>
        <v/>
      </c>
      <c r="L23" s="73" t="str">
        <f t="shared" si="12"/>
        <v/>
      </c>
      <c r="M23" s="73" t="str">
        <f t="shared" si="12"/>
        <v/>
      </c>
      <c r="N23" s="73" t="str">
        <f t="shared" si="12"/>
        <v/>
      </c>
      <c r="O23" s="73" t="str">
        <f t="shared" si="12"/>
        <v/>
      </c>
      <c r="P23" s="73" t="str">
        <f t="shared" si="12"/>
        <v/>
      </c>
      <c r="Q23" s="73" t="str">
        <f t="shared" si="12"/>
        <v/>
      </c>
      <c r="R23" s="73" t="str">
        <f t="shared" si="12"/>
        <v/>
      </c>
      <c r="S23" s="73" t="str">
        <f t="shared" si="12"/>
        <v/>
      </c>
      <c r="T23" s="73" t="str">
        <f t="shared" si="12"/>
        <v/>
      </c>
      <c r="U23" s="73" t="str">
        <f t="shared" si="12"/>
        <v/>
      </c>
      <c r="V23" s="73" t="str">
        <f t="shared" si="12"/>
        <v/>
      </c>
      <c r="W23" s="73" t="str">
        <f t="shared" si="12"/>
        <v/>
      </c>
      <c r="X23" s="73" t="str">
        <f t="shared" si="12"/>
        <v/>
      </c>
      <c r="Y23" s="73" t="str">
        <f t="shared" si="12"/>
        <v/>
      </c>
      <c r="Z23" s="73" t="str">
        <f t="shared" si="12"/>
        <v/>
      </c>
      <c r="AA23" s="73" t="str">
        <f t="shared" si="12"/>
        <v/>
      </c>
      <c r="AB23" s="73" t="str">
        <f t="shared" si="12"/>
        <v/>
      </c>
      <c r="AC23" s="73" t="str">
        <f t="shared" si="12"/>
        <v/>
      </c>
      <c r="AD23" s="73" t="str">
        <f t="shared" si="12"/>
        <v/>
      </c>
      <c r="AE23" s="73" t="str">
        <f t="shared" si="12"/>
        <v/>
      </c>
      <c r="AF23" s="73" t="str">
        <f t="shared" si="12"/>
        <v/>
      </c>
      <c r="AG23" s="73" t="str">
        <f t="shared" si="12"/>
        <v/>
      </c>
      <c r="AH23" s="73" t="str">
        <f t="shared" si="12"/>
        <v/>
      </c>
      <c r="AI23" s="73" t="str">
        <f t="shared" si="12"/>
        <v/>
      </c>
      <c r="AJ23" s="73" t="str">
        <f t="shared" si="12"/>
        <v/>
      </c>
      <c r="AK23" s="73" t="str">
        <f t="shared" si="12"/>
        <v/>
      </c>
      <c r="AL23" s="73" t="str">
        <f t="shared" si="12"/>
        <v/>
      </c>
      <c r="AM23" s="73" t="str">
        <f t="shared" si="12"/>
        <v/>
      </c>
      <c r="AN23" s="73" t="str">
        <f t="shared" si="12"/>
        <v/>
      </c>
      <c r="AO23" s="73" t="str">
        <f t="shared" si="12"/>
        <v/>
      </c>
      <c r="AP23" s="73" t="str">
        <f t="shared" si="12"/>
        <v/>
      </c>
      <c r="AQ23" s="73" t="str">
        <f t="shared" si="12"/>
        <v/>
      </c>
      <c r="AR23" s="73" t="str">
        <f t="shared" si="12"/>
        <v/>
      </c>
      <c r="AS23" s="73" t="str">
        <f t="shared" si="12"/>
        <v/>
      </c>
      <c r="AT23" s="73" t="str">
        <f t="shared" si="12"/>
        <v/>
      </c>
      <c r="AU23" s="73" t="str">
        <f t="shared" si="12"/>
        <v/>
      </c>
      <c r="AV23" s="73" t="str">
        <f t="shared" si="12"/>
        <v/>
      </c>
      <c r="AW23" s="73" t="str">
        <f t="shared" si="12"/>
        <v/>
      </c>
      <c r="AX23" s="73" t="str">
        <f t="shared" si="12"/>
        <v/>
      </c>
      <c r="AY23" s="73" t="str">
        <f t="shared" si="12"/>
        <v/>
      </c>
      <c r="AZ23" s="73" t="str">
        <f t="shared" si="12"/>
        <v/>
      </c>
      <c r="BA23" s="73" t="str">
        <f t="shared" si="12"/>
        <v/>
      </c>
    </row>
    <row r="24" spans="2:53" s="73" customFormat="1" ht="13.5">
      <c r="B24" s="246"/>
      <c r="C24" s="144" t="s">
        <v>275</v>
      </c>
      <c r="D24" s="73" t="e">
        <f>SLOPE(D22:BA22,D23:BA23)</f>
        <v>#DIV/0!</v>
      </c>
    </row>
    <row r="25" spans="2:53" s="73" customFormat="1" ht="13.5">
      <c r="B25" s="246"/>
      <c r="C25" s="144" t="s">
        <v>276</v>
      </c>
      <c r="D25" s="73" t="e">
        <f>INTERCEPT(D22:BA22,D23:BA23)</f>
        <v>#DIV/0!</v>
      </c>
    </row>
    <row r="26" spans="2:53" s="73" customFormat="1" ht="13.5">
      <c r="B26" s="246"/>
      <c r="C26" s="144"/>
    </row>
    <row r="27" spans="2:53" s="73" customFormat="1" ht="13.5">
      <c r="B27" s="246"/>
      <c r="C27" s="144" t="s">
        <v>277</v>
      </c>
      <c r="D27" s="73" t="e">
        <f>EXP(D24)</f>
        <v>#DIV/0!</v>
      </c>
    </row>
    <row r="28" spans="2:53" s="73" customFormat="1" ht="13.5">
      <c r="B28" s="246"/>
      <c r="C28" s="144" t="s">
        <v>278</v>
      </c>
      <c r="D28" s="73" t="e">
        <f>EXP(D25)</f>
        <v>#DIV/0!</v>
      </c>
    </row>
    <row r="29" spans="2:53" s="73" customFormat="1" ht="13.5">
      <c r="B29" s="246"/>
      <c r="C29" s="144" t="s">
        <v>279</v>
      </c>
      <c r="D29" s="73" t="str">
        <f t="shared" ref="D29:BA29" si="13">IF(ISNA(D6),"",IF(D6&lt;=0,"",(D6-D7)^2))</f>
        <v/>
      </c>
      <c r="E29" s="73" t="str">
        <f t="shared" si="13"/>
        <v/>
      </c>
      <c r="F29" s="73" t="str">
        <f>IF(ISNA(F6),"",IF(F6&lt;=0,"",(F6-F7)^2))</f>
        <v/>
      </c>
      <c r="G29" s="73" t="str">
        <f t="shared" si="13"/>
        <v/>
      </c>
      <c r="H29" s="73" t="str">
        <f t="shared" si="13"/>
        <v/>
      </c>
      <c r="I29" s="73" t="str">
        <f t="shared" si="13"/>
        <v/>
      </c>
      <c r="J29" s="73" t="str">
        <f t="shared" si="13"/>
        <v/>
      </c>
      <c r="K29" s="73" t="str">
        <f t="shared" si="13"/>
        <v/>
      </c>
      <c r="L29" s="73" t="str">
        <f t="shared" si="13"/>
        <v/>
      </c>
      <c r="M29" s="73" t="str">
        <f t="shared" si="13"/>
        <v/>
      </c>
      <c r="N29" s="73" t="str">
        <f t="shared" si="13"/>
        <v/>
      </c>
      <c r="O29" s="73" t="str">
        <f t="shared" si="13"/>
        <v/>
      </c>
      <c r="P29" s="73" t="str">
        <f t="shared" si="13"/>
        <v/>
      </c>
      <c r="Q29" s="73" t="str">
        <f t="shared" si="13"/>
        <v/>
      </c>
      <c r="R29" s="73" t="str">
        <f t="shared" si="13"/>
        <v/>
      </c>
      <c r="S29" s="73" t="str">
        <f t="shared" si="13"/>
        <v/>
      </c>
      <c r="T29" s="73" t="str">
        <f t="shared" si="13"/>
        <v/>
      </c>
      <c r="U29" s="73" t="str">
        <f t="shared" si="13"/>
        <v/>
      </c>
      <c r="V29" s="73" t="str">
        <f t="shared" si="13"/>
        <v/>
      </c>
      <c r="W29" s="73" t="str">
        <f t="shared" si="13"/>
        <v/>
      </c>
      <c r="X29" s="73" t="str">
        <f t="shared" si="13"/>
        <v/>
      </c>
      <c r="Y29" s="73" t="str">
        <f t="shared" si="13"/>
        <v/>
      </c>
      <c r="Z29" s="73" t="str">
        <f t="shared" si="13"/>
        <v/>
      </c>
      <c r="AA29" s="73" t="str">
        <f t="shared" si="13"/>
        <v/>
      </c>
      <c r="AB29" s="73" t="str">
        <f t="shared" si="13"/>
        <v/>
      </c>
      <c r="AC29" s="73" t="str">
        <f t="shared" si="13"/>
        <v/>
      </c>
      <c r="AD29" s="73" t="str">
        <f t="shared" si="13"/>
        <v/>
      </c>
      <c r="AE29" s="73" t="str">
        <f t="shared" si="13"/>
        <v/>
      </c>
      <c r="AF29" s="73" t="str">
        <f t="shared" si="13"/>
        <v/>
      </c>
      <c r="AG29" s="73" t="str">
        <f t="shared" si="13"/>
        <v/>
      </c>
      <c r="AH29" s="73" t="str">
        <f t="shared" si="13"/>
        <v/>
      </c>
      <c r="AI29" s="73" t="str">
        <f t="shared" si="13"/>
        <v/>
      </c>
      <c r="AJ29" s="73" t="str">
        <f t="shared" si="13"/>
        <v/>
      </c>
      <c r="AK29" s="73" t="str">
        <f t="shared" si="13"/>
        <v/>
      </c>
      <c r="AL29" s="73" t="str">
        <f t="shared" si="13"/>
        <v/>
      </c>
      <c r="AM29" s="73" t="str">
        <f t="shared" si="13"/>
        <v/>
      </c>
      <c r="AN29" s="73" t="str">
        <f t="shared" si="13"/>
        <v/>
      </c>
      <c r="AO29" s="73" t="str">
        <f t="shared" si="13"/>
        <v/>
      </c>
      <c r="AP29" s="73" t="str">
        <f t="shared" si="13"/>
        <v/>
      </c>
      <c r="AQ29" s="73" t="str">
        <f t="shared" si="13"/>
        <v/>
      </c>
      <c r="AR29" s="73" t="str">
        <f t="shared" si="13"/>
        <v/>
      </c>
      <c r="AS29" s="73" t="str">
        <f t="shared" si="13"/>
        <v/>
      </c>
      <c r="AT29" s="73" t="str">
        <f t="shared" si="13"/>
        <v/>
      </c>
      <c r="AU29" s="73" t="str">
        <f t="shared" si="13"/>
        <v/>
      </c>
      <c r="AV29" s="73" t="str">
        <f t="shared" si="13"/>
        <v/>
      </c>
      <c r="AW29" s="73" t="str">
        <f t="shared" si="13"/>
        <v/>
      </c>
      <c r="AX29" s="73" t="str">
        <f t="shared" si="13"/>
        <v/>
      </c>
      <c r="AY29" s="73" t="str">
        <f t="shared" si="13"/>
        <v/>
      </c>
      <c r="AZ29" s="73" t="str">
        <f t="shared" si="13"/>
        <v/>
      </c>
      <c r="BA29" s="73" t="str">
        <f t="shared" si="13"/>
        <v/>
      </c>
    </row>
    <row r="30" spans="2:53" s="73" customFormat="1" ht="13.5">
      <c r="B30" s="246"/>
      <c r="C30" s="144"/>
      <c r="D30" s="73" t="str">
        <f>IF(ISNUMBER(E29),"",D29)</f>
        <v/>
      </c>
      <c r="E30" s="73" t="str">
        <f t="shared" ref="E30:BA30" si="14">IF(ISNUMBER(F29),"",E29)</f>
        <v/>
      </c>
      <c r="F30" s="73" t="str">
        <f>IF(ISNUMBER(G29),"",F29)</f>
        <v/>
      </c>
      <c r="G30" s="73" t="str">
        <f t="shared" si="14"/>
        <v/>
      </c>
      <c r="H30" s="73" t="str">
        <f t="shared" si="14"/>
        <v/>
      </c>
      <c r="I30" s="73" t="str">
        <f t="shared" si="14"/>
        <v/>
      </c>
      <c r="J30" s="73" t="str">
        <f t="shared" si="14"/>
        <v/>
      </c>
      <c r="K30" s="73" t="str">
        <f t="shared" si="14"/>
        <v/>
      </c>
      <c r="L30" s="73" t="str">
        <f t="shared" si="14"/>
        <v/>
      </c>
      <c r="M30" s="73" t="str">
        <f t="shared" si="14"/>
        <v/>
      </c>
      <c r="N30" s="73" t="str">
        <f t="shared" si="14"/>
        <v/>
      </c>
      <c r="O30" s="73" t="str">
        <f t="shared" si="14"/>
        <v/>
      </c>
      <c r="P30" s="73" t="str">
        <f t="shared" si="14"/>
        <v/>
      </c>
      <c r="Q30" s="73" t="str">
        <f t="shared" si="14"/>
        <v/>
      </c>
      <c r="R30" s="73" t="str">
        <f t="shared" si="14"/>
        <v/>
      </c>
      <c r="S30" s="73" t="str">
        <f t="shared" si="14"/>
        <v/>
      </c>
      <c r="T30" s="73" t="str">
        <f t="shared" si="14"/>
        <v/>
      </c>
      <c r="U30" s="73" t="str">
        <f t="shared" si="14"/>
        <v/>
      </c>
      <c r="V30" s="73" t="str">
        <f t="shared" si="14"/>
        <v/>
      </c>
      <c r="W30" s="73" t="str">
        <f t="shared" si="14"/>
        <v/>
      </c>
      <c r="X30" s="73" t="str">
        <f t="shared" si="14"/>
        <v/>
      </c>
      <c r="Y30" s="73" t="str">
        <f t="shared" si="14"/>
        <v/>
      </c>
      <c r="Z30" s="73" t="str">
        <f t="shared" si="14"/>
        <v/>
      </c>
      <c r="AA30" s="73" t="str">
        <f t="shared" si="14"/>
        <v/>
      </c>
      <c r="AB30" s="73" t="str">
        <f t="shared" si="14"/>
        <v/>
      </c>
      <c r="AC30" s="73" t="str">
        <f t="shared" si="14"/>
        <v/>
      </c>
      <c r="AD30" s="73" t="str">
        <f t="shared" si="14"/>
        <v/>
      </c>
      <c r="AE30" s="73" t="str">
        <f t="shared" si="14"/>
        <v/>
      </c>
      <c r="AF30" s="73" t="str">
        <f t="shared" si="14"/>
        <v/>
      </c>
      <c r="AG30" s="73" t="str">
        <f t="shared" si="14"/>
        <v/>
      </c>
      <c r="AH30" s="73" t="str">
        <f t="shared" si="14"/>
        <v/>
      </c>
      <c r="AI30" s="73" t="str">
        <f t="shared" si="14"/>
        <v/>
      </c>
      <c r="AJ30" s="73" t="str">
        <f t="shared" si="14"/>
        <v/>
      </c>
      <c r="AK30" s="73" t="str">
        <f t="shared" si="14"/>
        <v/>
      </c>
      <c r="AL30" s="73" t="str">
        <f t="shared" si="14"/>
        <v/>
      </c>
      <c r="AM30" s="73" t="str">
        <f t="shared" si="14"/>
        <v/>
      </c>
      <c r="AN30" s="73" t="str">
        <f t="shared" si="14"/>
        <v/>
      </c>
      <c r="AO30" s="73" t="str">
        <f t="shared" si="14"/>
        <v/>
      </c>
      <c r="AP30" s="73" t="str">
        <f t="shared" si="14"/>
        <v/>
      </c>
      <c r="AQ30" s="73" t="str">
        <f t="shared" si="14"/>
        <v/>
      </c>
      <c r="AR30" s="73" t="str">
        <f t="shared" si="14"/>
        <v/>
      </c>
      <c r="AS30" s="73" t="str">
        <f t="shared" si="14"/>
        <v/>
      </c>
      <c r="AT30" s="73" t="str">
        <f t="shared" si="14"/>
        <v/>
      </c>
      <c r="AU30" s="73" t="str">
        <f t="shared" si="14"/>
        <v/>
      </c>
      <c r="AV30" s="73" t="str">
        <f t="shared" si="14"/>
        <v/>
      </c>
      <c r="AW30" s="73" t="str">
        <f t="shared" si="14"/>
        <v/>
      </c>
      <c r="AX30" s="73" t="str">
        <f t="shared" si="14"/>
        <v/>
      </c>
      <c r="AY30" s="73" t="str">
        <f t="shared" si="14"/>
        <v/>
      </c>
      <c r="AZ30" s="73" t="str">
        <f t="shared" si="14"/>
        <v/>
      </c>
      <c r="BA30" s="73" t="str">
        <f t="shared" si="14"/>
        <v/>
      </c>
    </row>
    <row r="31" spans="2:53" s="73" customFormat="1" ht="13.5">
      <c r="B31" s="246"/>
      <c r="C31" s="144" t="s">
        <v>298</v>
      </c>
      <c r="D31" s="73">
        <f>SUM(D30:BA30)</f>
        <v>0</v>
      </c>
    </row>
    <row r="32" spans="2:53" s="73" customFormat="1" ht="13.5">
      <c r="B32" s="246"/>
      <c r="C32" s="144" t="s">
        <v>280</v>
      </c>
      <c r="D32" s="73">
        <v>0.05</v>
      </c>
    </row>
    <row r="33" spans="2:53" s="73" customFormat="1" ht="13.5">
      <c r="B33" s="246"/>
      <c r="C33" s="144" t="s">
        <v>297</v>
      </c>
    </row>
    <row r="34" spans="2:53" s="73" customFormat="1" ht="13.5">
      <c r="B34" s="246"/>
    </row>
    <row r="35" spans="2:53" s="73" customFormat="1" ht="13.5">
      <c r="B35" s="246"/>
    </row>
    <row r="36" spans="2:53" ht="13.5">
      <c r="B36" s="248"/>
      <c r="C36" s="73" t="s">
        <v>246</v>
      </c>
      <c r="D36" s="73"/>
      <c r="E36" s="73"/>
      <c r="F36" s="73"/>
      <c r="G36" s="73"/>
      <c r="H36" s="73"/>
      <c r="I36" s="73"/>
    </row>
    <row r="37" spans="2:53" ht="13.5">
      <c r="B37" s="248"/>
      <c r="C37" s="73"/>
      <c r="D37" s="73"/>
      <c r="E37" s="73"/>
      <c r="F37" s="73"/>
      <c r="G37" s="73"/>
      <c r="H37" s="73"/>
      <c r="I37" s="73"/>
    </row>
    <row r="38" spans="2:53" ht="13.5">
      <c r="B38" s="249" t="s">
        <v>415</v>
      </c>
      <c r="C38" s="79" t="s">
        <v>245</v>
      </c>
      <c r="D38" s="81">
        <f>IF('Test Management'!I8&gt;'Test Management'!O2,NA(),'Test Management'!D399-'Test Management'!I400)</f>
        <v>0</v>
      </c>
      <c r="E38" s="81">
        <f>IF('Test Management'!J8&gt;'Test Management'!$O$2,NA(),'Test Management'!I402-'Test Management'!J400)</f>
        <v>0</v>
      </c>
      <c r="F38" s="81">
        <f>IF('Test Management'!K8&gt;'Test Management'!$O$2,NA(),'Test Management'!J402-'Test Management'!K400)</f>
        <v>0</v>
      </c>
      <c r="G38" s="81">
        <f>IF('Test Management'!L8&gt;'Test Management'!$O$2,NA(),'Test Management'!K402-'Test Management'!L400)</f>
        <v>0</v>
      </c>
      <c r="H38" s="81">
        <f>IF('Test Management'!M8&gt;'Test Management'!$O$2,NA(),'Test Management'!L402-'Test Management'!M400)</f>
        <v>0</v>
      </c>
      <c r="I38" s="81" t="e">
        <f>IF('Test Management'!N8&gt;'Test Management'!$O$2,NA(),'Test Management'!M402-'Test Management'!N400)</f>
        <v>#N/A</v>
      </c>
      <c r="J38" s="81" t="e">
        <f>IF('Test Management'!O8&gt;'Test Management'!$O$2,NA(),'Test Management'!N402-'Test Management'!O400)</f>
        <v>#N/A</v>
      </c>
      <c r="K38" s="81" t="e">
        <f>IF('Test Management'!P8&gt;'Test Management'!$O$2,NA(),'Test Management'!O402-'Test Management'!P400)</f>
        <v>#N/A</v>
      </c>
      <c r="L38" s="81" t="e">
        <f>IF('Test Management'!Q8&gt;'Test Management'!$O$2,NA(),'Test Management'!P402-'Test Management'!Q400)</f>
        <v>#N/A</v>
      </c>
      <c r="M38" s="81" t="e">
        <f>IF('Test Management'!R8&gt;'Test Management'!$O$2,NA(),'Test Management'!Q402-'Test Management'!R400)</f>
        <v>#N/A</v>
      </c>
      <c r="N38" s="81" t="e">
        <f>IF('Test Management'!S8&gt;'Test Management'!$O$2,NA(),'Test Management'!R402-'Test Management'!S400)</f>
        <v>#N/A</v>
      </c>
      <c r="O38" s="81" t="e">
        <f>IF('Test Management'!T8&gt;'Test Management'!$O$2,NA(),'Test Management'!S402-'Test Management'!T400)</f>
        <v>#N/A</v>
      </c>
      <c r="P38" s="81" t="e">
        <f>IF('Test Management'!U8&gt;'Test Management'!$O$2,NA(),'Test Management'!T402-'Test Management'!U400)</f>
        <v>#N/A</v>
      </c>
      <c r="Q38" s="81" t="e">
        <f>IF('Test Management'!V8&gt;'Test Management'!$O$2,NA(),'Test Management'!U402-'Test Management'!V400)</f>
        <v>#N/A</v>
      </c>
      <c r="R38" s="81" t="e">
        <f>IF('Test Management'!W8&gt;'Test Management'!$O$2,NA(),'Test Management'!V402-'Test Management'!W400)</f>
        <v>#N/A</v>
      </c>
      <c r="S38" s="81" t="e">
        <f>IF('Test Management'!X8&gt;'Test Management'!$O$2,NA(),'Test Management'!W402-'Test Management'!X400)</f>
        <v>#N/A</v>
      </c>
      <c r="T38" s="81" t="e">
        <f>IF('Test Management'!Y8&gt;'Test Management'!$O$2,NA(),'Test Management'!X402-'Test Management'!Y400)</f>
        <v>#N/A</v>
      </c>
      <c r="U38" s="81" t="e">
        <f>IF('Test Management'!Z8&gt;'Test Management'!$O$2,NA(),'Test Management'!Y402-'Test Management'!Z400)</f>
        <v>#N/A</v>
      </c>
      <c r="V38" s="81" t="e">
        <f>IF('Test Management'!AA8&gt;'Test Management'!$O$2,NA(),'Test Management'!Z402-'Test Management'!AA400)</f>
        <v>#N/A</v>
      </c>
      <c r="W38" s="81" t="e">
        <f>IF('Test Management'!AB8&gt;'Test Management'!$O$2,NA(),'Test Management'!AA402-'Test Management'!AB400)</f>
        <v>#N/A</v>
      </c>
      <c r="X38" s="81" t="e">
        <f>IF('Test Management'!AC8&gt;'Test Management'!$O$2,NA(),'Test Management'!AB402-'Test Management'!AC400)</f>
        <v>#N/A</v>
      </c>
      <c r="Y38" s="81" t="e">
        <f>IF('Test Management'!AD8&gt;'Test Management'!$O$2,NA(),'Test Management'!AC402-'Test Management'!AD400)</f>
        <v>#N/A</v>
      </c>
      <c r="Z38" s="81" t="e">
        <f>IF('Test Management'!AE8&gt;'Test Management'!$O$2,NA(),'Test Management'!AD402-'Test Management'!AE400)</f>
        <v>#N/A</v>
      </c>
      <c r="AA38" s="81" t="e">
        <f>IF('Test Management'!AF8&gt;'Test Management'!$O$2,NA(),'Test Management'!AE402-'Test Management'!AF400)</f>
        <v>#N/A</v>
      </c>
      <c r="AB38" s="81" t="e">
        <f>IF('Test Management'!AG8&gt;'Test Management'!$O$2,NA(),'Test Management'!AF402-'Test Management'!AG400)</f>
        <v>#N/A</v>
      </c>
      <c r="AC38" s="81" t="e">
        <f>IF('Test Management'!AH8&gt;'Test Management'!$O$2,NA(),'Test Management'!AG402-'Test Management'!AH400)</f>
        <v>#N/A</v>
      </c>
      <c r="AD38" s="81" t="e">
        <f>IF('Test Management'!AI8&gt;'Test Management'!$O$2,NA(),'Test Management'!AH402-'Test Management'!AI400)</f>
        <v>#N/A</v>
      </c>
      <c r="AE38" s="81" t="e">
        <f>IF('Test Management'!AJ8&gt;'Test Management'!$O$2,NA(),'Test Management'!AI402-'Test Management'!AJ400)</f>
        <v>#N/A</v>
      </c>
      <c r="AF38" s="81" t="e">
        <f>IF('Test Management'!AK8&gt;'Test Management'!$O$2,NA(),'Test Management'!AJ402-'Test Management'!AK400)</f>
        <v>#N/A</v>
      </c>
      <c r="AG38" s="81" t="e">
        <f>IF('Test Management'!AL8&gt;'Test Management'!$O$2,NA(),'Test Management'!AK402-'Test Management'!AL400)</f>
        <v>#N/A</v>
      </c>
      <c r="AH38" s="81" t="e">
        <f>IF('Test Management'!AM8&gt;'Test Management'!$O$2,NA(),'Test Management'!AL402-'Test Management'!AM400)</f>
        <v>#N/A</v>
      </c>
      <c r="AI38" s="81" t="e">
        <f>IF('Test Management'!AN8&gt;'Test Management'!$O$2,NA(),'Test Management'!AM402-'Test Management'!AN400)</f>
        <v>#N/A</v>
      </c>
      <c r="AJ38" s="81" t="e">
        <f>IF('Test Management'!AO8&gt;'Test Management'!$O$2,NA(),'Test Management'!AN402-'Test Management'!AO400)</f>
        <v>#N/A</v>
      </c>
      <c r="AK38" s="81" t="e">
        <f>IF('Test Management'!AP8&gt;'Test Management'!$O$2,NA(),'Test Management'!AO402-'Test Management'!AP400)</f>
        <v>#N/A</v>
      </c>
      <c r="AL38" s="81" t="e">
        <f>IF('Test Management'!AQ8&gt;'Test Management'!$O$2,NA(),'Test Management'!AP402-'Test Management'!AQ400)</f>
        <v>#N/A</v>
      </c>
      <c r="AM38" s="81" t="e">
        <f>IF('Test Management'!AR8&gt;'Test Management'!$O$2,NA(),'Test Management'!AQ402-'Test Management'!AR400)</f>
        <v>#N/A</v>
      </c>
      <c r="AN38" s="81" t="e">
        <f>IF('Test Management'!AS8&gt;'Test Management'!$O$2,NA(),'Test Management'!AR402-'Test Management'!AS400)</f>
        <v>#N/A</v>
      </c>
      <c r="AO38" s="81" t="e">
        <f>IF('Test Management'!AT8&gt;'Test Management'!$O$2,NA(),'Test Management'!AS402-'Test Management'!AT400)</f>
        <v>#N/A</v>
      </c>
      <c r="AP38" s="81" t="e">
        <f>IF('Test Management'!AU8&gt;'Test Management'!$O$2,NA(),'Test Management'!AT402-'Test Management'!AU400)</f>
        <v>#N/A</v>
      </c>
      <c r="AQ38" s="81" t="e">
        <f>IF('Test Management'!AV8&gt;'Test Management'!$O$2,NA(),'Test Management'!AU402-'Test Management'!AV400)</f>
        <v>#N/A</v>
      </c>
      <c r="AR38" s="81" t="e">
        <f>IF('Test Management'!AW8&gt;'Test Management'!$O$2,NA(),'Test Management'!AV402-'Test Management'!AW400)</f>
        <v>#N/A</v>
      </c>
      <c r="AS38" s="81" t="e">
        <f>IF('Test Management'!AX8&gt;'Test Management'!$O$2,NA(),'Test Management'!AW402-'Test Management'!AX400)</f>
        <v>#N/A</v>
      </c>
      <c r="AT38" s="81" t="e">
        <f>IF('Test Management'!AY8&gt;'Test Management'!$O$2,NA(),'Test Management'!AX402-'Test Management'!AY400)</f>
        <v>#N/A</v>
      </c>
      <c r="AU38" s="81" t="e">
        <f>IF('Test Management'!AZ8&gt;'Test Management'!$O$2,NA(),'Test Management'!AY402-'Test Management'!AZ400)</f>
        <v>#N/A</v>
      </c>
      <c r="AV38" s="81" t="e">
        <f>IF('Test Management'!BA8&gt;'Test Management'!$O$2,NA(),'Test Management'!AZ402-'Test Management'!BA400)</f>
        <v>#N/A</v>
      </c>
      <c r="AW38" s="81" t="e">
        <f>IF('Test Management'!BB8&gt;'Test Management'!$O$2,NA(),'Test Management'!BA402-'Test Management'!BB400)</f>
        <v>#N/A</v>
      </c>
      <c r="AX38" s="81" t="e">
        <f>IF('Test Management'!BC8&gt;'Test Management'!$O$2,NA(),'Test Management'!BB402-'Test Management'!BC400)</f>
        <v>#N/A</v>
      </c>
      <c r="AY38" s="81" t="e">
        <f>IF('Test Management'!BD8&gt;'Test Management'!$O$2,NA(),'Test Management'!BC402-'Test Management'!BD400)</f>
        <v>#N/A</v>
      </c>
      <c r="AZ38" s="81" t="e">
        <f>IF('Test Management'!BE8&gt;'Test Management'!$O$2,NA(),'Test Management'!BD402-'Test Management'!BE400)</f>
        <v>#N/A</v>
      </c>
      <c r="BA38" s="81" t="e">
        <f>IF('Test Management'!BF8&gt;'Test Management'!$O$2,NA(),'Test Management'!BE402-'Test Management'!BF400)</f>
        <v>#N/A</v>
      </c>
    </row>
    <row r="39" spans="2:53" ht="13.5">
      <c r="B39" s="250" t="s">
        <v>414</v>
      </c>
      <c r="C39" s="73"/>
      <c r="D39" s="73"/>
      <c r="E39" s="73"/>
      <c r="F39" s="73"/>
      <c r="G39" s="73"/>
      <c r="H39" s="73"/>
      <c r="I39" s="73"/>
    </row>
    <row r="40" spans="2:53" ht="13.5">
      <c r="C40" s="73"/>
      <c r="D40" s="73"/>
      <c r="E40" s="73"/>
      <c r="F40" s="73"/>
      <c r="G40" s="73"/>
      <c r="H40" s="73"/>
      <c r="I40" s="73"/>
    </row>
    <row r="41" spans="2:53" ht="13.5">
      <c r="C41" s="73"/>
      <c r="D41" s="73"/>
      <c r="E41" s="73"/>
      <c r="F41" s="73"/>
      <c r="G41" s="73"/>
      <c r="H41" s="73"/>
      <c r="I41" s="73"/>
    </row>
    <row r="42" spans="2:53" ht="13.5">
      <c r="C42" s="73"/>
      <c r="D42" s="73"/>
      <c r="E42" s="73"/>
      <c r="F42" s="73"/>
      <c r="G42" s="73"/>
      <c r="H42" s="73"/>
      <c r="I42" s="73"/>
    </row>
    <row r="43" spans="2:53" ht="13.5">
      <c r="C43" s="73"/>
      <c r="D43" s="73"/>
      <c r="E43" s="73"/>
      <c r="F43" s="73"/>
      <c r="G43" s="73"/>
      <c r="H43" s="73"/>
      <c r="I43" s="73"/>
    </row>
    <row r="45" spans="2:53">
      <c r="D45" s="143"/>
    </row>
  </sheetData>
  <phoneticPr fontId="7"/>
  <pageMargins left="0.23622047244094491" right="0.23622047244094491" top="0.74803149606299213" bottom="0.74803149606299213" header="0.31496062992125984" footer="0.31496062992125984"/>
  <pageSetup paperSize="8" scale="65" orientation="landscape" r:id="rId1"/>
  <headerFooter>
    <oddFooter>&amp;L&amp;9TOMATO&amp;R&amp;9Copyright (c) TOYOTSU SYSCOM CO., LTD. All Rights Reserved.</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tabColor theme="0" tint="-0.499984740745262"/>
  </sheetPr>
  <dimension ref="A1:W69"/>
  <sheetViews>
    <sheetView topLeftCell="I1" zoomScale="70" zoomScaleNormal="70" workbookViewId="0">
      <selection activeCell="I6" sqref="I6"/>
    </sheetView>
  </sheetViews>
  <sheetFormatPr defaultColWidth="9" defaultRowHeight="13.5"/>
  <cols>
    <col min="1" max="1" width="12.25" style="73" bestFit="1" customWidth="1"/>
    <col min="2" max="2" width="30" style="73" customWidth="1"/>
    <col min="3" max="4" width="9" style="73"/>
    <col min="5" max="5" width="12.25" style="73" bestFit="1" customWidth="1"/>
    <col min="6" max="6" width="26.5" style="73" customWidth="1"/>
    <col min="7" max="8" width="9" style="73"/>
    <col min="9" max="9" width="12.25" style="73" bestFit="1" customWidth="1"/>
    <col min="10" max="10" width="26.875" style="73" customWidth="1"/>
    <col min="11" max="12" width="9" style="73"/>
    <col min="13" max="13" width="12.25" style="73" bestFit="1" customWidth="1"/>
    <col min="14" max="14" width="30.125" style="73" customWidth="1"/>
    <col min="15" max="16" width="9" style="73"/>
    <col min="17" max="17" width="12.25" style="73" bestFit="1" customWidth="1"/>
    <col min="18" max="18" width="33.375" style="73" customWidth="1"/>
    <col min="19" max="20" width="9" style="73"/>
    <col min="21" max="21" width="12.25" style="73" customWidth="1"/>
    <col min="22" max="22" width="43.75" style="73" customWidth="1"/>
    <col min="23" max="16384" width="9" style="73"/>
  </cols>
  <sheetData>
    <row r="1" spans="1:23">
      <c r="A1" s="380" t="s">
        <v>286</v>
      </c>
      <c r="E1" s="380" t="s">
        <v>289</v>
      </c>
    </row>
    <row r="2" spans="1:23">
      <c r="A2" s="73" t="s">
        <v>707</v>
      </c>
      <c r="E2" s="73" t="s">
        <v>708</v>
      </c>
      <c r="I2" s="73" t="s">
        <v>290</v>
      </c>
      <c r="M2" s="73" t="s">
        <v>291</v>
      </c>
      <c r="Q2" s="73" t="s">
        <v>292</v>
      </c>
      <c r="U2" s="73" t="s">
        <v>293</v>
      </c>
    </row>
    <row r="6" spans="1:23">
      <c r="A6" s="145" t="s">
        <v>287</v>
      </c>
      <c r="B6" t="s">
        <v>380</v>
      </c>
      <c r="C6"/>
      <c r="E6" s="145" t="s">
        <v>287</v>
      </c>
      <c r="F6" t="s">
        <v>381</v>
      </c>
      <c r="G6"/>
      <c r="I6" s="145" t="s">
        <v>287</v>
      </c>
      <c r="J6" t="s">
        <v>382</v>
      </c>
      <c r="K6"/>
      <c r="M6" s="145" t="s">
        <v>287</v>
      </c>
      <c r="N6" t="s">
        <v>383</v>
      </c>
      <c r="O6"/>
      <c r="Q6" s="145" t="s">
        <v>287</v>
      </c>
      <c r="R6" t="s">
        <v>384</v>
      </c>
      <c r="S6"/>
      <c r="U6" s="145" t="s">
        <v>287</v>
      </c>
      <c r="V6" t="s">
        <v>385</v>
      </c>
      <c r="W6"/>
    </row>
    <row r="7" spans="1:23">
      <c r="A7" s="124" t="s">
        <v>288</v>
      </c>
      <c r="B7"/>
      <c r="C7"/>
      <c r="E7" s="124" t="s">
        <v>288</v>
      </c>
      <c r="F7"/>
      <c r="G7"/>
      <c r="I7" s="124" t="s">
        <v>288</v>
      </c>
      <c r="J7"/>
      <c r="K7"/>
      <c r="M7" s="124" t="s">
        <v>288</v>
      </c>
      <c r="N7"/>
      <c r="O7"/>
      <c r="Q7" s="124" t="s">
        <v>288</v>
      </c>
      <c r="R7"/>
      <c r="S7"/>
      <c r="U7" s="124" t="s">
        <v>288</v>
      </c>
      <c r="V7"/>
      <c r="W7"/>
    </row>
    <row r="8" spans="1:23">
      <c r="A8"/>
      <c r="B8"/>
      <c r="C8"/>
      <c r="E8"/>
      <c r="F8"/>
      <c r="G8"/>
      <c r="I8"/>
      <c r="J8"/>
      <c r="K8"/>
      <c r="M8"/>
      <c r="N8"/>
      <c r="O8"/>
      <c r="Q8"/>
      <c r="R8"/>
      <c r="S8"/>
      <c r="U8"/>
      <c r="V8"/>
      <c r="W8"/>
    </row>
    <row r="9" spans="1:23">
      <c r="A9"/>
      <c r="B9"/>
      <c r="C9"/>
      <c r="E9"/>
      <c r="F9"/>
      <c r="G9"/>
      <c r="I9"/>
      <c r="J9"/>
      <c r="K9"/>
      <c r="M9"/>
      <c r="N9"/>
      <c r="O9"/>
      <c r="Q9"/>
      <c r="R9"/>
      <c r="S9"/>
      <c r="U9"/>
      <c r="V9"/>
      <c r="W9"/>
    </row>
    <row r="10" spans="1:23">
      <c r="A10"/>
      <c r="B10"/>
      <c r="C10"/>
      <c r="E10"/>
      <c r="F10"/>
      <c r="G10"/>
      <c r="I10"/>
      <c r="J10"/>
      <c r="K10"/>
      <c r="M10"/>
      <c r="N10"/>
      <c r="O10"/>
      <c r="Q10"/>
      <c r="R10"/>
      <c r="S10"/>
      <c r="U10"/>
      <c r="V10"/>
      <c r="W10"/>
    </row>
    <row r="11" spans="1:23">
      <c r="A11"/>
      <c r="B11"/>
      <c r="C11"/>
      <c r="E11"/>
      <c r="F11"/>
      <c r="G11"/>
      <c r="I11"/>
      <c r="J11"/>
      <c r="K11"/>
      <c r="M11"/>
      <c r="N11"/>
      <c r="O11"/>
      <c r="Q11"/>
      <c r="R11"/>
      <c r="S11"/>
      <c r="U11"/>
      <c r="V11"/>
      <c r="W11"/>
    </row>
    <row r="12" spans="1:23">
      <c r="A12"/>
      <c r="B12"/>
      <c r="C12"/>
      <c r="E12"/>
      <c r="F12"/>
      <c r="G12"/>
      <c r="I12"/>
      <c r="J12"/>
      <c r="K12"/>
      <c r="M12"/>
      <c r="N12"/>
      <c r="O12"/>
      <c r="Q12"/>
      <c r="R12"/>
      <c r="S12"/>
      <c r="U12"/>
      <c r="V12"/>
      <c r="W12"/>
    </row>
    <row r="13" spans="1:23">
      <c r="A13"/>
      <c r="B13"/>
      <c r="C13"/>
      <c r="E13"/>
      <c r="F13"/>
      <c r="G13"/>
      <c r="I13"/>
      <c r="J13"/>
      <c r="K13"/>
      <c r="M13"/>
      <c r="N13"/>
      <c r="O13"/>
      <c r="Q13"/>
      <c r="R13"/>
      <c r="S13"/>
      <c r="U13"/>
      <c r="V13"/>
      <c r="W13"/>
    </row>
    <row r="14" spans="1:23">
      <c r="A14"/>
      <c r="B14"/>
      <c r="C14"/>
      <c r="E14"/>
      <c r="F14"/>
      <c r="G14"/>
      <c r="I14"/>
      <c r="J14"/>
      <c r="K14"/>
      <c r="M14"/>
      <c r="N14"/>
      <c r="O14"/>
      <c r="Q14"/>
      <c r="R14"/>
      <c r="S14"/>
      <c r="U14"/>
      <c r="V14"/>
      <c r="W14"/>
    </row>
    <row r="15" spans="1:23">
      <c r="A15"/>
      <c r="B15"/>
      <c r="C15"/>
      <c r="E15"/>
      <c r="F15"/>
      <c r="G15"/>
      <c r="I15"/>
      <c r="J15"/>
      <c r="K15"/>
      <c r="M15"/>
      <c r="N15"/>
      <c r="O15"/>
      <c r="Q15"/>
      <c r="R15"/>
      <c r="S15"/>
      <c r="U15"/>
      <c r="V15"/>
      <c r="W15"/>
    </row>
    <row r="16" spans="1:23">
      <c r="A16"/>
      <c r="B16"/>
      <c r="C16"/>
      <c r="E16"/>
      <c r="F16"/>
      <c r="G16"/>
      <c r="I16"/>
      <c r="J16"/>
      <c r="K16"/>
      <c r="M16"/>
      <c r="N16"/>
      <c r="O16"/>
      <c r="Q16"/>
      <c r="R16"/>
      <c r="S16"/>
      <c r="U16"/>
      <c r="V16"/>
      <c r="W16"/>
    </row>
    <row r="17" spans="1:23">
      <c r="A17"/>
      <c r="B17"/>
      <c r="C17"/>
      <c r="E17"/>
      <c r="F17"/>
      <c r="G17"/>
      <c r="I17"/>
      <c r="J17"/>
      <c r="K17"/>
      <c r="M17"/>
      <c r="N17"/>
      <c r="O17"/>
      <c r="Q17"/>
      <c r="R17"/>
      <c r="S17"/>
      <c r="U17"/>
      <c r="V17"/>
      <c r="W17"/>
    </row>
    <row r="18" spans="1:23">
      <c r="A18"/>
      <c r="B18"/>
      <c r="C18"/>
      <c r="E18"/>
      <c r="F18"/>
      <c r="G18"/>
      <c r="I18"/>
      <c r="J18"/>
      <c r="K18"/>
      <c r="M18"/>
      <c r="N18"/>
      <c r="O18"/>
      <c r="Q18"/>
      <c r="R18"/>
      <c r="S18"/>
      <c r="U18"/>
      <c r="V18"/>
      <c r="W18"/>
    </row>
    <row r="19" spans="1:23">
      <c r="A19"/>
      <c r="B19"/>
      <c r="C19"/>
      <c r="E19"/>
      <c r="F19"/>
      <c r="G19"/>
      <c r="I19"/>
      <c r="J19"/>
      <c r="K19"/>
      <c r="M19"/>
      <c r="N19"/>
      <c r="O19"/>
      <c r="Q19"/>
      <c r="R19"/>
      <c r="S19"/>
      <c r="U19"/>
      <c r="V19"/>
      <c r="W19"/>
    </row>
    <row r="20" spans="1:23">
      <c r="A20"/>
      <c r="B20"/>
      <c r="C20"/>
      <c r="E20"/>
      <c r="F20"/>
      <c r="G20"/>
      <c r="I20"/>
      <c r="J20"/>
      <c r="K20"/>
      <c r="M20"/>
      <c r="N20"/>
      <c r="O20"/>
      <c r="Q20"/>
      <c r="R20"/>
      <c r="S20"/>
      <c r="U20"/>
      <c r="V20"/>
      <c r="W20"/>
    </row>
    <row r="21" spans="1:23">
      <c r="A21"/>
      <c r="B21"/>
      <c r="C21"/>
      <c r="E21"/>
      <c r="F21"/>
      <c r="G21"/>
      <c r="I21"/>
      <c r="J21"/>
      <c r="K21"/>
      <c r="M21"/>
      <c r="N21"/>
      <c r="O21"/>
      <c r="Q21"/>
      <c r="R21"/>
      <c r="S21"/>
      <c r="U21"/>
      <c r="V21"/>
      <c r="W21"/>
    </row>
    <row r="22" spans="1:23">
      <c r="A22"/>
      <c r="B22"/>
      <c r="C22"/>
      <c r="E22"/>
      <c r="F22"/>
      <c r="G22"/>
      <c r="I22"/>
      <c r="J22"/>
      <c r="K22"/>
      <c r="M22"/>
      <c r="N22"/>
      <c r="O22"/>
      <c r="Q22"/>
      <c r="R22"/>
      <c r="S22"/>
      <c r="U22"/>
      <c r="V22"/>
      <c r="W22"/>
    </row>
    <row r="23" spans="1:23">
      <c r="A23"/>
      <c r="B23"/>
      <c r="C23"/>
      <c r="E23"/>
      <c r="F23"/>
      <c r="G23"/>
      <c r="I23"/>
      <c r="J23"/>
      <c r="K23"/>
      <c r="M23"/>
      <c r="N23"/>
      <c r="O23"/>
      <c r="Q23"/>
      <c r="R23"/>
      <c r="S23"/>
      <c r="U23"/>
      <c r="V23"/>
      <c r="W23"/>
    </row>
    <row r="24" spans="1:23">
      <c r="E24"/>
      <c r="F24"/>
      <c r="Q24"/>
      <c r="R24"/>
      <c r="U24"/>
      <c r="V24"/>
    </row>
    <row r="25" spans="1:23">
      <c r="E25"/>
      <c r="F25"/>
      <c r="Q25"/>
      <c r="R25"/>
      <c r="U25"/>
      <c r="V25"/>
    </row>
    <row r="26" spans="1:23">
      <c r="E26"/>
      <c r="F26"/>
      <c r="Q26"/>
      <c r="R26"/>
      <c r="U26"/>
      <c r="V26"/>
    </row>
    <row r="27" spans="1:23">
      <c r="E27"/>
      <c r="F27"/>
      <c r="Q27"/>
      <c r="R27"/>
      <c r="U27"/>
      <c r="V27"/>
    </row>
    <row r="28" spans="1:23">
      <c r="E28"/>
      <c r="F28"/>
      <c r="Q28"/>
      <c r="R28"/>
      <c r="U28"/>
      <c r="V28"/>
    </row>
    <row r="29" spans="1:23">
      <c r="E29"/>
      <c r="F29"/>
      <c r="Q29"/>
      <c r="R29"/>
      <c r="U29"/>
      <c r="V29"/>
    </row>
    <row r="30" spans="1:23">
      <c r="E30"/>
      <c r="F30"/>
      <c r="Q30"/>
      <c r="R30"/>
      <c r="U30"/>
      <c r="V30"/>
    </row>
    <row r="31" spans="1:23">
      <c r="E31"/>
      <c r="F31"/>
      <c r="Q31"/>
      <c r="R31"/>
      <c r="U31"/>
      <c r="V31"/>
    </row>
    <row r="32" spans="1:23">
      <c r="E32"/>
      <c r="F32"/>
      <c r="Q32"/>
      <c r="R32"/>
      <c r="U32"/>
      <c r="V32"/>
    </row>
    <row r="33" spans="5:22">
      <c r="E33"/>
      <c r="F33"/>
      <c r="Q33"/>
      <c r="R33"/>
      <c r="U33"/>
      <c r="V33"/>
    </row>
    <row r="34" spans="5:22">
      <c r="E34"/>
      <c r="F34"/>
      <c r="Q34"/>
      <c r="R34"/>
      <c r="U34"/>
      <c r="V34"/>
    </row>
    <row r="35" spans="5:22">
      <c r="E35"/>
      <c r="F35"/>
      <c r="Q35"/>
      <c r="R35"/>
      <c r="U35"/>
      <c r="V35"/>
    </row>
    <row r="36" spans="5:22">
      <c r="E36"/>
      <c r="F36"/>
      <c r="Q36"/>
      <c r="R36"/>
      <c r="U36"/>
      <c r="V36"/>
    </row>
    <row r="37" spans="5:22">
      <c r="E37"/>
      <c r="F37"/>
      <c r="Q37"/>
      <c r="R37"/>
      <c r="U37"/>
      <c r="V37"/>
    </row>
    <row r="38" spans="5:22">
      <c r="E38"/>
      <c r="F38"/>
      <c r="Q38"/>
      <c r="R38"/>
      <c r="U38"/>
      <c r="V38"/>
    </row>
    <row r="39" spans="5:22">
      <c r="E39"/>
      <c r="F39"/>
      <c r="Q39"/>
      <c r="R39"/>
      <c r="U39"/>
      <c r="V39"/>
    </row>
    <row r="40" spans="5:22">
      <c r="E40"/>
      <c r="F40"/>
      <c r="Q40"/>
      <c r="R40"/>
      <c r="U40"/>
      <c r="V40"/>
    </row>
    <row r="41" spans="5:22">
      <c r="E41"/>
      <c r="F41"/>
      <c r="Q41"/>
      <c r="R41"/>
      <c r="U41"/>
      <c r="V41"/>
    </row>
    <row r="42" spans="5:22">
      <c r="E42"/>
      <c r="F42"/>
      <c r="Q42"/>
      <c r="R42"/>
    </row>
    <row r="43" spans="5:22">
      <c r="E43"/>
      <c r="F43"/>
      <c r="Q43"/>
      <c r="R43"/>
    </row>
    <row r="44" spans="5:22">
      <c r="E44"/>
      <c r="F44"/>
      <c r="Q44"/>
      <c r="R44"/>
    </row>
    <row r="45" spans="5:22">
      <c r="E45"/>
      <c r="F45"/>
      <c r="Q45"/>
      <c r="R45"/>
    </row>
    <row r="46" spans="5:22">
      <c r="E46"/>
      <c r="F46"/>
      <c r="Q46"/>
      <c r="R46"/>
    </row>
    <row r="47" spans="5:22">
      <c r="E47"/>
      <c r="F47"/>
      <c r="Q47"/>
      <c r="R47"/>
    </row>
    <row r="48" spans="5:22">
      <c r="E48"/>
      <c r="F48"/>
      <c r="Q48"/>
      <c r="R48"/>
    </row>
    <row r="49" spans="5:18">
      <c r="E49"/>
      <c r="F49"/>
      <c r="Q49"/>
      <c r="R49"/>
    </row>
    <row r="50" spans="5:18">
      <c r="E50"/>
      <c r="F50"/>
      <c r="Q50"/>
      <c r="R50"/>
    </row>
    <row r="51" spans="5:18">
      <c r="E51"/>
      <c r="F51"/>
      <c r="Q51"/>
      <c r="R51"/>
    </row>
    <row r="52" spans="5:18">
      <c r="E52"/>
      <c r="F52"/>
      <c r="Q52"/>
      <c r="R52"/>
    </row>
    <row r="53" spans="5:18">
      <c r="E53"/>
      <c r="F53"/>
      <c r="Q53"/>
      <c r="R53"/>
    </row>
    <row r="54" spans="5:18">
      <c r="E54"/>
      <c r="F54"/>
      <c r="Q54"/>
      <c r="R54"/>
    </row>
    <row r="55" spans="5:18">
      <c r="E55"/>
      <c r="F55"/>
      <c r="Q55"/>
      <c r="R55"/>
    </row>
    <row r="56" spans="5:18">
      <c r="E56"/>
      <c r="F56"/>
      <c r="Q56"/>
      <c r="R56"/>
    </row>
    <row r="57" spans="5:18">
      <c r="E57"/>
      <c r="F57"/>
      <c r="Q57"/>
      <c r="R57"/>
    </row>
    <row r="58" spans="5:18">
      <c r="E58"/>
      <c r="F58"/>
      <c r="Q58"/>
      <c r="R58"/>
    </row>
    <row r="59" spans="5:18">
      <c r="E59"/>
      <c r="F59"/>
      <c r="Q59"/>
      <c r="R59"/>
    </row>
    <row r="60" spans="5:18">
      <c r="E60"/>
      <c r="F60"/>
      <c r="Q60"/>
      <c r="R60"/>
    </row>
    <row r="61" spans="5:18">
      <c r="E61"/>
      <c r="F61"/>
      <c r="Q61"/>
      <c r="R61"/>
    </row>
    <row r="62" spans="5:18">
      <c r="E62"/>
      <c r="F62"/>
      <c r="Q62"/>
      <c r="R62"/>
    </row>
    <row r="63" spans="5:18">
      <c r="E63"/>
      <c r="F63"/>
      <c r="Q63"/>
      <c r="R63"/>
    </row>
    <row r="64" spans="5:18">
      <c r="E64"/>
      <c r="F64"/>
      <c r="Q64"/>
      <c r="R64"/>
    </row>
    <row r="65" spans="5:18">
      <c r="E65"/>
      <c r="F65"/>
      <c r="Q65"/>
      <c r="R65"/>
    </row>
    <row r="66" spans="5:18">
      <c r="E66"/>
      <c r="F66"/>
      <c r="Q66"/>
      <c r="R66"/>
    </row>
    <row r="67" spans="5:18">
      <c r="E67"/>
      <c r="F67"/>
      <c r="Q67"/>
      <c r="R67"/>
    </row>
    <row r="68" spans="5:18">
      <c r="E68"/>
      <c r="F68"/>
    </row>
    <row r="69" spans="5:18">
      <c r="E69"/>
      <c r="F69"/>
    </row>
  </sheetData>
  <phoneticPr fontId="36"/>
  <pageMargins left="0.70866141732283472" right="0.70866141732283472" top="0.74803149606299213" bottom="0.74803149606299213" header="0.31496062992125984" footer="0.31496062992125984"/>
  <pageSetup paperSize="9" orientation="portrait" r:id="rId7"/>
  <headerFooter>
    <oddFooter>&amp;L&amp;9TOMATO&amp;R&amp;9Copyright (c) TOYOTSU SYSCOM CO., LTD. All Rights Reserved.</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
    <tabColor theme="0" tint="-0.499984740745262"/>
  </sheetPr>
  <dimension ref="A1:O14"/>
  <sheetViews>
    <sheetView zoomScale="90" zoomScaleNormal="90" workbookViewId="0">
      <selection activeCell="I1" sqref="I1"/>
    </sheetView>
  </sheetViews>
  <sheetFormatPr defaultRowHeight="13.5"/>
  <cols>
    <col min="1" max="1" width="3.875" customWidth="1"/>
    <col min="2" max="2" width="22.25" customWidth="1"/>
    <col min="3" max="3" width="56.5" customWidth="1"/>
    <col min="4" max="4" width="22.25" customWidth="1"/>
    <col min="5" max="5" width="31.875" customWidth="1"/>
    <col min="7" max="7" width="5.25" bestFit="1" customWidth="1"/>
    <col min="8" max="8" width="19.375" customWidth="1"/>
    <col min="9" max="9" width="7.5" customWidth="1"/>
    <col min="10" max="10" width="2.375" customWidth="1"/>
    <col min="11" max="11" width="22.375" customWidth="1"/>
    <col min="12" max="12" width="2.375" customWidth="1"/>
    <col min="13" max="13" width="7.5" customWidth="1"/>
  </cols>
  <sheetData>
    <row r="1" spans="1:15" s="16" customFormat="1" ht="14.25" customHeight="1">
      <c r="A1" s="33"/>
      <c r="B1" s="656" t="s">
        <v>161</v>
      </c>
      <c r="C1" s="656"/>
      <c r="D1" s="656"/>
      <c r="E1" s="656"/>
      <c r="G1" s="209" t="s">
        <v>139</v>
      </c>
      <c r="H1" s="210" t="s">
        <v>137</v>
      </c>
      <c r="I1" s="215">
        <f>SUMPRODUCT(('Failure Management'!C9:C1183&lt;='Failure Management'!AI3)*('Failure Management'!C9:C1183&lt;&gt;""))</f>
        <v>0</v>
      </c>
      <c r="J1" s="21" t="s">
        <v>143</v>
      </c>
      <c r="K1" s="21" cm="1">
        <f t="array" ref="K1">SUMPRODUCT(('Failure Management'!C9:C1183&lt;&gt;"")*1,('Failure Management'!N9:N1183=Master!$H$65)*1,('Failure Management'!O9:O1183&lt;='Failure Management'!AI3)*1)</f>
        <v>1</v>
      </c>
      <c r="L1" s="21" t="s">
        <v>142</v>
      </c>
      <c r="M1" s="22">
        <f>I1-K1</f>
        <v>-1</v>
      </c>
    </row>
    <row r="2" spans="1:15" s="16" customFormat="1" ht="14.25" customHeight="1">
      <c r="A2" s="10"/>
      <c r="B2" s="656"/>
      <c r="C2" s="656"/>
      <c r="D2" s="656"/>
      <c r="E2" s="656"/>
      <c r="G2" s="207" t="s">
        <v>140</v>
      </c>
      <c r="H2" s="208" t="s">
        <v>352</v>
      </c>
      <c r="I2" s="216">
        <f>SUMPRODUCT((('Failure Management'!C9:C1183)&lt;&gt;"")*1,(YEAR('Failure Management'!C9:C1183)=YEAR('Failure Management'!AI3))*1,(MONTH('Failure Management'!C9:C1183)=MONTH('Failure Management'!AI3))*1,('Failure Management'!C9:C1183&lt;='Failure Management'!AI3)*1)</f>
        <v>0</v>
      </c>
      <c r="J2" s="23" t="s">
        <v>142</v>
      </c>
      <c r="K2" s="23" cm="1">
        <f t="array" ref="K2">SUMPRODUCT(('Failure Management'!C9:C1183&lt;&gt;"")*('Failure Management'!N9:N1183=Master!$H$65)*(YEAR('Failure Management'!AI9:AI1183)=YEAR('Failure Management'!AI3))*(MONTH('Failure Management'!AI9:AI1183)=MONTH('Failure Management'!AI3))*1,('Failure Management'!AI9:AI1183&lt;='Failure Management'!AI3)*1)</f>
        <v>0</v>
      </c>
      <c r="L2" s="23"/>
      <c r="M2" s="24"/>
      <c r="N2" s="331" t="s">
        <v>705</v>
      </c>
      <c r="O2" s="16" t="e" cm="1">
        <f t="array" ref="O2">SUMPRODUCT(('Failure Management'!C9:C1183&lt;&gt;"")*('Failure Management'!N9:N1183=Master!$H$65)*(YEAR('Failure Management'!O9:O1183)=YEAR('Failure Management'!AI3))*(MONTH('Failure Management'!O9:O1183)=MONTH('Failure Management'!AI3))*1,('Failure Management'!O9:O1183&lt;='Failure Management'!AI3)*1)</f>
        <v>#VALUE!</v>
      </c>
    </row>
    <row r="3" spans="1:15" s="16" customFormat="1" ht="14.25" customHeight="1">
      <c r="A3" s="10"/>
      <c r="B3" s="657" t="s">
        <v>162</v>
      </c>
      <c r="C3" s="658" t="str">
        <f>Master!E3</f>
        <v>WiseOffice基盤更改プロジェクト</v>
      </c>
      <c r="D3" s="657" t="s">
        <v>163</v>
      </c>
      <c r="E3" s="658" t="str">
        <f>Master!I3</f>
        <v>結合試験</v>
      </c>
      <c r="G3" s="207" t="s">
        <v>141</v>
      </c>
      <c r="H3" s="208" t="s">
        <v>138</v>
      </c>
      <c r="I3" s="216">
        <f>SUMPRODUCT(('Failure Management'!C9:C1183&lt;&gt;"")*1,('Failure Management'!C9:C1183&gt;'Failure Management'!AI3-7)*1,('Failure Management'!C9:C1183&lt;='Failure Management'!AI3)*1)</f>
        <v>0</v>
      </c>
      <c r="J3" s="23" t="s">
        <v>142</v>
      </c>
      <c r="K3" s="23">
        <f>SUMPRODUCT(('Failure Management'!C9:C1183&lt;&gt;"")*('Failure Management'!N9:N1183=Master!$H$65)*('Failure Management'!O9:O1183&gt;('Failure Management'!AI3-7))*('Failure Management'!O9:O1183&lt;='Failure Management'!AI3)*1)</f>
        <v>0</v>
      </c>
      <c r="L3" s="23"/>
      <c r="M3" s="24"/>
      <c r="O3" s="331" t="s">
        <v>706</v>
      </c>
    </row>
    <row r="4" spans="1:15" s="16" customFormat="1" ht="14.25" customHeight="1">
      <c r="A4" s="11"/>
      <c r="B4" s="657"/>
      <c r="C4" s="658"/>
      <c r="D4" s="657"/>
      <c r="E4" s="658"/>
      <c r="G4" s="654" t="s">
        <v>206</v>
      </c>
      <c r="H4" s="655"/>
      <c r="I4" s="217">
        <f>SUMPRODUCT(('Failure Management'!C9:C1183&lt;&gt;"")*1,('Failure Management'!N9:N1183&lt;&gt;Master!$H$65)*1,('Failure Management'!M9:M1183&lt;'Failure Management'!AI3)*1)</f>
        <v>1</v>
      </c>
      <c r="J4" s="212"/>
      <c r="K4" s="212"/>
      <c r="L4" s="212"/>
      <c r="M4" s="213"/>
    </row>
    <row r="5" spans="1:15">
      <c r="I5" s="30"/>
      <c r="K5" s="30"/>
      <c r="M5" s="30"/>
    </row>
    <row r="8" spans="1:15">
      <c r="K8" cm="1">
        <f t="array" ref="K8">SUMPRODUCT(('Failure Management'!C9:C1183&lt;&gt;"")*('Failure Management'!N9:N1183=Master!$H$65)*(YEAR('Failure Management'!AI9:AI1183)=YEAR('Failure Management'!AI3))*(MONTH('Failure Management'!AI9:AI1183)=MONTH('Failure Management'!AI3))*1,('Failure Management'!AI9:AI1183&lt;='Failure Management'!AI3)*1)</f>
        <v>0</v>
      </c>
    </row>
    <row r="14" spans="1:15">
      <c r="M14" s="379"/>
    </row>
  </sheetData>
  <mergeCells count="6">
    <mergeCell ref="G4:H4"/>
    <mergeCell ref="B1:E2"/>
    <mergeCell ref="B3:B4"/>
    <mergeCell ref="C3:C4"/>
    <mergeCell ref="D3:D4"/>
    <mergeCell ref="E3:E4"/>
  </mergeCells>
  <phoneticPr fontId="7"/>
  <conditionalFormatting sqref="I4">
    <cfRule type="expression" dxfId="0" priority="1" stopIfTrue="1">
      <formula>$I$4&gt;0</formula>
    </cfRule>
  </conditionalFormatting>
  <pageMargins left="0.70866141732283472" right="0.70866141732283472" top="0.74803149606299213" bottom="0.74803149606299213" header="0.31496062992125984" footer="0.31496062992125984"/>
  <pageSetup paperSize="9" orientation="portrait" r:id="rId1"/>
  <headerFooter>
    <oddFooter>&amp;L&amp;9TOMATO&amp;R&amp;9Copyright (c) TOYOTSU SYSCOM CO., LTD. All Rights Reserved.</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tabColor theme="1" tint="0.499984740745262"/>
  </sheetPr>
  <dimension ref="A2:BC59"/>
  <sheetViews>
    <sheetView workbookViewId="0"/>
  </sheetViews>
  <sheetFormatPr defaultColWidth="9" defaultRowHeight="12"/>
  <cols>
    <col min="1" max="1" width="4.625" style="166" customWidth="1"/>
    <col min="2" max="2" width="3.25" style="167" customWidth="1"/>
    <col min="3" max="5" width="6.125" style="167" customWidth="1"/>
    <col min="6" max="6" width="2.875" style="167" customWidth="1"/>
    <col min="7" max="7" width="3.25" style="167" customWidth="1"/>
    <col min="8" max="10" width="6.125" style="167" customWidth="1"/>
    <col min="11" max="11" width="3.875" style="167" customWidth="1"/>
    <col min="12" max="12" width="3.25" style="167" customWidth="1"/>
    <col min="13" max="15" width="6.125" style="167" customWidth="1"/>
    <col min="16" max="16" width="2.875" style="167" customWidth="1"/>
    <col min="17" max="17" width="3.25" style="167" customWidth="1"/>
    <col min="18" max="20" width="6.125" style="167" customWidth="1"/>
    <col min="21" max="21" width="3.125" style="167" customWidth="1"/>
    <col min="22" max="22" width="3.25" style="167" customWidth="1"/>
    <col min="23" max="25" width="6.125" style="167" customWidth="1"/>
    <col min="26" max="26" width="3.5" style="167" customWidth="1"/>
    <col min="27" max="27" width="3.25" style="167" customWidth="1"/>
    <col min="28" max="30" width="6.125" style="167" customWidth="1"/>
    <col min="31" max="31" width="3" style="167" customWidth="1"/>
    <col min="32" max="32" width="3.25" style="167" customWidth="1"/>
    <col min="33" max="35" width="6.125" style="167" customWidth="1"/>
    <col min="36" max="37" width="3.625" style="167" customWidth="1"/>
    <col min="38" max="40" width="6.125" style="167" customWidth="1"/>
    <col min="41" max="42" width="3.625" style="167" customWidth="1"/>
    <col min="43" max="45" width="6.125" style="167" customWidth="1"/>
    <col min="46" max="46" width="3.375" style="167" customWidth="1"/>
    <col min="47" max="47" width="3.625" style="167" customWidth="1"/>
    <col min="48" max="50" width="6.125" style="167" customWidth="1"/>
    <col min="51" max="51" width="3.25" style="167" customWidth="1"/>
    <col min="52" max="52" width="3.625" style="167" customWidth="1"/>
    <col min="53" max="55" width="6.125" style="167" customWidth="1"/>
    <col min="56" max="16384" width="9" style="167"/>
  </cols>
  <sheetData>
    <row r="2" spans="2:55">
      <c r="B2" s="166" t="s">
        <v>357</v>
      </c>
      <c r="G2" s="166" t="s">
        <v>358</v>
      </c>
      <c r="L2" s="166" t="s">
        <v>359</v>
      </c>
      <c r="Q2" s="166" t="s">
        <v>360</v>
      </c>
      <c r="V2" s="166" t="s">
        <v>361</v>
      </c>
      <c r="AA2" s="166" t="s">
        <v>362</v>
      </c>
      <c r="AF2" s="166" t="s">
        <v>363</v>
      </c>
      <c r="AK2" s="166" t="s">
        <v>364</v>
      </c>
      <c r="AP2" s="166" t="s">
        <v>365</v>
      </c>
      <c r="AU2" s="166" t="s">
        <v>366</v>
      </c>
      <c r="AZ2" s="166" t="s">
        <v>367</v>
      </c>
    </row>
    <row r="3" spans="2:55" ht="20.25" customHeight="1">
      <c r="B3" s="659" t="s">
        <v>368</v>
      </c>
      <c r="C3" s="168" t="s">
        <v>369</v>
      </c>
      <c r="D3" s="169"/>
      <c r="E3" s="170"/>
      <c r="G3" s="659" t="s">
        <v>368</v>
      </c>
      <c r="H3" s="168" t="s">
        <v>369</v>
      </c>
      <c r="I3" s="169"/>
      <c r="J3" s="170"/>
      <c r="L3" s="659" t="s">
        <v>368</v>
      </c>
      <c r="M3" s="168" t="s">
        <v>369</v>
      </c>
      <c r="N3" s="169"/>
      <c r="O3" s="170"/>
      <c r="Q3" s="659" t="s">
        <v>368</v>
      </c>
      <c r="R3" s="168" t="s">
        <v>369</v>
      </c>
      <c r="S3" s="169"/>
      <c r="T3" s="170"/>
      <c r="V3" s="659" t="s">
        <v>368</v>
      </c>
      <c r="W3" s="168" t="s">
        <v>369</v>
      </c>
      <c r="X3" s="169"/>
      <c r="Y3" s="170"/>
      <c r="AA3" s="659" t="s">
        <v>368</v>
      </c>
      <c r="AB3" s="168" t="s">
        <v>369</v>
      </c>
      <c r="AC3" s="169"/>
      <c r="AD3" s="170"/>
      <c r="AF3" s="659" t="s">
        <v>368</v>
      </c>
      <c r="AG3" s="168" t="s">
        <v>369</v>
      </c>
      <c r="AH3" s="169"/>
      <c r="AI3" s="170"/>
      <c r="AK3" s="659" t="s">
        <v>368</v>
      </c>
      <c r="AL3" s="168" t="s">
        <v>369</v>
      </c>
      <c r="AM3" s="169"/>
      <c r="AN3" s="170"/>
      <c r="AP3" s="659" t="s">
        <v>368</v>
      </c>
      <c r="AQ3" s="168" t="s">
        <v>369</v>
      </c>
      <c r="AR3" s="169"/>
      <c r="AS3" s="170"/>
      <c r="AU3" s="659" t="s">
        <v>368</v>
      </c>
      <c r="AV3" s="168" t="s">
        <v>369</v>
      </c>
      <c r="AW3" s="169"/>
      <c r="AX3" s="170"/>
      <c r="AZ3" s="663"/>
      <c r="BA3" s="171"/>
      <c r="BB3" s="172"/>
      <c r="BC3" s="172"/>
    </row>
    <row r="4" spans="2:55" ht="20.25" customHeight="1">
      <c r="B4" s="659"/>
      <c r="C4" s="660" t="s">
        <v>370</v>
      </c>
      <c r="D4" s="173" t="s">
        <v>217</v>
      </c>
      <c r="E4" s="174"/>
      <c r="G4" s="659"/>
      <c r="H4" s="660" t="s">
        <v>370</v>
      </c>
      <c r="I4" s="173" t="s">
        <v>217</v>
      </c>
      <c r="J4" s="174"/>
      <c r="L4" s="659"/>
      <c r="M4" s="660" t="s">
        <v>370</v>
      </c>
      <c r="N4" s="173" t="s">
        <v>217</v>
      </c>
      <c r="O4" s="174"/>
      <c r="Q4" s="659"/>
      <c r="R4" s="660" t="s">
        <v>370</v>
      </c>
      <c r="S4" s="173" t="s">
        <v>217</v>
      </c>
      <c r="T4" s="174"/>
      <c r="V4" s="659"/>
      <c r="W4" s="660" t="s">
        <v>370</v>
      </c>
      <c r="X4" s="173" t="s">
        <v>217</v>
      </c>
      <c r="Y4" s="174"/>
      <c r="AA4" s="659"/>
      <c r="AB4" s="660" t="s">
        <v>370</v>
      </c>
      <c r="AC4" s="173" t="s">
        <v>217</v>
      </c>
      <c r="AD4" s="174"/>
      <c r="AF4" s="659"/>
      <c r="AG4" s="660" t="s">
        <v>370</v>
      </c>
      <c r="AH4" s="173" t="s">
        <v>217</v>
      </c>
      <c r="AI4" s="174"/>
      <c r="AK4" s="659"/>
      <c r="AL4" s="660" t="s">
        <v>370</v>
      </c>
      <c r="AM4" s="173" t="s">
        <v>217</v>
      </c>
      <c r="AN4" s="174"/>
      <c r="AP4" s="659"/>
      <c r="AQ4" s="660" t="s">
        <v>370</v>
      </c>
      <c r="AR4" s="173" t="s">
        <v>217</v>
      </c>
      <c r="AS4" s="174"/>
      <c r="AU4" s="659"/>
      <c r="AV4" s="660" t="s">
        <v>370</v>
      </c>
      <c r="AW4" s="173" t="s">
        <v>217</v>
      </c>
      <c r="AX4" s="174"/>
      <c r="AZ4" s="663"/>
      <c r="BA4" s="662"/>
      <c r="BB4" s="175"/>
      <c r="BC4" s="176"/>
    </row>
    <row r="5" spans="2:55" ht="20.25" customHeight="1">
      <c r="B5" s="659"/>
      <c r="C5" s="661"/>
      <c r="D5" s="177" t="s">
        <v>371</v>
      </c>
      <c r="E5" s="178"/>
      <c r="G5" s="659"/>
      <c r="H5" s="661"/>
      <c r="I5" s="177" t="s">
        <v>371</v>
      </c>
      <c r="J5" s="178"/>
      <c r="L5" s="659"/>
      <c r="M5" s="661"/>
      <c r="N5" s="177" t="s">
        <v>371</v>
      </c>
      <c r="O5" s="178"/>
      <c r="Q5" s="659"/>
      <c r="R5" s="661"/>
      <c r="S5" s="177" t="s">
        <v>371</v>
      </c>
      <c r="T5" s="178"/>
      <c r="V5" s="659"/>
      <c r="W5" s="661"/>
      <c r="X5" s="177" t="s">
        <v>371</v>
      </c>
      <c r="Y5" s="178"/>
      <c r="AA5" s="659"/>
      <c r="AB5" s="661"/>
      <c r="AC5" s="177" t="s">
        <v>371</v>
      </c>
      <c r="AD5" s="178"/>
      <c r="AF5" s="659"/>
      <c r="AG5" s="661"/>
      <c r="AH5" s="177" t="s">
        <v>371</v>
      </c>
      <c r="AI5" s="178"/>
      <c r="AK5" s="659"/>
      <c r="AL5" s="661"/>
      <c r="AM5" s="177" t="s">
        <v>371</v>
      </c>
      <c r="AN5" s="178"/>
      <c r="AP5" s="659"/>
      <c r="AQ5" s="661"/>
      <c r="AR5" s="177" t="s">
        <v>371</v>
      </c>
      <c r="AS5" s="178"/>
      <c r="AU5" s="659"/>
      <c r="AV5" s="661"/>
      <c r="AW5" s="177" t="s">
        <v>371</v>
      </c>
      <c r="AX5" s="178"/>
      <c r="AZ5" s="663"/>
      <c r="BA5" s="662"/>
      <c r="BB5" s="179"/>
      <c r="BC5" s="172"/>
    </row>
    <row r="6" spans="2:55">
      <c r="B6" s="180"/>
      <c r="C6" s="664" t="s">
        <v>222</v>
      </c>
      <c r="D6" s="664"/>
      <c r="E6" s="664"/>
      <c r="G6" s="180"/>
      <c r="H6" s="664" t="s">
        <v>222</v>
      </c>
      <c r="I6" s="664"/>
      <c r="J6" s="664"/>
      <c r="L6" s="180"/>
      <c r="M6" s="664" t="s">
        <v>222</v>
      </c>
      <c r="N6" s="664"/>
      <c r="O6" s="664"/>
      <c r="Q6" s="180"/>
      <c r="R6" s="664" t="s">
        <v>222</v>
      </c>
      <c r="S6" s="664"/>
      <c r="T6" s="664"/>
      <c r="V6" s="180"/>
      <c r="W6" s="664" t="s">
        <v>222</v>
      </c>
      <c r="X6" s="664"/>
      <c r="Y6" s="664"/>
      <c r="AA6" s="180"/>
      <c r="AB6" s="664" t="s">
        <v>222</v>
      </c>
      <c r="AC6" s="664"/>
      <c r="AD6" s="664"/>
      <c r="AF6" s="180"/>
      <c r="AG6" s="664" t="s">
        <v>222</v>
      </c>
      <c r="AH6" s="664"/>
      <c r="AI6" s="664"/>
      <c r="AK6" s="180"/>
      <c r="AL6" s="664" t="s">
        <v>222</v>
      </c>
      <c r="AM6" s="664"/>
      <c r="AN6" s="664"/>
      <c r="AP6" s="180"/>
      <c r="AQ6" s="664" t="s">
        <v>222</v>
      </c>
      <c r="AR6" s="664"/>
      <c r="AS6" s="664"/>
      <c r="AU6" s="180"/>
      <c r="AV6" s="664" t="s">
        <v>222</v>
      </c>
      <c r="AW6" s="664"/>
      <c r="AX6" s="664"/>
      <c r="AZ6" s="180"/>
      <c r="BA6" s="665"/>
      <c r="BB6" s="665"/>
      <c r="BC6" s="665"/>
    </row>
    <row r="8" spans="2:55" ht="12" customHeight="1"/>
    <row r="9" spans="2:55" ht="84" customHeight="1"/>
    <row r="10" spans="2:55" ht="84" customHeight="1">
      <c r="AQ10" s="166"/>
    </row>
    <row r="11" spans="2:55" ht="84" customHeight="1">
      <c r="AQ11" s="166"/>
    </row>
    <row r="12" spans="2:55" ht="84" customHeight="1"/>
    <row r="13" spans="2:55" ht="84" customHeight="1">
      <c r="AQ13" s="166"/>
    </row>
    <row r="14" spans="2:55" ht="84" customHeight="1">
      <c r="AQ14" s="166"/>
    </row>
    <row r="15" spans="2:55" ht="84" customHeight="1">
      <c r="AQ15" s="166"/>
    </row>
    <row r="16" spans="2:55" ht="84" customHeight="1">
      <c r="AQ16" s="166"/>
    </row>
    <row r="17" spans="23:43" ht="84" customHeight="1">
      <c r="AQ17" s="166"/>
    </row>
    <row r="18" spans="23:43" ht="84" customHeight="1"/>
    <row r="19" spans="23:43" ht="23.25" customHeight="1">
      <c r="W19" s="166"/>
      <c r="AQ19" s="166"/>
    </row>
    <row r="20" spans="23:43" ht="23.25" customHeight="1">
      <c r="W20" s="166"/>
      <c r="AQ20" s="166"/>
    </row>
    <row r="21" spans="23:43" ht="23.25" customHeight="1">
      <c r="AQ21" s="166"/>
    </row>
    <row r="22" spans="23:43" ht="23.25" customHeight="1">
      <c r="W22" s="166"/>
      <c r="AQ22" s="166"/>
    </row>
    <row r="23" spans="23:43" ht="23.25" customHeight="1">
      <c r="W23" s="166"/>
      <c r="AQ23" s="166"/>
    </row>
    <row r="24" spans="23:43" ht="23.25" customHeight="1">
      <c r="W24" s="166"/>
    </row>
    <row r="25" spans="23:43" ht="23.25" customHeight="1">
      <c r="W25" s="166"/>
      <c r="AQ25" s="166"/>
    </row>
    <row r="26" spans="23:43" ht="23.25" customHeight="1">
      <c r="W26" s="166"/>
      <c r="AQ26" s="166"/>
    </row>
    <row r="27" spans="23:43" ht="23.25" customHeight="1">
      <c r="AQ27" s="166"/>
    </row>
    <row r="28" spans="23:43" ht="23.25" customHeight="1">
      <c r="W28" s="166"/>
      <c r="AQ28" s="166"/>
    </row>
    <row r="29" spans="23:43" ht="23.25" customHeight="1">
      <c r="W29" s="166"/>
    </row>
    <row r="30" spans="23:43" ht="23.25" customHeight="1">
      <c r="W30" s="166"/>
    </row>
    <row r="31" spans="23:43" ht="23.25" customHeight="1">
      <c r="W31" s="166"/>
    </row>
    <row r="32" spans="23:43" ht="23.25" customHeight="1">
      <c r="W32" s="166"/>
    </row>
    <row r="33" spans="23:23" ht="23.25" customHeight="1"/>
    <row r="34" spans="23:23" ht="23.25" customHeight="1">
      <c r="W34" s="166"/>
    </row>
    <row r="35" spans="23:23" ht="23.25" customHeight="1">
      <c r="W35" s="166"/>
    </row>
    <row r="36" spans="23:23" ht="23.25" customHeight="1">
      <c r="W36" s="166"/>
    </row>
    <row r="37" spans="23:23">
      <c r="W37" s="166"/>
    </row>
    <row r="38" spans="23:23" ht="3" customHeight="1">
      <c r="W38" s="166"/>
    </row>
    <row r="39" spans="23:23" ht="20.25" customHeight="1"/>
    <row r="40" spans="23:23" ht="20.25" customHeight="1">
      <c r="W40" s="166"/>
    </row>
    <row r="41" spans="23:23" ht="20.25" customHeight="1">
      <c r="W41" s="166"/>
    </row>
    <row r="42" spans="23:23">
      <c r="W42" s="166"/>
    </row>
    <row r="44" spans="23:23" ht="3" customHeight="1"/>
    <row r="45" spans="23:23" ht="20.25" customHeight="1"/>
    <row r="46" spans="23:23" ht="20.25" customHeight="1"/>
    <row r="47" spans="23:23" ht="20.25" customHeight="1"/>
    <row r="50" ht="3" customHeight="1"/>
    <row r="51" ht="20.25" customHeight="1"/>
    <row r="52" ht="20.25" customHeight="1"/>
    <row r="53" ht="20.25" customHeight="1"/>
    <row r="56" ht="3" customHeight="1"/>
    <row r="57" ht="20.25" customHeight="1"/>
    <row r="58" ht="20.25" customHeight="1"/>
    <row r="59" ht="20.25" customHeight="1"/>
  </sheetData>
  <mergeCells count="33">
    <mergeCell ref="AV6:AX6"/>
    <mergeCell ref="BA6:BC6"/>
    <mergeCell ref="C6:E6"/>
    <mergeCell ref="H6:J6"/>
    <mergeCell ref="M6:O6"/>
    <mergeCell ref="R6:T6"/>
    <mergeCell ref="W6:Y6"/>
    <mergeCell ref="AB6:AD6"/>
    <mergeCell ref="AB4:AB5"/>
    <mergeCell ref="AG4:AG5"/>
    <mergeCell ref="AL4:AL5"/>
    <mergeCell ref="AQ4:AQ5"/>
    <mergeCell ref="AG6:AI6"/>
    <mergeCell ref="AL6:AN6"/>
    <mergeCell ref="AQ6:AS6"/>
    <mergeCell ref="AV4:AV5"/>
    <mergeCell ref="BA4:BA5"/>
    <mergeCell ref="AF3:AF5"/>
    <mergeCell ref="AK3:AK5"/>
    <mergeCell ref="AP3:AP5"/>
    <mergeCell ref="AU3:AU5"/>
    <mergeCell ref="AZ3:AZ5"/>
    <mergeCell ref="AA3:AA5"/>
    <mergeCell ref="B3:B5"/>
    <mergeCell ref="G3:G5"/>
    <mergeCell ref="L3:L5"/>
    <mergeCell ref="Q3:Q5"/>
    <mergeCell ref="V3:V5"/>
    <mergeCell ref="C4:C5"/>
    <mergeCell ref="H4:H5"/>
    <mergeCell ref="M4:M5"/>
    <mergeCell ref="R4:R5"/>
    <mergeCell ref="W4:W5"/>
  </mergeCells>
  <phoneticPr fontId="36"/>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F67"/>
  <sheetViews>
    <sheetView workbookViewId="0">
      <pane ySplit="2" topLeftCell="A6" activePane="bottomLeft" state="frozen"/>
      <selection activeCell="AZ28" sqref="AZ28"/>
      <selection pane="bottomLeft" activeCell="AZ28" sqref="AZ28"/>
    </sheetView>
  </sheetViews>
  <sheetFormatPr defaultRowHeight="13.5"/>
  <cols>
    <col min="1" max="1" width="24.75" bestFit="1" customWidth="1"/>
    <col min="2" max="3" width="9" bestFit="1" customWidth="1"/>
    <col min="4" max="4" width="7.125" bestFit="1" customWidth="1"/>
    <col min="5" max="5" width="75.625" customWidth="1"/>
    <col min="6" max="6" width="47.25" bestFit="1" customWidth="1"/>
  </cols>
  <sheetData>
    <row r="1" spans="1:6" ht="22.5" customHeight="1">
      <c r="A1" s="317"/>
      <c r="B1" s="318" t="s">
        <v>530</v>
      </c>
      <c r="C1" s="319"/>
      <c r="D1" s="320"/>
      <c r="E1" s="317"/>
      <c r="F1" s="317"/>
    </row>
    <row r="2" spans="1:6" ht="22.5" customHeight="1">
      <c r="A2" s="321" t="s">
        <v>531</v>
      </c>
      <c r="B2" s="322" t="s">
        <v>532</v>
      </c>
      <c r="C2" s="322" t="s">
        <v>533</v>
      </c>
      <c r="D2" s="322" t="s">
        <v>534</v>
      </c>
      <c r="E2" s="321" t="s">
        <v>535</v>
      </c>
      <c r="F2" s="321" t="s">
        <v>536</v>
      </c>
    </row>
    <row r="3" spans="1:6">
      <c r="A3" s="323" t="s">
        <v>152</v>
      </c>
      <c r="B3" s="324" t="s">
        <v>538</v>
      </c>
      <c r="C3" s="324" t="s">
        <v>540</v>
      </c>
      <c r="D3" s="324" t="s">
        <v>539</v>
      </c>
      <c r="E3" s="352" t="s">
        <v>663</v>
      </c>
      <c r="F3" s="323" t="s">
        <v>588</v>
      </c>
    </row>
    <row r="4" spans="1:6">
      <c r="A4" s="323" t="s">
        <v>77</v>
      </c>
      <c r="B4" s="324" t="s">
        <v>537</v>
      </c>
      <c r="C4" s="324" t="s">
        <v>539</v>
      </c>
      <c r="D4" s="324" t="s">
        <v>540</v>
      </c>
      <c r="E4" s="323" t="s">
        <v>541</v>
      </c>
      <c r="F4" s="323"/>
    </row>
    <row r="5" spans="1:6">
      <c r="A5" s="323" t="s">
        <v>74</v>
      </c>
      <c r="B5" s="324" t="s">
        <v>537</v>
      </c>
      <c r="C5" s="324" t="s">
        <v>540</v>
      </c>
      <c r="D5" s="324" t="s">
        <v>539</v>
      </c>
      <c r="E5" s="323" t="s">
        <v>542</v>
      </c>
      <c r="F5" s="323"/>
    </row>
    <row r="6" spans="1:6">
      <c r="A6" s="352" t="s">
        <v>658</v>
      </c>
      <c r="B6" s="324" t="s">
        <v>537</v>
      </c>
      <c r="C6" s="324" t="s">
        <v>539</v>
      </c>
      <c r="D6" s="324" t="s">
        <v>540</v>
      </c>
      <c r="E6" s="353" t="s">
        <v>659</v>
      </c>
      <c r="F6" s="323"/>
    </row>
    <row r="7" spans="1:6" ht="121.5">
      <c r="A7" s="323" t="s">
        <v>75</v>
      </c>
      <c r="B7" s="324" t="s">
        <v>537</v>
      </c>
      <c r="C7" s="324" t="s">
        <v>540</v>
      </c>
      <c r="D7" s="324" t="s">
        <v>539</v>
      </c>
      <c r="E7" s="354" t="s">
        <v>660</v>
      </c>
      <c r="F7" s="323"/>
    </row>
    <row r="8" spans="1:6" ht="81">
      <c r="A8" s="323" t="s">
        <v>543</v>
      </c>
      <c r="B8" s="324" t="s">
        <v>538</v>
      </c>
      <c r="C8" s="324" t="s">
        <v>539</v>
      </c>
      <c r="D8" s="324" t="s">
        <v>540</v>
      </c>
      <c r="E8" s="325" t="s">
        <v>544</v>
      </c>
      <c r="F8" s="323"/>
    </row>
    <row r="9" spans="1:6" ht="202.5">
      <c r="A9" s="323" t="s">
        <v>122</v>
      </c>
      <c r="B9" s="324" t="s">
        <v>537</v>
      </c>
      <c r="C9" s="324" t="s">
        <v>546</v>
      </c>
      <c r="D9" s="324" t="s">
        <v>545</v>
      </c>
      <c r="E9" s="325" t="s">
        <v>547</v>
      </c>
      <c r="F9" s="323"/>
    </row>
    <row r="10" spans="1:6" ht="310.5">
      <c r="A10" s="323" t="s">
        <v>123</v>
      </c>
      <c r="B10" s="324" t="s">
        <v>537</v>
      </c>
      <c r="C10" s="324" t="s">
        <v>540</v>
      </c>
      <c r="D10" s="324" t="s">
        <v>539</v>
      </c>
      <c r="E10" s="325" t="s">
        <v>548</v>
      </c>
      <c r="F10" s="323"/>
    </row>
    <row r="11" spans="1:6">
      <c r="A11" s="323" t="s">
        <v>76</v>
      </c>
      <c r="B11" s="324" t="s">
        <v>537</v>
      </c>
      <c r="C11" s="324" t="s">
        <v>540</v>
      </c>
      <c r="D11" s="324" t="s">
        <v>539</v>
      </c>
      <c r="E11" s="325" t="s">
        <v>549</v>
      </c>
      <c r="F11" s="323"/>
    </row>
    <row r="12" spans="1:6">
      <c r="A12" s="323" t="s">
        <v>125</v>
      </c>
      <c r="B12" s="324" t="s">
        <v>537</v>
      </c>
      <c r="C12" s="324" t="s">
        <v>545</v>
      </c>
      <c r="D12" s="324" t="s">
        <v>545</v>
      </c>
      <c r="E12" s="325" t="s">
        <v>550</v>
      </c>
      <c r="F12" s="323"/>
    </row>
    <row r="13" spans="1:6">
      <c r="A13" s="323" t="s">
        <v>132</v>
      </c>
      <c r="B13" s="324" t="s">
        <v>537</v>
      </c>
      <c r="C13" s="324"/>
      <c r="D13" s="324" t="s">
        <v>546</v>
      </c>
      <c r="E13" s="325" t="s">
        <v>551</v>
      </c>
      <c r="F13" s="323"/>
    </row>
    <row r="14" spans="1:6">
      <c r="A14" s="323" t="s">
        <v>552</v>
      </c>
      <c r="B14" s="324" t="s">
        <v>539</v>
      </c>
      <c r="C14" s="324" t="s">
        <v>540</v>
      </c>
      <c r="D14" s="324" t="s">
        <v>540</v>
      </c>
      <c r="E14" s="325" t="s">
        <v>553</v>
      </c>
      <c r="F14" s="323"/>
    </row>
    <row r="15" spans="1:6">
      <c r="A15" s="323" t="s">
        <v>185</v>
      </c>
      <c r="B15" s="324" t="s">
        <v>540</v>
      </c>
      <c r="C15" s="324" t="s">
        <v>539</v>
      </c>
      <c r="D15" s="324" t="s">
        <v>540</v>
      </c>
      <c r="E15" s="325" t="s">
        <v>553</v>
      </c>
      <c r="F15" s="323"/>
    </row>
    <row r="16" spans="1:6">
      <c r="A16" s="323" t="s">
        <v>153</v>
      </c>
      <c r="B16" s="324" t="s">
        <v>539</v>
      </c>
      <c r="C16" s="324" t="s">
        <v>538</v>
      </c>
      <c r="D16" s="324" t="s">
        <v>537</v>
      </c>
      <c r="E16" s="325" t="s">
        <v>554</v>
      </c>
      <c r="F16" s="323"/>
    </row>
    <row r="17" spans="1:6">
      <c r="A17" s="323" t="s">
        <v>154</v>
      </c>
      <c r="B17" s="324" t="s">
        <v>537</v>
      </c>
      <c r="C17" s="324" t="s">
        <v>545</v>
      </c>
      <c r="D17" s="324" t="s">
        <v>545</v>
      </c>
      <c r="E17" s="325" t="s">
        <v>555</v>
      </c>
      <c r="F17" s="323"/>
    </row>
    <row r="18" spans="1:6">
      <c r="A18" s="323" t="s">
        <v>124</v>
      </c>
      <c r="B18" s="324" t="s">
        <v>540</v>
      </c>
      <c r="C18" s="324" t="s">
        <v>537</v>
      </c>
      <c r="D18" s="324" t="s">
        <v>540</v>
      </c>
      <c r="E18" s="325" t="s">
        <v>556</v>
      </c>
      <c r="F18" s="323"/>
    </row>
    <row r="19" spans="1:6">
      <c r="A19" s="323" t="s">
        <v>133</v>
      </c>
      <c r="B19" s="324" t="s">
        <v>540</v>
      </c>
      <c r="C19" s="324" t="s">
        <v>537</v>
      </c>
      <c r="D19" s="324" t="s">
        <v>540</v>
      </c>
      <c r="E19" s="325" t="s">
        <v>556</v>
      </c>
      <c r="F19" s="323"/>
    </row>
    <row r="20" spans="1:6" ht="27">
      <c r="A20" s="323" t="s">
        <v>181</v>
      </c>
      <c r="B20" s="324" t="s">
        <v>540</v>
      </c>
      <c r="C20" s="324" t="s">
        <v>537</v>
      </c>
      <c r="D20" s="324" t="s">
        <v>546</v>
      </c>
      <c r="E20" s="325" t="s">
        <v>557</v>
      </c>
      <c r="F20" s="323"/>
    </row>
    <row r="21" spans="1:6" ht="27">
      <c r="A21" s="323" t="s">
        <v>661</v>
      </c>
      <c r="B21" s="324" t="s">
        <v>539</v>
      </c>
      <c r="C21" s="324" t="s">
        <v>537</v>
      </c>
      <c r="D21" s="324" t="s">
        <v>546</v>
      </c>
      <c r="E21" s="325" t="s">
        <v>558</v>
      </c>
      <c r="F21" s="323"/>
    </row>
    <row r="22" spans="1:6" ht="243">
      <c r="A22" s="323" t="s">
        <v>446</v>
      </c>
      <c r="B22" s="324" t="s">
        <v>539</v>
      </c>
      <c r="C22" s="324" t="s">
        <v>538</v>
      </c>
      <c r="D22" s="324" t="s">
        <v>545</v>
      </c>
      <c r="E22" s="325" t="s">
        <v>559</v>
      </c>
      <c r="F22" s="323"/>
    </row>
    <row r="23" spans="1:6">
      <c r="A23" s="323" t="s">
        <v>155</v>
      </c>
      <c r="B23" s="324" t="s">
        <v>539</v>
      </c>
      <c r="C23" s="324" t="s">
        <v>538</v>
      </c>
      <c r="D23" s="324" t="s">
        <v>538</v>
      </c>
      <c r="E23" s="325" t="s">
        <v>554</v>
      </c>
      <c r="F23" s="323"/>
    </row>
    <row r="24" spans="1:6">
      <c r="A24" s="323" t="s">
        <v>156</v>
      </c>
      <c r="B24" s="324" t="s">
        <v>538</v>
      </c>
      <c r="C24" s="324" t="s">
        <v>545</v>
      </c>
      <c r="D24" s="324" t="s">
        <v>546</v>
      </c>
      <c r="E24" s="325" t="s">
        <v>560</v>
      </c>
      <c r="F24" s="323"/>
    </row>
    <row r="25" spans="1:6">
      <c r="A25" s="323" t="s">
        <v>126</v>
      </c>
      <c r="B25" s="324" t="s">
        <v>539</v>
      </c>
      <c r="C25" s="324" t="s">
        <v>538</v>
      </c>
      <c r="D25" s="324" t="s">
        <v>539</v>
      </c>
      <c r="E25" s="325" t="s">
        <v>561</v>
      </c>
      <c r="F25" s="323"/>
    </row>
    <row r="26" spans="1:6">
      <c r="A26" s="323" t="s">
        <v>135</v>
      </c>
      <c r="B26" s="324" t="s">
        <v>539</v>
      </c>
      <c r="C26" s="324" t="s">
        <v>537</v>
      </c>
      <c r="D26" s="324" t="s">
        <v>539</v>
      </c>
      <c r="E26" s="325" t="s">
        <v>561</v>
      </c>
      <c r="F26" s="323"/>
    </row>
    <row r="27" spans="1:6" ht="94.5">
      <c r="A27" s="323" t="s">
        <v>448</v>
      </c>
      <c r="B27" s="324" t="s">
        <v>539</v>
      </c>
      <c r="C27" s="324" t="s">
        <v>538</v>
      </c>
      <c r="D27" s="324" t="s">
        <v>540</v>
      </c>
      <c r="E27" s="325" t="s">
        <v>562</v>
      </c>
      <c r="F27" s="323"/>
    </row>
    <row r="28" spans="1:6" ht="162">
      <c r="A28" s="323" t="s">
        <v>449</v>
      </c>
      <c r="B28" s="324" t="s">
        <v>540</v>
      </c>
      <c r="C28" s="324" t="s">
        <v>537</v>
      </c>
      <c r="D28" s="324" t="s">
        <v>546</v>
      </c>
      <c r="E28" s="325" t="s">
        <v>563</v>
      </c>
      <c r="F28" s="323"/>
    </row>
    <row r="29" spans="1:6">
      <c r="A29" s="323" t="s">
        <v>157</v>
      </c>
      <c r="B29" s="324" t="s">
        <v>538</v>
      </c>
      <c r="C29" s="324" t="s">
        <v>539</v>
      </c>
      <c r="D29" s="324" t="s">
        <v>545</v>
      </c>
      <c r="E29" s="325" t="s">
        <v>564</v>
      </c>
      <c r="F29" s="323"/>
    </row>
    <row r="30" spans="1:6">
      <c r="A30" s="323" t="s">
        <v>158</v>
      </c>
      <c r="B30" s="324" t="s">
        <v>537</v>
      </c>
      <c r="C30" s="324" t="s">
        <v>545</v>
      </c>
      <c r="D30" s="324" t="s">
        <v>545</v>
      </c>
      <c r="E30" s="325" t="s">
        <v>565</v>
      </c>
      <c r="F30" s="323"/>
    </row>
    <row r="31" spans="1:6">
      <c r="A31" s="323" t="s">
        <v>127</v>
      </c>
      <c r="B31" s="324" t="s">
        <v>537</v>
      </c>
      <c r="C31" s="324" t="s">
        <v>540</v>
      </c>
      <c r="D31" s="324" t="s">
        <v>566</v>
      </c>
      <c r="E31" s="325" t="s">
        <v>567</v>
      </c>
      <c r="F31" s="323"/>
    </row>
    <row r="32" spans="1:6">
      <c r="A32" s="323" t="s">
        <v>134</v>
      </c>
      <c r="B32" s="324" t="s">
        <v>538</v>
      </c>
      <c r="C32" s="324" t="s">
        <v>540</v>
      </c>
      <c r="D32" s="324" t="s">
        <v>566</v>
      </c>
      <c r="E32" s="325" t="s">
        <v>567</v>
      </c>
      <c r="F32" s="323"/>
    </row>
    <row r="33" spans="1:6">
      <c r="A33" s="323" t="s">
        <v>128</v>
      </c>
      <c r="B33" s="324" t="s">
        <v>538</v>
      </c>
      <c r="C33" s="324" t="s">
        <v>539</v>
      </c>
      <c r="D33" s="324" t="s">
        <v>566</v>
      </c>
      <c r="E33" s="325" t="s">
        <v>567</v>
      </c>
      <c r="F33" s="323"/>
    </row>
    <row r="34" spans="1:6">
      <c r="A34" s="326"/>
      <c r="B34" s="327"/>
      <c r="C34" s="327"/>
      <c r="D34" s="327"/>
      <c r="E34" s="328"/>
      <c r="F34" s="326"/>
    </row>
    <row r="35" spans="1:6" ht="27">
      <c r="A35" s="352" t="s">
        <v>617</v>
      </c>
      <c r="B35" s="355" t="s">
        <v>539</v>
      </c>
      <c r="C35" s="355" t="s">
        <v>537</v>
      </c>
      <c r="D35" s="355" t="s">
        <v>545</v>
      </c>
      <c r="E35" s="354" t="s">
        <v>666</v>
      </c>
      <c r="F35" s="352"/>
    </row>
    <row r="36" spans="1:6" ht="27">
      <c r="A36" s="352" t="s">
        <v>618</v>
      </c>
      <c r="B36" s="355" t="s">
        <v>539</v>
      </c>
      <c r="C36" s="355" t="s">
        <v>537</v>
      </c>
      <c r="D36" s="355" t="s">
        <v>545</v>
      </c>
      <c r="E36" s="354" t="s">
        <v>667</v>
      </c>
      <c r="F36" s="352"/>
    </row>
    <row r="37" spans="1:6" ht="40.5">
      <c r="A37" s="354" t="s">
        <v>664</v>
      </c>
      <c r="B37" s="355" t="s">
        <v>539</v>
      </c>
      <c r="C37" s="355" t="s">
        <v>537</v>
      </c>
      <c r="D37" s="355" t="s">
        <v>545</v>
      </c>
      <c r="E37" s="354" t="s">
        <v>668</v>
      </c>
      <c r="F37" s="352"/>
    </row>
    <row r="38" spans="1:6" ht="40.5">
      <c r="A38" s="354" t="s">
        <v>619</v>
      </c>
      <c r="B38" s="355" t="s">
        <v>539</v>
      </c>
      <c r="C38" s="355" t="s">
        <v>537</v>
      </c>
      <c r="D38" s="355" t="s">
        <v>545</v>
      </c>
      <c r="E38" s="354" t="s">
        <v>665</v>
      </c>
      <c r="F38" s="352"/>
    </row>
    <row r="39" spans="1:6" ht="67.5">
      <c r="A39" s="352" t="s">
        <v>643</v>
      </c>
      <c r="B39" s="355" t="s">
        <v>537</v>
      </c>
      <c r="C39" s="355" t="s">
        <v>545</v>
      </c>
      <c r="D39" s="355" t="s">
        <v>545</v>
      </c>
      <c r="E39" s="354" t="s">
        <v>669</v>
      </c>
      <c r="F39" s="352"/>
    </row>
    <row r="40" spans="1:6" ht="27">
      <c r="A40" s="352" t="s">
        <v>657</v>
      </c>
      <c r="B40" s="355" t="s">
        <v>537</v>
      </c>
      <c r="C40" s="355" t="s">
        <v>545</v>
      </c>
      <c r="D40" s="355" t="s">
        <v>545</v>
      </c>
      <c r="E40" s="354" t="s">
        <v>670</v>
      </c>
      <c r="F40" s="352"/>
    </row>
    <row r="42" spans="1:6">
      <c r="A42" t="s">
        <v>568</v>
      </c>
    </row>
    <row r="44" spans="1:6">
      <c r="A44" t="s">
        <v>569</v>
      </c>
    </row>
    <row r="45" spans="1:6">
      <c r="A45" t="s">
        <v>570</v>
      </c>
    </row>
    <row r="47" spans="1:6">
      <c r="A47" t="s">
        <v>571</v>
      </c>
    </row>
    <row r="48" spans="1:6">
      <c r="A48" t="s">
        <v>572</v>
      </c>
    </row>
    <row r="49" spans="1:1">
      <c r="A49" t="s">
        <v>573</v>
      </c>
    </row>
    <row r="51" spans="1:1">
      <c r="A51" t="s">
        <v>574</v>
      </c>
    </row>
    <row r="52" spans="1:1">
      <c r="A52" t="s">
        <v>575</v>
      </c>
    </row>
    <row r="53" spans="1:1">
      <c r="A53" t="s">
        <v>576</v>
      </c>
    </row>
    <row r="55" spans="1:1">
      <c r="A55" t="s">
        <v>577</v>
      </c>
    </row>
    <row r="56" spans="1:1">
      <c r="A56" t="s">
        <v>578</v>
      </c>
    </row>
    <row r="57" spans="1:1">
      <c r="A57" t="s">
        <v>579</v>
      </c>
    </row>
    <row r="58" spans="1:1">
      <c r="A58" t="s">
        <v>580</v>
      </c>
    </row>
    <row r="59" spans="1:1">
      <c r="A59" t="s">
        <v>581</v>
      </c>
    </row>
    <row r="60" spans="1:1">
      <c r="A60" t="s">
        <v>582</v>
      </c>
    </row>
    <row r="62" spans="1:1">
      <c r="A62" t="s">
        <v>583</v>
      </c>
    </row>
    <row r="63" spans="1:1">
      <c r="A63" t="s">
        <v>584</v>
      </c>
    </row>
    <row r="64" spans="1:1">
      <c r="A64" t="s">
        <v>585</v>
      </c>
    </row>
    <row r="66" spans="1:1">
      <c r="A66" t="s">
        <v>586</v>
      </c>
    </row>
    <row r="67" spans="1:1">
      <c r="A67" t="s">
        <v>587</v>
      </c>
    </row>
  </sheetData>
  <phoneticPr fontId="36"/>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B2:B36"/>
  <sheetViews>
    <sheetView workbookViewId="0">
      <selection activeCell="AZ28" sqref="AZ28"/>
    </sheetView>
  </sheetViews>
  <sheetFormatPr defaultColWidth="2.625" defaultRowHeight="15.75" customHeight="1"/>
  <cols>
    <col min="1" max="16384" width="2.625" style="316"/>
  </cols>
  <sheetData>
    <row r="2" spans="2:2" ht="15.75" customHeight="1">
      <c r="B2" s="316" t="s">
        <v>529</v>
      </c>
    </row>
    <row r="3" spans="2:2" ht="15.75" customHeight="1">
      <c r="B3" s="316" t="s">
        <v>528</v>
      </c>
    </row>
    <row r="5" spans="2:2" ht="15.75" customHeight="1">
      <c r="B5" s="316" t="s">
        <v>527</v>
      </c>
    </row>
    <row r="6" spans="2:2" ht="15.75" customHeight="1">
      <c r="B6" s="316" t="s">
        <v>526</v>
      </c>
    </row>
    <row r="7" spans="2:2" ht="15.75" customHeight="1">
      <c r="B7" s="316" t="s">
        <v>525</v>
      </c>
    </row>
    <row r="8" spans="2:2" ht="15.75" customHeight="1">
      <c r="B8" s="316" t="s">
        <v>524</v>
      </c>
    </row>
    <row r="9" spans="2:2" ht="15.75" customHeight="1">
      <c r="B9" s="316" t="s">
        <v>523</v>
      </c>
    </row>
    <row r="10" spans="2:2" ht="15.75" customHeight="1">
      <c r="B10" s="316" t="s">
        <v>522</v>
      </c>
    </row>
    <row r="11" spans="2:2" ht="15.75" customHeight="1">
      <c r="B11" s="316" t="s">
        <v>521</v>
      </c>
    </row>
    <row r="12" spans="2:2" ht="15.75" customHeight="1">
      <c r="B12" s="316" t="s">
        <v>520</v>
      </c>
    </row>
    <row r="13" spans="2:2" ht="15.75" customHeight="1">
      <c r="B13" s="316" t="s">
        <v>519</v>
      </c>
    </row>
    <row r="14" spans="2:2" ht="15.75" customHeight="1">
      <c r="B14" s="316" t="s">
        <v>518</v>
      </c>
    </row>
    <row r="15" spans="2:2" ht="15.75" customHeight="1">
      <c r="B15" s="316" t="s">
        <v>517</v>
      </c>
    </row>
    <row r="16" spans="2:2" ht="15.75" customHeight="1">
      <c r="B16" s="316" t="s">
        <v>516</v>
      </c>
    </row>
    <row r="17" spans="2:2" ht="15.75" customHeight="1">
      <c r="B17" s="316" t="s">
        <v>515</v>
      </c>
    </row>
    <row r="18" spans="2:2" ht="15.75" customHeight="1">
      <c r="B18" s="316" t="s">
        <v>514</v>
      </c>
    </row>
    <row r="20" spans="2:2" ht="15.75" customHeight="1">
      <c r="B20" s="316" t="s">
        <v>513</v>
      </c>
    </row>
    <row r="21" spans="2:2" ht="15.75" customHeight="1">
      <c r="B21" s="316" t="s">
        <v>512</v>
      </c>
    </row>
    <row r="22" spans="2:2" ht="15.75" customHeight="1">
      <c r="B22" s="316" t="s">
        <v>511</v>
      </c>
    </row>
    <row r="23" spans="2:2" ht="15.75" customHeight="1">
      <c r="B23" s="316" t="s">
        <v>510</v>
      </c>
    </row>
    <row r="25" spans="2:2" ht="15.75" customHeight="1">
      <c r="B25" s="316" t="s">
        <v>509</v>
      </c>
    </row>
    <row r="26" spans="2:2" ht="15.75" customHeight="1">
      <c r="B26" s="316" t="s">
        <v>508</v>
      </c>
    </row>
    <row r="27" spans="2:2" ht="15.75" customHeight="1">
      <c r="B27" s="316" t="s">
        <v>507</v>
      </c>
    </row>
    <row r="28" spans="2:2" ht="15.75" customHeight="1">
      <c r="B28" s="316" t="s">
        <v>506</v>
      </c>
    </row>
    <row r="30" spans="2:2" ht="15.75" customHeight="1">
      <c r="B30" s="316" t="s">
        <v>505</v>
      </c>
    </row>
    <row r="31" spans="2:2" ht="15.75" customHeight="1">
      <c r="B31" s="316" t="s">
        <v>504</v>
      </c>
    </row>
    <row r="32" spans="2:2" ht="15.75" customHeight="1">
      <c r="B32" s="316" t="s">
        <v>503</v>
      </c>
    </row>
    <row r="33" spans="2:2" ht="15.75" customHeight="1">
      <c r="B33" s="316" t="s">
        <v>502</v>
      </c>
    </row>
    <row r="35" spans="2:2" ht="15.75" customHeight="1">
      <c r="B35" s="316" t="s">
        <v>501</v>
      </c>
    </row>
    <row r="36" spans="2:2" ht="15.75" customHeight="1">
      <c r="B36" s="316" t="s">
        <v>500</v>
      </c>
    </row>
  </sheetData>
  <phoneticPr fontId="36"/>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Unknown Document Type" ma:contentTypeID="0x010104" ma:contentTypeVersion="0" ma:contentTypeDescription="" ma:contentTypeScope="" ma:versionID="05d83ceaa0bbd2e3bc716e6e66bd857a">
  <xsd:schema xmlns:xsd="http://www.w3.org/2001/XMLSchema" xmlns:xs="http://www.w3.org/2001/XMLSchema" xmlns:p="http://schemas.microsoft.com/office/2006/metadata/properties" targetNamespace="http://schemas.microsoft.com/office/2006/metadata/properties" ma:root="true" ma:fieldsID="b3d69fe45253d5ff147bb69036b756a7">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3"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589496B-D47C-4197-B650-C1F92D98A00C}">
  <ds:schemaRef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http://www.w3.org/XML/1998/namespace"/>
    <ds:schemaRef ds:uri="http://purl.org/dc/dcmitype/"/>
  </ds:schemaRefs>
</ds:datastoreItem>
</file>

<file path=customXml/itemProps2.xml><?xml version="1.0" encoding="utf-8"?>
<ds:datastoreItem xmlns:ds="http://schemas.openxmlformats.org/officeDocument/2006/customXml" ds:itemID="{17A91F9E-FE58-4508-A23C-D809D17EAB4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3.xml><?xml version="1.0" encoding="utf-8"?>
<ds:datastoreItem xmlns:ds="http://schemas.openxmlformats.org/officeDocument/2006/customXml" ds:itemID="{B8DAC8D5-B7CD-459C-83B7-F7690FDC2FA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12</vt:i4>
      </vt:variant>
      <vt:variant>
        <vt:lpstr>名前付き一覧</vt:lpstr>
      </vt:variant>
      <vt:variant>
        <vt:i4>95</vt:i4>
      </vt:variant>
    </vt:vector>
  </HeadingPairs>
  <TitlesOfParts>
    <vt:vector size="107" baseType="lpstr">
      <vt:lpstr>Test Management</vt:lpstr>
      <vt:lpstr>Failure Management</vt:lpstr>
      <vt:lpstr>Analysis report</vt:lpstr>
      <vt:lpstr>status report attachment</vt:lpstr>
      <vt:lpstr>Master</vt:lpstr>
      <vt:lpstr>Revision history</vt:lpstr>
      <vt:lpstr>W_Failure data</vt:lpstr>
      <vt:lpstr>W_Chart data</vt:lpstr>
      <vt:lpstr>W_Header</vt:lpstr>
      <vt:lpstr>analysis chart</vt:lpstr>
      <vt:lpstr>不具合管理表記載要領</vt:lpstr>
      <vt:lpstr>不具合記載要領（システムテスト追加）</vt:lpstr>
      <vt:lpstr>analysis_chart_1</vt:lpstr>
      <vt:lpstr>analysis_chart_10</vt:lpstr>
      <vt:lpstr>analysis_chart_11</vt:lpstr>
      <vt:lpstr>analysis_chart_2</vt:lpstr>
      <vt:lpstr>analysis_chart_3</vt:lpstr>
      <vt:lpstr>analysis_chart_4</vt:lpstr>
      <vt:lpstr>analysis_chart_5</vt:lpstr>
      <vt:lpstr>analysis_chart_6</vt:lpstr>
      <vt:lpstr>analysis_chart_7</vt:lpstr>
      <vt:lpstr>analysis_chart_8</vt:lpstr>
      <vt:lpstr>analysis_chart_9</vt:lpstr>
      <vt:lpstr>AP基盤【共通部品】</vt:lpstr>
      <vt:lpstr>ChartArea_Category</vt:lpstr>
      <vt:lpstr>ChartArea_Cause_category</vt:lpstr>
      <vt:lpstr>ChartArea_Function</vt:lpstr>
      <vt:lpstr>ChartArea_In_charge_of_modification</vt:lpstr>
      <vt:lpstr>ChartArea_Root_cause</vt:lpstr>
      <vt:lpstr>ChartArea_SubSystem</vt:lpstr>
      <vt:lpstr>Datearea</vt:lpstr>
      <vt:lpstr>Datearea_Analysis_Baseline</vt:lpstr>
      <vt:lpstr>Datearea_Attach_Baseline</vt:lpstr>
      <vt:lpstr>Datearea_Baseline</vt:lpstr>
      <vt:lpstr>Datearea_Master</vt:lpstr>
      <vt:lpstr>Datearea_TEST</vt:lpstr>
      <vt:lpstr>Datearea_TEST_Baseline</vt:lpstr>
      <vt:lpstr>Datearea1</vt:lpstr>
      <vt:lpstr>Datearea2</vt:lpstr>
      <vt:lpstr>Datearea3</vt:lpstr>
      <vt:lpstr>Datearea4</vt:lpstr>
      <vt:lpstr>Datearea5</vt:lpstr>
      <vt:lpstr>Datearea6</vt:lpstr>
      <vt:lpstr>Datearea7</vt:lpstr>
      <vt:lpstr>Datearea8</vt:lpstr>
      <vt:lpstr>Datearea9</vt:lpstr>
      <vt:lpstr>DateFormat1</vt:lpstr>
      <vt:lpstr>DateFormat2</vt:lpstr>
      <vt:lpstr>DateFormat3</vt:lpstr>
      <vt:lpstr>Error_エラー画面【意向ナビ】</vt:lpstr>
      <vt:lpstr>IAC連動</vt:lpstr>
      <vt:lpstr>Master_Priorty</vt:lpstr>
      <vt:lpstr>'Analysis report'!Print_Area</vt:lpstr>
      <vt:lpstr>'Failure Management'!Print_Area</vt:lpstr>
      <vt:lpstr>Master!Print_Area</vt:lpstr>
      <vt:lpstr>'Revision history'!Print_Area</vt:lpstr>
      <vt:lpstr>'W_Failure data'!Print_Area</vt:lpstr>
      <vt:lpstr>'Analysis report'!Print_Titles</vt:lpstr>
      <vt:lpstr>RootCause</vt:lpstr>
      <vt:lpstr>RootCause2</vt:lpstr>
      <vt:lpstr>UT工程の申し送り</vt:lpstr>
      <vt:lpstr>エラー</vt:lpstr>
      <vt:lpstr>オンライン_バッチ連動</vt:lpstr>
      <vt:lpstr>オンライン内連動</vt:lpstr>
      <vt:lpstr>お客様管理【意向ナビ】</vt:lpstr>
      <vt:lpstr>ご相談プロセス【意向ナビ】</vt:lpstr>
      <vt:lpstr>ご相談管理【意向ナビ】</vt:lpstr>
      <vt:lpstr>サブシステム</vt:lpstr>
      <vt:lpstr>スマデバ</vt:lpstr>
      <vt:lpstr>スマデバ画面</vt:lpstr>
      <vt:lpstr>その他</vt:lpstr>
      <vt:lpstr>テスト</vt:lpstr>
      <vt:lpstr>テスト観点</vt:lpstr>
      <vt:lpstr>プログラミング</vt:lpstr>
      <vt:lpstr>マスタメンテナンス【意向ナビ】</vt:lpstr>
      <vt:lpstr>ライフイベント管理</vt:lpstr>
      <vt:lpstr>案件管理</vt:lpstr>
      <vt:lpstr>意向確認ナビ</vt:lpstr>
      <vt:lpstr>運用資材</vt:lpstr>
      <vt:lpstr>営業支援管理</vt:lpstr>
      <vt:lpstr>環境構築</vt:lpstr>
      <vt:lpstr>基準週</vt:lpstr>
      <vt:lpstr>基本設計</vt:lpstr>
      <vt:lpstr>機能名</vt:lpstr>
      <vt:lpstr>機能名FW</vt:lpstr>
      <vt:lpstr>共通</vt:lpstr>
      <vt:lpstr>共通SQLの条件網羅</vt:lpstr>
      <vt:lpstr>共通系【意向ナビ】</vt:lpstr>
      <vt:lpstr>業務マスタメンテ</vt:lpstr>
      <vt:lpstr>金融サービス仲介【意向ナビ】</vt:lpstr>
      <vt:lpstr>契約管理</vt:lpstr>
      <vt:lpstr>検証結果</vt:lpstr>
      <vt:lpstr>現行</vt:lpstr>
      <vt:lpstr>個社カスタマイズ</vt:lpstr>
      <vt:lpstr>顧客管理</vt:lpstr>
      <vt:lpstr>残高ダウンロード</vt:lpstr>
      <vt:lpstr>仕様からの展開の問題</vt:lpstr>
      <vt:lpstr>仕様関連以外の問題点</vt:lpstr>
      <vt:lpstr>仕様書不備の問題</vt:lpstr>
      <vt:lpstr>事業報告書ダウンロード</vt:lpstr>
      <vt:lpstr>手数料管理</vt:lpstr>
      <vt:lpstr>詳細設計</vt:lpstr>
      <vt:lpstr>早期解約管理</vt:lpstr>
      <vt:lpstr>対応方針</vt:lpstr>
      <vt:lpstr>満期管理</vt:lpstr>
      <vt:lpstr>優先度</vt:lpstr>
      <vt:lpstr>要件定義</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yusaku arai</dc:creator>
  <cp:lastModifiedBy>余 華巍</cp:lastModifiedBy>
  <cp:lastPrinted>2014-10-10T02:09:53Z</cp:lastPrinted>
  <dcterms:created xsi:type="dcterms:W3CDTF">2013-05-09T11:28:13Z</dcterms:created>
  <dcterms:modified xsi:type="dcterms:W3CDTF">2026-06-16T10:15:49Z</dcterms:modified>
</cp:coreProperties>
</file>